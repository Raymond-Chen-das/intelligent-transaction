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8E978AFA-BFC0-482B-AE4A-44A683D3E010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真實IC" sheetId="1" r:id="rId1"/>
    <sheet name="預測IC" sheetId="2" r:id="rId2"/>
    <sheet name="勝率" sheetId="3" r:id="rId3"/>
    <sheet name="累積報酬" sheetId="4" r:id="rId4"/>
    <sheet name="圖表" sheetId="5" r:id="rId5"/>
    <sheet name="R-square" sheetId="6" r:id="rId6"/>
    <sheet name="畫圖0" sheetId="7" state="hidden" r:id="rId7"/>
    <sheet name="混淆矩陣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M13" i="2" l="1"/>
  <c r="EM14" i="2"/>
  <c r="EM15" i="2"/>
  <c r="EM16" i="2"/>
  <c r="EM17" i="2"/>
  <c r="EM18" i="2"/>
  <c r="EM19" i="2"/>
  <c r="EM20" i="2"/>
  <c r="EM21" i="2"/>
  <c r="EM22" i="2"/>
  <c r="EM23" i="2"/>
  <c r="EM24" i="2"/>
  <c r="EM12" i="2"/>
  <c r="EL27" i="8"/>
  <c r="EK27" i="8"/>
  <c r="EJ27" i="8"/>
  <c r="EI27" i="8"/>
  <c r="EH27" i="8"/>
  <c r="EG27" i="8"/>
  <c r="EF27" i="8"/>
  <c r="EE27" i="8"/>
  <c r="ED27" i="8"/>
  <c r="EC27" i="8"/>
  <c r="EB27" i="8"/>
  <c r="EA27" i="8"/>
  <c r="DZ27" i="8"/>
  <c r="DY27" i="8"/>
  <c r="DX27" i="8"/>
  <c r="DW27" i="8"/>
  <c r="DV27" i="8"/>
  <c r="DU27" i="8"/>
  <c r="DT27" i="8"/>
  <c r="DS27" i="8"/>
  <c r="DR27" i="8"/>
  <c r="DQ27" i="8"/>
  <c r="DP27" i="8"/>
  <c r="DO27" i="8"/>
  <c r="DN27" i="8"/>
  <c r="DM27" i="8"/>
  <c r="DL27" i="8"/>
  <c r="DK27" i="8"/>
  <c r="DJ27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EL26" i="8"/>
  <c r="EK26" i="8"/>
  <c r="EJ26" i="8"/>
  <c r="EI26" i="8"/>
  <c r="EH26" i="8"/>
  <c r="EG26" i="8"/>
  <c r="EF26" i="8"/>
  <c r="EE26" i="8"/>
  <c r="ED26" i="8"/>
  <c r="EC26" i="8"/>
  <c r="EB26" i="8"/>
  <c r="EA26" i="8"/>
  <c r="DZ26" i="8"/>
  <c r="DY26" i="8"/>
  <c r="DX26" i="8"/>
  <c r="DW26" i="8"/>
  <c r="DV26" i="8"/>
  <c r="DU26" i="8"/>
  <c r="DT26" i="8"/>
  <c r="DS26" i="8"/>
  <c r="DR26" i="8"/>
  <c r="DQ26" i="8"/>
  <c r="DP26" i="8"/>
  <c r="DO26" i="8"/>
  <c r="DN26" i="8"/>
  <c r="DM26" i="8"/>
  <c r="DL26" i="8"/>
  <c r="DK26" i="8"/>
  <c r="DJ26" i="8"/>
  <c r="DI26" i="8"/>
  <c r="DH26" i="8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EL25" i="8"/>
  <c r="EK25" i="8"/>
  <c r="EJ25" i="8"/>
  <c r="EI25" i="8"/>
  <c r="EH25" i="8"/>
  <c r="EG25" i="8"/>
  <c r="EF25" i="8"/>
  <c r="EE25" i="8"/>
  <c r="ED25" i="8"/>
  <c r="EC25" i="8"/>
  <c r="EB25" i="8"/>
  <c r="EA25" i="8"/>
  <c r="DZ25" i="8"/>
  <c r="DY25" i="8"/>
  <c r="DX25" i="8"/>
  <c r="DW25" i="8"/>
  <c r="DV25" i="8"/>
  <c r="DU25" i="8"/>
  <c r="DT25" i="8"/>
  <c r="DS25" i="8"/>
  <c r="DR25" i="8"/>
  <c r="DQ25" i="8"/>
  <c r="DP25" i="8"/>
  <c r="DO25" i="8"/>
  <c r="DN25" i="8"/>
  <c r="DM25" i="8"/>
  <c r="DL25" i="8"/>
  <c r="DK25" i="8"/>
  <c r="DJ25" i="8"/>
  <c r="DI25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K23" i="8"/>
  <c r="DJ23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EL22" i="8"/>
  <c r="EK22" i="8"/>
  <c r="EJ22" i="8"/>
  <c r="EI22" i="8"/>
  <c r="EH22" i="8"/>
  <c r="EG22" i="8"/>
  <c r="EF22" i="8"/>
  <c r="EE22" i="8"/>
  <c r="ED22" i="8"/>
  <c r="EC22" i="8"/>
  <c r="EB22" i="8"/>
  <c r="EA22" i="8"/>
  <c r="DZ22" i="8"/>
  <c r="DY22" i="8"/>
  <c r="DX22" i="8"/>
  <c r="DW22" i="8"/>
  <c r="DV22" i="8"/>
  <c r="DU22" i="8"/>
  <c r="DT22" i="8"/>
  <c r="DS22" i="8"/>
  <c r="DR22" i="8"/>
  <c r="DQ22" i="8"/>
  <c r="DP22" i="8"/>
  <c r="DO22" i="8"/>
  <c r="DN22" i="8"/>
  <c r="DM22" i="8"/>
  <c r="DL22" i="8"/>
  <c r="DK22" i="8"/>
  <c r="DJ22" i="8"/>
  <c r="DI22" i="8"/>
  <c r="DH22" i="8"/>
  <c r="DG22" i="8"/>
  <c r="DF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EL21" i="8"/>
  <c r="EK21" i="8"/>
  <c r="EJ21" i="8"/>
  <c r="EI21" i="8"/>
  <c r="EH21" i="8"/>
  <c r="EG21" i="8"/>
  <c r="EF21" i="8"/>
  <c r="EE21" i="8"/>
  <c r="ED21" i="8"/>
  <c r="EC21" i="8"/>
  <c r="EB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K21" i="8"/>
  <c r="DJ21" i="8"/>
  <c r="DI21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EL19" i="8"/>
  <c r="EK19" i="8"/>
  <c r="EJ19" i="8"/>
  <c r="EI19" i="8"/>
  <c r="EH19" i="8"/>
  <c r="EG19" i="8"/>
  <c r="EF19" i="8"/>
  <c r="EE19" i="8"/>
  <c r="ED19" i="8"/>
  <c r="EC19" i="8"/>
  <c r="EB19" i="8"/>
  <c r="EA19" i="8"/>
  <c r="DZ19" i="8"/>
  <c r="DY19" i="8"/>
  <c r="DX19" i="8"/>
  <c r="DW19" i="8"/>
  <c r="DV19" i="8"/>
  <c r="DU19" i="8"/>
  <c r="DT19" i="8"/>
  <c r="DS19" i="8"/>
  <c r="DR19" i="8"/>
  <c r="DQ19" i="8"/>
  <c r="DP19" i="8"/>
  <c r="DO19" i="8"/>
  <c r="DN19" i="8"/>
  <c r="DM19" i="8"/>
  <c r="DL19" i="8"/>
  <c r="DK19" i="8"/>
  <c r="DJ19" i="8"/>
  <c r="DI19" i="8"/>
  <c r="DH19" i="8"/>
  <c r="DG19" i="8"/>
  <c r="DF19" i="8"/>
  <c r="DE19" i="8"/>
  <c r="DD19" i="8"/>
  <c r="DC19" i="8"/>
  <c r="DB19" i="8"/>
  <c r="DA19" i="8"/>
  <c r="CZ19" i="8"/>
  <c r="CY19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EL18" i="8"/>
  <c r="EK18" i="8"/>
  <c r="EJ18" i="8"/>
  <c r="EI18" i="8"/>
  <c r="EH18" i="8"/>
  <c r="EG18" i="8"/>
  <c r="EF18" i="8"/>
  <c r="EE18" i="8"/>
  <c r="ED18" i="8"/>
  <c r="EC18" i="8"/>
  <c r="EB18" i="8"/>
  <c r="EA18" i="8"/>
  <c r="DZ18" i="8"/>
  <c r="DY18" i="8"/>
  <c r="DX18" i="8"/>
  <c r="DW18" i="8"/>
  <c r="DV18" i="8"/>
  <c r="DU18" i="8"/>
  <c r="DT18" i="8"/>
  <c r="DS18" i="8"/>
  <c r="DR18" i="8"/>
  <c r="DQ18" i="8"/>
  <c r="DP18" i="8"/>
  <c r="DO18" i="8"/>
  <c r="DN18" i="8"/>
  <c r="DM18" i="8"/>
  <c r="DL18" i="8"/>
  <c r="DK18" i="8"/>
  <c r="DJ18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EL17" i="8"/>
  <c r="EK17" i="8"/>
  <c r="EJ17" i="8"/>
  <c r="EI17" i="8"/>
  <c r="EH17" i="8"/>
  <c r="EG17" i="8"/>
  <c r="EF17" i="8"/>
  <c r="EE17" i="8"/>
  <c r="ED17" i="8"/>
  <c r="EC17" i="8"/>
  <c r="EB17" i="8"/>
  <c r="EA17" i="8"/>
  <c r="DZ17" i="8"/>
  <c r="DY17" i="8"/>
  <c r="DX17" i="8"/>
  <c r="DW17" i="8"/>
  <c r="DV17" i="8"/>
  <c r="DU17" i="8"/>
  <c r="DT17" i="8"/>
  <c r="DS17" i="8"/>
  <c r="DR17" i="8"/>
  <c r="DQ17" i="8"/>
  <c r="DP17" i="8"/>
  <c r="DO17" i="8"/>
  <c r="DN17" i="8"/>
  <c r="DM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EL15" i="8"/>
  <c r="EK15" i="8"/>
  <c r="EJ15" i="8"/>
  <c r="EI15" i="8"/>
  <c r="EH15" i="8"/>
  <c r="EG15" i="8"/>
  <c r="EF15" i="8"/>
  <c r="EE15" i="8"/>
  <c r="ED15" i="8"/>
  <c r="EC15" i="8"/>
  <c r="EB15" i="8"/>
  <c r="EA15" i="8"/>
  <c r="DZ15" i="8"/>
  <c r="DY15" i="8"/>
  <c r="DX15" i="8"/>
  <c r="DW15" i="8"/>
  <c r="DV15" i="8"/>
  <c r="DU15" i="8"/>
  <c r="DT15" i="8"/>
  <c r="DS15" i="8"/>
  <c r="DR15" i="8"/>
  <c r="DQ15" i="8"/>
  <c r="DP15" i="8"/>
  <c r="DO15" i="8"/>
  <c r="DN15" i="8"/>
  <c r="DM15" i="8"/>
  <c r="DL15" i="8"/>
  <c r="DK15" i="8"/>
  <c r="DJ15" i="8"/>
  <c r="DI15" i="8"/>
  <c r="DH15" i="8"/>
  <c r="DG15" i="8"/>
  <c r="DF15" i="8"/>
  <c r="DE15" i="8"/>
  <c r="DD15" i="8"/>
  <c r="DC15" i="8"/>
  <c r="DB15" i="8"/>
  <c r="DA15" i="8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DY14" i="8"/>
  <c r="DX14" i="8"/>
  <c r="DW14" i="8"/>
  <c r="DV14" i="8"/>
  <c r="DU14" i="8"/>
  <c r="DT14" i="8"/>
  <c r="DS14" i="8"/>
  <c r="DR14" i="8"/>
  <c r="DQ14" i="8"/>
  <c r="DP14" i="8"/>
  <c r="DO14" i="8"/>
  <c r="DN14" i="8"/>
  <c r="DM14" i="8"/>
  <c r="DL14" i="8"/>
  <c r="DK14" i="8"/>
  <c r="DJ14" i="8"/>
  <c r="DI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EL13" i="8"/>
  <c r="EK13" i="8"/>
  <c r="EJ13" i="8"/>
  <c r="EI13" i="8"/>
  <c r="EH13" i="8"/>
  <c r="EG13" i="8"/>
  <c r="EF13" i="8"/>
  <c r="EE13" i="8"/>
  <c r="ED13" i="8"/>
  <c r="EC13" i="8"/>
  <c r="EB13" i="8"/>
  <c r="EA13" i="8"/>
  <c r="DZ13" i="8"/>
  <c r="DY13" i="8"/>
  <c r="DX13" i="8"/>
  <c r="DW13" i="8"/>
  <c r="DV13" i="8"/>
  <c r="DU13" i="8"/>
  <c r="DT13" i="8"/>
  <c r="DS13" i="8"/>
  <c r="DR13" i="8"/>
  <c r="DQ13" i="8"/>
  <c r="DP13" i="8"/>
  <c r="DO13" i="8"/>
  <c r="DN13" i="8"/>
  <c r="DM13" i="8"/>
  <c r="DL13" i="8"/>
  <c r="DK13" i="8"/>
  <c r="DJ13" i="8"/>
  <c r="DI13" i="8"/>
  <c r="DH13" i="8"/>
  <c r="DG13" i="8"/>
  <c r="DF13" i="8"/>
  <c r="DE13" i="8"/>
  <c r="DD13" i="8"/>
  <c r="DC13" i="8"/>
  <c r="DB13" i="8"/>
  <c r="DA13" i="8"/>
  <c r="CZ13" i="8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E25" i="7"/>
  <c r="F25" i="7" s="1"/>
  <c r="G25" i="7" s="1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AJ25" i="7" s="1"/>
  <c r="AK25" i="7" s="1"/>
  <c r="AL25" i="7" s="1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AX25" i="7" s="1"/>
  <c r="AY25" i="7" s="1"/>
  <c r="AZ25" i="7" s="1"/>
  <c r="BA25" i="7" s="1"/>
  <c r="BB25" i="7" s="1"/>
  <c r="BC25" i="7" s="1"/>
  <c r="BD25" i="7" s="1"/>
  <c r="BE25" i="7" s="1"/>
  <c r="BF25" i="7" s="1"/>
  <c r="BG25" i="7" s="1"/>
  <c r="BH25" i="7" s="1"/>
  <c r="BI25" i="7" s="1"/>
  <c r="BJ25" i="7" s="1"/>
  <c r="BK25" i="7" s="1"/>
  <c r="BL25" i="7" s="1"/>
  <c r="BM25" i="7" s="1"/>
  <c r="BN25" i="7" s="1"/>
  <c r="BO25" i="7" s="1"/>
  <c r="BP25" i="7" s="1"/>
  <c r="BQ25" i="7" s="1"/>
  <c r="BR25" i="7" s="1"/>
  <c r="BS25" i="7" s="1"/>
  <c r="BT25" i="7" s="1"/>
  <c r="BU25" i="7" s="1"/>
  <c r="BV25" i="7" s="1"/>
  <c r="BW25" i="7" s="1"/>
  <c r="BX25" i="7" s="1"/>
  <c r="BY25" i="7" s="1"/>
  <c r="BZ25" i="7" s="1"/>
  <c r="CA25" i="7" s="1"/>
  <c r="CB25" i="7" s="1"/>
  <c r="CC25" i="7" s="1"/>
  <c r="CD25" i="7" s="1"/>
  <c r="CE25" i="7" s="1"/>
  <c r="CF25" i="7" s="1"/>
  <c r="CG25" i="7" s="1"/>
  <c r="CH25" i="7" s="1"/>
  <c r="CI25" i="7" s="1"/>
  <c r="CJ25" i="7" s="1"/>
  <c r="CK25" i="7" s="1"/>
  <c r="CL25" i="7" s="1"/>
  <c r="CM25" i="7" s="1"/>
  <c r="CN25" i="7" s="1"/>
  <c r="CO25" i="7" s="1"/>
  <c r="CP25" i="7" s="1"/>
  <c r="CQ25" i="7" s="1"/>
  <c r="CR25" i="7" s="1"/>
  <c r="CS25" i="7" s="1"/>
  <c r="CT25" i="7" s="1"/>
  <c r="CU25" i="7" s="1"/>
  <c r="CV25" i="7" s="1"/>
  <c r="CW25" i="7" s="1"/>
  <c r="CX25" i="7" s="1"/>
  <c r="CY25" i="7" s="1"/>
  <c r="CZ25" i="7" s="1"/>
  <c r="DA25" i="7" s="1"/>
  <c r="DB25" i="7" s="1"/>
  <c r="DC25" i="7" s="1"/>
  <c r="DD25" i="7" s="1"/>
  <c r="DE25" i="7" s="1"/>
  <c r="DF25" i="7" s="1"/>
  <c r="DG25" i="7" s="1"/>
  <c r="DH25" i="7" s="1"/>
  <c r="DI25" i="7" s="1"/>
  <c r="DJ25" i="7" s="1"/>
  <c r="DK25" i="7" s="1"/>
  <c r="DL25" i="7" s="1"/>
  <c r="DM25" i="7" s="1"/>
  <c r="DN25" i="7" s="1"/>
  <c r="DO25" i="7" s="1"/>
  <c r="DP25" i="7" s="1"/>
  <c r="DQ25" i="7" s="1"/>
  <c r="DR25" i="7" s="1"/>
  <c r="DS25" i="7" s="1"/>
  <c r="DT25" i="7" s="1"/>
  <c r="DU25" i="7" s="1"/>
  <c r="DV25" i="7" s="1"/>
  <c r="DW25" i="7" s="1"/>
  <c r="DX25" i="7" s="1"/>
  <c r="DY25" i="7" s="1"/>
  <c r="DZ25" i="7" s="1"/>
  <c r="EA25" i="7" s="1"/>
  <c r="EB25" i="7" s="1"/>
  <c r="EC25" i="7" s="1"/>
  <c r="ED25" i="7" s="1"/>
  <c r="EE25" i="7" s="1"/>
  <c r="EF25" i="7" s="1"/>
  <c r="EG25" i="7" s="1"/>
  <c r="EH25" i="7" s="1"/>
  <c r="EI25" i="7" s="1"/>
  <c r="EJ25" i="7" s="1"/>
  <c r="EK25" i="7" s="1"/>
  <c r="EL25" i="7" s="1"/>
  <c r="D25" i="7"/>
  <c r="X24" i="7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AI24" i="7" s="1"/>
  <c r="AJ24" i="7" s="1"/>
  <c r="AK24" i="7" s="1"/>
  <c r="AL24" i="7" s="1"/>
  <c r="AM24" i="7" s="1"/>
  <c r="AN24" i="7" s="1"/>
  <c r="AO24" i="7" s="1"/>
  <c r="AP24" i="7" s="1"/>
  <c r="AQ24" i="7" s="1"/>
  <c r="AR24" i="7" s="1"/>
  <c r="AS24" i="7" s="1"/>
  <c r="AT24" i="7" s="1"/>
  <c r="AU24" i="7" s="1"/>
  <c r="AV24" i="7" s="1"/>
  <c r="AW24" i="7" s="1"/>
  <c r="AX24" i="7" s="1"/>
  <c r="AY24" i="7" s="1"/>
  <c r="AZ24" i="7" s="1"/>
  <c r="BA24" i="7" s="1"/>
  <c r="BB24" i="7" s="1"/>
  <c r="BC24" i="7" s="1"/>
  <c r="BD24" i="7" s="1"/>
  <c r="BE24" i="7" s="1"/>
  <c r="BF24" i="7" s="1"/>
  <c r="BG24" i="7" s="1"/>
  <c r="BH24" i="7" s="1"/>
  <c r="BI24" i="7" s="1"/>
  <c r="BJ24" i="7" s="1"/>
  <c r="BK24" i="7" s="1"/>
  <c r="BL24" i="7" s="1"/>
  <c r="BM24" i="7" s="1"/>
  <c r="BN24" i="7" s="1"/>
  <c r="BO24" i="7" s="1"/>
  <c r="BP24" i="7" s="1"/>
  <c r="BQ24" i="7" s="1"/>
  <c r="BR24" i="7" s="1"/>
  <c r="BS24" i="7" s="1"/>
  <c r="BT24" i="7" s="1"/>
  <c r="BU24" i="7" s="1"/>
  <c r="BV24" i="7" s="1"/>
  <c r="BW24" i="7" s="1"/>
  <c r="BX24" i="7" s="1"/>
  <c r="BY24" i="7" s="1"/>
  <c r="BZ24" i="7" s="1"/>
  <c r="CA24" i="7" s="1"/>
  <c r="CB24" i="7" s="1"/>
  <c r="CC24" i="7" s="1"/>
  <c r="CD24" i="7" s="1"/>
  <c r="CE24" i="7" s="1"/>
  <c r="CF24" i="7" s="1"/>
  <c r="CG24" i="7" s="1"/>
  <c r="CH24" i="7" s="1"/>
  <c r="CI24" i="7" s="1"/>
  <c r="CJ24" i="7" s="1"/>
  <c r="CK24" i="7" s="1"/>
  <c r="CL24" i="7" s="1"/>
  <c r="CM24" i="7" s="1"/>
  <c r="CN24" i="7" s="1"/>
  <c r="CO24" i="7" s="1"/>
  <c r="CP24" i="7" s="1"/>
  <c r="CQ24" i="7" s="1"/>
  <c r="CR24" i="7" s="1"/>
  <c r="CS24" i="7" s="1"/>
  <c r="CT24" i="7" s="1"/>
  <c r="CU24" i="7" s="1"/>
  <c r="CV24" i="7" s="1"/>
  <c r="CW24" i="7" s="1"/>
  <c r="CX24" i="7" s="1"/>
  <c r="CY24" i="7" s="1"/>
  <c r="CZ24" i="7" s="1"/>
  <c r="DA24" i="7" s="1"/>
  <c r="DB24" i="7" s="1"/>
  <c r="DC24" i="7" s="1"/>
  <c r="DD24" i="7" s="1"/>
  <c r="DE24" i="7" s="1"/>
  <c r="DF24" i="7" s="1"/>
  <c r="DG24" i="7" s="1"/>
  <c r="DH24" i="7" s="1"/>
  <c r="DI24" i="7" s="1"/>
  <c r="DJ24" i="7" s="1"/>
  <c r="DK24" i="7" s="1"/>
  <c r="DL24" i="7" s="1"/>
  <c r="DM24" i="7" s="1"/>
  <c r="DN24" i="7" s="1"/>
  <c r="DO24" i="7" s="1"/>
  <c r="DP24" i="7" s="1"/>
  <c r="DQ24" i="7" s="1"/>
  <c r="DR24" i="7" s="1"/>
  <c r="DS24" i="7" s="1"/>
  <c r="DT24" i="7" s="1"/>
  <c r="DU24" i="7" s="1"/>
  <c r="DV24" i="7" s="1"/>
  <c r="DW24" i="7" s="1"/>
  <c r="DX24" i="7" s="1"/>
  <c r="DY24" i="7" s="1"/>
  <c r="DZ24" i="7" s="1"/>
  <c r="EA24" i="7" s="1"/>
  <c r="EB24" i="7" s="1"/>
  <c r="EC24" i="7" s="1"/>
  <c r="ED24" i="7" s="1"/>
  <c r="EE24" i="7" s="1"/>
  <c r="EF24" i="7" s="1"/>
  <c r="EG24" i="7" s="1"/>
  <c r="EH24" i="7" s="1"/>
  <c r="EI24" i="7" s="1"/>
  <c r="EJ24" i="7" s="1"/>
  <c r="EK24" i="7" s="1"/>
  <c r="EL24" i="7" s="1"/>
  <c r="G24" i="7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F24" i="7"/>
  <c r="D24" i="7"/>
  <c r="E24" i="7" s="1"/>
  <c r="M23" i="7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BD23" i="7" s="1"/>
  <c r="BE23" i="7" s="1"/>
  <c r="BF23" i="7" s="1"/>
  <c r="BG23" i="7" s="1"/>
  <c r="BH23" i="7" s="1"/>
  <c r="BI23" i="7" s="1"/>
  <c r="BJ23" i="7" s="1"/>
  <c r="BK23" i="7" s="1"/>
  <c r="BL23" i="7" s="1"/>
  <c r="BM23" i="7" s="1"/>
  <c r="BN23" i="7" s="1"/>
  <c r="BO23" i="7" s="1"/>
  <c r="BP23" i="7" s="1"/>
  <c r="BQ23" i="7" s="1"/>
  <c r="BR23" i="7" s="1"/>
  <c r="BS23" i="7" s="1"/>
  <c r="BT23" i="7" s="1"/>
  <c r="BU23" i="7" s="1"/>
  <c r="BV23" i="7" s="1"/>
  <c r="BW23" i="7" s="1"/>
  <c r="BX23" i="7" s="1"/>
  <c r="BY23" i="7" s="1"/>
  <c r="BZ23" i="7" s="1"/>
  <c r="CA23" i="7" s="1"/>
  <c r="CB23" i="7" s="1"/>
  <c r="CC23" i="7" s="1"/>
  <c r="CD23" i="7" s="1"/>
  <c r="CE23" i="7" s="1"/>
  <c r="CF23" i="7" s="1"/>
  <c r="CG23" i="7" s="1"/>
  <c r="CH23" i="7" s="1"/>
  <c r="CI23" i="7" s="1"/>
  <c r="CJ23" i="7" s="1"/>
  <c r="CK23" i="7" s="1"/>
  <c r="CL23" i="7" s="1"/>
  <c r="CM23" i="7" s="1"/>
  <c r="CN23" i="7" s="1"/>
  <c r="CO23" i="7" s="1"/>
  <c r="CP23" i="7" s="1"/>
  <c r="CQ23" i="7" s="1"/>
  <c r="CR23" i="7" s="1"/>
  <c r="CS23" i="7" s="1"/>
  <c r="CT23" i="7" s="1"/>
  <c r="CU23" i="7" s="1"/>
  <c r="CV23" i="7" s="1"/>
  <c r="CW23" i="7" s="1"/>
  <c r="CX23" i="7" s="1"/>
  <c r="CY23" i="7" s="1"/>
  <c r="CZ23" i="7" s="1"/>
  <c r="DA23" i="7" s="1"/>
  <c r="DB23" i="7" s="1"/>
  <c r="DC23" i="7" s="1"/>
  <c r="DD23" i="7" s="1"/>
  <c r="DE23" i="7" s="1"/>
  <c r="DF23" i="7" s="1"/>
  <c r="DG23" i="7" s="1"/>
  <c r="DH23" i="7" s="1"/>
  <c r="DI23" i="7" s="1"/>
  <c r="DJ23" i="7" s="1"/>
  <c r="DK23" i="7" s="1"/>
  <c r="DL23" i="7" s="1"/>
  <c r="DM23" i="7" s="1"/>
  <c r="DN23" i="7" s="1"/>
  <c r="DO23" i="7" s="1"/>
  <c r="DP23" i="7" s="1"/>
  <c r="DQ23" i="7" s="1"/>
  <c r="DR23" i="7" s="1"/>
  <c r="DS23" i="7" s="1"/>
  <c r="DT23" i="7" s="1"/>
  <c r="DU23" i="7" s="1"/>
  <c r="DV23" i="7" s="1"/>
  <c r="DW23" i="7" s="1"/>
  <c r="DX23" i="7" s="1"/>
  <c r="DY23" i="7" s="1"/>
  <c r="DZ23" i="7" s="1"/>
  <c r="EA23" i="7" s="1"/>
  <c r="EB23" i="7" s="1"/>
  <c r="EC23" i="7" s="1"/>
  <c r="ED23" i="7" s="1"/>
  <c r="EE23" i="7" s="1"/>
  <c r="EF23" i="7" s="1"/>
  <c r="EG23" i="7" s="1"/>
  <c r="EH23" i="7" s="1"/>
  <c r="EI23" i="7" s="1"/>
  <c r="EJ23" i="7" s="1"/>
  <c r="EK23" i="7" s="1"/>
  <c r="EL23" i="7" s="1"/>
  <c r="H23" i="7"/>
  <c r="I23" i="7" s="1"/>
  <c r="J23" i="7" s="1"/>
  <c r="K23" i="7" s="1"/>
  <c r="L23" i="7" s="1"/>
  <c r="E23" i="7"/>
  <c r="F23" i="7" s="1"/>
  <c r="G23" i="7" s="1"/>
  <c r="D23" i="7"/>
  <c r="F22" i="7"/>
  <c r="G22" i="7" s="1"/>
  <c r="H22" i="7" s="1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AO22" i="7" s="1"/>
  <c r="AP22" i="7" s="1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BC22" i="7" s="1"/>
  <c r="BD22" i="7" s="1"/>
  <c r="BE22" i="7" s="1"/>
  <c r="BF22" i="7" s="1"/>
  <c r="BG22" i="7" s="1"/>
  <c r="BH22" i="7" s="1"/>
  <c r="BI22" i="7" s="1"/>
  <c r="BJ22" i="7" s="1"/>
  <c r="BK22" i="7" s="1"/>
  <c r="BL22" i="7" s="1"/>
  <c r="BM22" i="7" s="1"/>
  <c r="BN22" i="7" s="1"/>
  <c r="BO22" i="7" s="1"/>
  <c r="BP22" i="7" s="1"/>
  <c r="BQ22" i="7" s="1"/>
  <c r="BR22" i="7" s="1"/>
  <c r="BS22" i="7" s="1"/>
  <c r="BT22" i="7" s="1"/>
  <c r="BU22" i="7" s="1"/>
  <c r="BV22" i="7" s="1"/>
  <c r="BW22" i="7" s="1"/>
  <c r="BX22" i="7" s="1"/>
  <c r="BY22" i="7" s="1"/>
  <c r="BZ22" i="7" s="1"/>
  <c r="CA22" i="7" s="1"/>
  <c r="CB22" i="7" s="1"/>
  <c r="CC22" i="7" s="1"/>
  <c r="CD22" i="7" s="1"/>
  <c r="CE22" i="7" s="1"/>
  <c r="CF22" i="7" s="1"/>
  <c r="CG22" i="7" s="1"/>
  <c r="CH22" i="7" s="1"/>
  <c r="CI22" i="7" s="1"/>
  <c r="CJ22" i="7" s="1"/>
  <c r="CK22" i="7" s="1"/>
  <c r="CL22" i="7" s="1"/>
  <c r="CM22" i="7" s="1"/>
  <c r="CN22" i="7" s="1"/>
  <c r="CO22" i="7" s="1"/>
  <c r="CP22" i="7" s="1"/>
  <c r="CQ22" i="7" s="1"/>
  <c r="CR22" i="7" s="1"/>
  <c r="CS22" i="7" s="1"/>
  <c r="CT22" i="7" s="1"/>
  <c r="CU22" i="7" s="1"/>
  <c r="CV22" i="7" s="1"/>
  <c r="CW22" i="7" s="1"/>
  <c r="CX22" i="7" s="1"/>
  <c r="CY22" i="7" s="1"/>
  <c r="CZ22" i="7" s="1"/>
  <c r="DA22" i="7" s="1"/>
  <c r="DB22" i="7" s="1"/>
  <c r="DC22" i="7" s="1"/>
  <c r="DD22" i="7" s="1"/>
  <c r="DE22" i="7" s="1"/>
  <c r="DF22" i="7" s="1"/>
  <c r="DG22" i="7" s="1"/>
  <c r="DH22" i="7" s="1"/>
  <c r="DI22" i="7" s="1"/>
  <c r="DJ22" i="7" s="1"/>
  <c r="DK22" i="7" s="1"/>
  <c r="DL22" i="7" s="1"/>
  <c r="DM22" i="7" s="1"/>
  <c r="DN22" i="7" s="1"/>
  <c r="DO22" i="7" s="1"/>
  <c r="DP22" i="7" s="1"/>
  <c r="DQ22" i="7" s="1"/>
  <c r="DR22" i="7" s="1"/>
  <c r="DS22" i="7" s="1"/>
  <c r="DT22" i="7" s="1"/>
  <c r="DU22" i="7" s="1"/>
  <c r="DV22" i="7" s="1"/>
  <c r="DW22" i="7" s="1"/>
  <c r="DX22" i="7" s="1"/>
  <c r="DY22" i="7" s="1"/>
  <c r="DZ22" i="7" s="1"/>
  <c r="EA22" i="7" s="1"/>
  <c r="EB22" i="7" s="1"/>
  <c r="EC22" i="7" s="1"/>
  <c r="ED22" i="7" s="1"/>
  <c r="EE22" i="7" s="1"/>
  <c r="EF22" i="7" s="1"/>
  <c r="EG22" i="7" s="1"/>
  <c r="EH22" i="7" s="1"/>
  <c r="EI22" i="7" s="1"/>
  <c r="EJ22" i="7" s="1"/>
  <c r="EK22" i="7" s="1"/>
  <c r="EL22" i="7" s="1"/>
  <c r="D22" i="7"/>
  <c r="E22" i="7" s="1"/>
  <c r="D21" i="7"/>
  <c r="E21" i="7" s="1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T21" i="7" s="1"/>
  <c r="U21" i="7" s="1"/>
  <c r="V21" i="7" s="1"/>
  <c r="W21" i="7" s="1"/>
  <c r="X21" i="7" s="1"/>
  <c r="Y21" i="7" s="1"/>
  <c r="Z21" i="7" s="1"/>
  <c r="AA21" i="7" s="1"/>
  <c r="AB21" i="7" s="1"/>
  <c r="AC21" i="7" s="1"/>
  <c r="AD21" i="7" s="1"/>
  <c r="AE21" i="7" s="1"/>
  <c r="AF21" i="7" s="1"/>
  <c r="AG21" i="7" s="1"/>
  <c r="AH21" i="7" s="1"/>
  <c r="AI21" i="7" s="1"/>
  <c r="AJ21" i="7" s="1"/>
  <c r="AK21" i="7" s="1"/>
  <c r="AL21" i="7" s="1"/>
  <c r="AM21" i="7" s="1"/>
  <c r="AN21" i="7" s="1"/>
  <c r="AO21" i="7" s="1"/>
  <c r="AP21" i="7" s="1"/>
  <c r="AQ21" i="7" s="1"/>
  <c r="AR21" i="7" s="1"/>
  <c r="AS21" i="7" s="1"/>
  <c r="AT21" i="7" s="1"/>
  <c r="AU21" i="7" s="1"/>
  <c r="AV21" i="7" s="1"/>
  <c r="AW21" i="7" s="1"/>
  <c r="AX21" i="7" s="1"/>
  <c r="AY21" i="7" s="1"/>
  <c r="AZ21" i="7" s="1"/>
  <c r="BA21" i="7" s="1"/>
  <c r="BB21" i="7" s="1"/>
  <c r="BC21" i="7" s="1"/>
  <c r="BD21" i="7" s="1"/>
  <c r="BE21" i="7" s="1"/>
  <c r="BF21" i="7" s="1"/>
  <c r="BG21" i="7" s="1"/>
  <c r="BH21" i="7" s="1"/>
  <c r="BI21" i="7" s="1"/>
  <c r="BJ21" i="7" s="1"/>
  <c r="BK21" i="7" s="1"/>
  <c r="BL21" i="7" s="1"/>
  <c r="BM21" i="7" s="1"/>
  <c r="BN21" i="7" s="1"/>
  <c r="BO21" i="7" s="1"/>
  <c r="BP21" i="7" s="1"/>
  <c r="BQ21" i="7" s="1"/>
  <c r="BR21" i="7" s="1"/>
  <c r="BS21" i="7" s="1"/>
  <c r="BT21" i="7" s="1"/>
  <c r="BU21" i="7" s="1"/>
  <c r="BV21" i="7" s="1"/>
  <c r="BW21" i="7" s="1"/>
  <c r="BX21" i="7" s="1"/>
  <c r="BY21" i="7" s="1"/>
  <c r="BZ21" i="7" s="1"/>
  <c r="CA21" i="7" s="1"/>
  <c r="CB21" i="7" s="1"/>
  <c r="CC21" i="7" s="1"/>
  <c r="CD21" i="7" s="1"/>
  <c r="CE21" i="7" s="1"/>
  <c r="CF21" i="7" s="1"/>
  <c r="CG21" i="7" s="1"/>
  <c r="CH21" i="7" s="1"/>
  <c r="CI21" i="7" s="1"/>
  <c r="CJ21" i="7" s="1"/>
  <c r="CK21" i="7" s="1"/>
  <c r="CL21" i="7" s="1"/>
  <c r="CM21" i="7" s="1"/>
  <c r="CN21" i="7" s="1"/>
  <c r="CO21" i="7" s="1"/>
  <c r="CP21" i="7" s="1"/>
  <c r="CQ21" i="7" s="1"/>
  <c r="CR21" i="7" s="1"/>
  <c r="CS21" i="7" s="1"/>
  <c r="CT21" i="7" s="1"/>
  <c r="CU21" i="7" s="1"/>
  <c r="CV21" i="7" s="1"/>
  <c r="CW21" i="7" s="1"/>
  <c r="CX21" i="7" s="1"/>
  <c r="CY21" i="7" s="1"/>
  <c r="CZ21" i="7" s="1"/>
  <c r="DA21" i="7" s="1"/>
  <c r="DB21" i="7" s="1"/>
  <c r="DC21" i="7" s="1"/>
  <c r="DD21" i="7" s="1"/>
  <c r="DE21" i="7" s="1"/>
  <c r="DF21" i="7" s="1"/>
  <c r="DG21" i="7" s="1"/>
  <c r="DH21" i="7" s="1"/>
  <c r="DI21" i="7" s="1"/>
  <c r="DJ21" i="7" s="1"/>
  <c r="DK21" i="7" s="1"/>
  <c r="DL21" i="7" s="1"/>
  <c r="DM21" i="7" s="1"/>
  <c r="DN21" i="7" s="1"/>
  <c r="DO21" i="7" s="1"/>
  <c r="DP21" i="7" s="1"/>
  <c r="DQ21" i="7" s="1"/>
  <c r="DR21" i="7" s="1"/>
  <c r="DS21" i="7" s="1"/>
  <c r="DT21" i="7" s="1"/>
  <c r="DU21" i="7" s="1"/>
  <c r="DV21" i="7" s="1"/>
  <c r="DW21" i="7" s="1"/>
  <c r="DX21" i="7" s="1"/>
  <c r="DY21" i="7" s="1"/>
  <c r="DZ21" i="7" s="1"/>
  <c r="EA21" i="7" s="1"/>
  <c r="EB21" i="7" s="1"/>
  <c r="EC21" i="7" s="1"/>
  <c r="ED21" i="7" s="1"/>
  <c r="EE21" i="7" s="1"/>
  <c r="EF21" i="7" s="1"/>
  <c r="EG21" i="7" s="1"/>
  <c r="EH21" i="7" s="1"/>
  <c r="EI21" i="7" s="1"/>
  <c r="EJ21" i="7" s="1"/>
  <c r="EK21" i="7" s="1"/>
  <c r="EL21" i="7" s="1"/>
  <c r="DF20" i="7"/>
  <c r="DG20" i="7" s="1"/>
  <c r="DH20" i="7" s="1"/>
  <c r="DI20" i="7" s="1"/>
  <c r="DJ20" i="7" s="1"/>
  <c r="DK20" i="7" s="1"/>
  <c r="DL20" i="7" s="1"/>
  <c r="DM20" i="7" s="1"/>
  <c r="DN20" i="7" s="1"/>
  <c r="DO20" i="7" s="1"/>
  <c r="DP20" i="7" s="1"/>
  <c r="DQ20" i="7" s="1"/>
  <c r="DR20" i="7" s="1"/>
  <c r="DS20" i="7" s="1"/>
  <c r="DT20" i="7" s="1"/>
  <c r="DU20" i="7" s="1"/>
  <c r="DV20" i="7" s="1"/>
  <c r="DW20" i="7" s="1"/>
  <c r="DX20" i="7" s="1"/>
  <c r="DY20" i="7" s="1"/>
  <c r="DZ20" i="7" s="1"/>
  <c r="EA20" i="7" s="1"/>
  <c r="EB20" i="7" s="1"/>
  <c r="EC20" i="7" s="1"/>
  <c r="ED20" i="7" s="1"/>
  <c r="EE20" i="7" s="1"/>
  <c r="EF20" i="7" s="1"/>
  <c r="EG20" i="7" s="1"/>
  <c r="EH20" i="7" s="1"/>
  <c r="EI20" i="7" s="1"/>
  <c r="EJ20" i="7" s="1"/>
  <c r="EK20" i="7" s="1"/>
  <c r="EL20" i="7" s="1"/>
  <c r="D20" i="7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S20" i="7" s="1"/>
  <c r="AT20" i="7" s="1"/>
  <c r="AU20" i="7" s="1"/>
  <c r="AV20" i="7" s="1"/>
  <c r="AW20" i="7" s="1"/>
  <c r="AX20" i="7" s="1"/>
  <c r="AY20" i="7" s="1"/>
  <c r="AZ20" i="7" s="1"/>
  <c r="BA20" i="7" s="1"/>
  <c r="BB20" i="7" s="1"/>
  <c r="BC20" i="7" s="1"/>
  <c r="BD20" i="7" s="1"/>
  <c r="BE20" i="7" s="1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CE20" i="7" s="1"/>
  <c r="CF20" i="7" s="1"/>
  <c r="CG20" i="7" s="1"/>
  <c r="CH20" i="7" s="1"/>
  <c r="CI20" i="7" s="1"/>
  <c r="CJ20" i="7" s="1"/>
  <c r="CK20" i="7" s="1"/>
  <c r="CL20" i="7" s="1"/>
  <c r="CM20" i="7" s="1"/>
  <c r="CN20" i="7" s="1"/>
  <c r="CO20" i="7" s="1"/>
  <c r="CP20" i="7" s="1"/>
  <c r="CQ20" i="7" s="1"/>
  <c r="CR20" i="7" s="1"/>
  <c r="CS20" i="7" s="1"/>
  <c r="CT20" i="7" s="1"/>
  <c r="CU20" i="7" s="1"/>
  <c r="CV20" i="7" s="1"/>
  <c r="CW20" i="7" s="1"/>
  <c r="CX20" i="7" s="1"/>
  <c r="CY20" i="7" s="1"/>
  <c r="CZ20" i="7" s="1"/>
  <c r="DA20" i="7" s="1"/>
  <c r="DB20" i="7" s="1"/>
  <c r="DC20" i="7" s="1"/>
  <c r="DD20" i="7" s="1"/>
  <c r="DE20" i="7" s="1"/>
  <c r="F19" i="7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BC19" i="7" s="1"/>
  <c r="BD19" i="7" s="1"/>
  <c r="BE19" i="7" s="1"/>
  <c r="BF19" i="7" s="1"/>
  <c r="BG19" i="7" s="1"/>
  <c r="BH19" i="7" s="1"/>
  <c r="BI19" i="7" s="1"/>
  <c r="BJ19" i="7" s="1"/>
  <c r="BK19" i="7" s="1"/>
  <c r="BL19" i="7" s="1"/>
  <c r="BM19" i="7" s="1"/>
  <c r="BN19" i="7" s="1"/>
  <c r="BO19" i="7" s="1"/>
  <c r="BP19" i="7" s="1"/>
  <c r="BQ19" i="7" s="1"/>
  <c r="BR19" i="7" s="1"/>
  <c r="BS19" i="7" s="1"/>
  <c r="BT19" i="7" s="1"/>
  <c r="BU19" i="7" s="1"/>
  <c r="BV19" i="7" s="1"/>
  <c r="BW19" i="7" s="1"/>
  <c r="BX19" i="7" s="1"/>
  <c r="BY19" i="7" s="1"/>
  <c r="BZ19" i="7" s="1"/>
  <c r="CA19" i="7" s="1"/>
  <c r="CB19" i="7" s="1"/>
  <c r="CC19" i="7" s="1"/>
  <c r="CD19" i="7" s="1"/>
  <c r="CE19" i="7" s="1"/>
  <c r="CF19" i="7" s="1"/>
  <c r="CG19" i="7" s="1"/>
  <c r="CH19" i="7" s="1"/>
  <c r="CI19" i="7" s="1"/>
  <c r="CJ19" i="7" s="1"/>
  <c r="CK19" i="7" s="1"/>
  <c r="CL19" i="7" s="1"/>
  <c r="CM19" i="7" s="1"/>
  <c r="CN19" i="7" s="1"/>
  <c r="CO19" i="7" s="1"/>
  <c r="CP19" i="7" s="1"/>
  <c r="CQ19" i="7" s="1"/>
  <c r="CR19" i="7" s="1"/>
  <c r="CS19" i="7" s="1"/>
  <c r="CT19" i="7" s="1"/>
  <c r="CU19" i="7" s="1"/>
  <c r="CV19" i="7" s="1"/>
  <c r="CW19" i="7" s="1"/>
  <c r="CX19" i="7" s="1"/>
  <c r="CY19" i="7" s="1"/>
  <c r="CZ19" i="7" s="1"/>
  <c r="DA19" i="7" s="1"/>
  <c r="DB19" i="7" s="1"/>
  <c r="DC19" i="7" s="1"/>
  <c r="DD19" i="7" s="1"/>
  <c r="DE19" i="7" s="1"/>
  <c r="DF19" i="7" s="1"/>
  <c r="DG19" i="7" s="1"/>
  <c r="DH19" i="7" s="1"/>
  <c r="DI19" i="7" s="1"/>
  <c r="DJ19" i="7" s="1"/>
  <c r="DK19" i="7" s="1"/>
  <c r="DL19" i="7" s="1"/>
  <c r="DM19" i="7" s="1"/>
  <c r="DN19" i="7" s="1"/>
  <c r="DO19" i="7" s="1"/>
  <c r="DP19" i="7" s="1"/>
  <c r="DQ19" i="7" s="1"/>
  <c r="DR19" i="7" s="1"/>
  <c r="DS19" i="7" s="1"/>
  <c r="DT19" i="7" s="1"/>
  <c r="DU19" i="7" s="1"/>
  <c r="DV19" i="7" s="1"/>
  <c r="DW19" i="7" s="1"/>
  <c r="DX19" i="7" s="1"/>
  <c r="DY19" i="7" s="1"/>
  <c r="DZ19" i="7" s="1"/>
  <c r="EA19" i="7" s="1"/>
  <c r="EB19" i="7" s="1"/>
  <c r="EC19" i="7" s="1"/>
  <c r="ED19" i="7" s="1"/>
  <c r="EE19" i="7" s="1"/>
  <c r="EF19" i="7" s="1"/>
  <c r="EG19" i="7" s="1"/>
  <c r="EH19" i="7" s="1"/>
  <c r="EI19" i="7" s="1"/>
  <c r="EJ19" i="7" s="1"/>
  <c r="EK19" i="7" s="1"/>
  <c r="EL19" i="7" s="1"/>
  <c r="E19" i="7"/>
  <c r="D19" i="7"/>
  <c r="E18" i="7"/>
  <c r="F18" i="7" s="1"/>
  <c r="G18" i="7" s="1"/>
  <c r="H18" i="7" s="1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V18" i="7" s="1"/>
  <c r="AW18" i="7" s="1"/>
  <c r="AX18" i="7" s="1"/>
  <c r="AY18" i="7" s="1"/>
  <c r="AZ18" i="7" s="1"/>
  <c r="BA18" i="7" s="1"/>
  <c r="BB18" i="7" s="1"/>
  <c r="BC18" i="7" s="1"/>
  <c r="BD18" i="7" s="1"/>
  <c r="BE18" i="7" s="1"/>
  <c r="BF18" i="7" s="1"/>
  <c r="BG18" i="7" s="1"/>
  <c r="BH18" i="7" s="1"/>
  <c r="BI18" i="7" s="1"/>
  <c r="BJ18" i="7" s="1"/>
  <c r="BK18" i="7" s="1"/>
  <c r="BL18" i="7" s="1"/>
  <c r="BM18" i="7" s="1"/>
  <c r="BN18" i="7" s="1"/>
  <c r="BO18" i="7" s="1"/>
  <c r="BP18" i="7" s="1"/>
  <c r="BQ18" i="7" s="1"/>
  <c r="BR18" i="7" s="1"/>
  <c r="BS18" i="7" s="1"/>
  <c r="BT18" i="7" s="1"/>
  <c r="BU18" i="7" s="1"/>
  <c r="BV18" i="7" s="1"/>
  <c r="BW18" i="7" s="1"/>
  <c r="BX18" i="7" s="1"/>
  <c r="BY18" i="7" s="1"/>
  <c r="BZ18" i="7" s="1"/>
  <c r="CA18" i="7" s="1"/>
  <c r="CB18" i="7" s="1"/>
  <c r="CC18" i="7" s="1"/>
  <c r="CD18" i="7" s="1"/>
  <c r="CE18" i="7" s="1"/>
  <c r="CF18" i="7" s="1"/>
  <c r="CG18" i="7" s="1"/>
  <c r="CH18" i="7" s="1"/>
  <c r="CI18" i="7" s="1"/>
  <c r="CJ18" i="7" s="1"/>
  <c r="CK18" i="7" s="1"/>
  <c r="CL18" i="7" s="1"/>
  <c r="CM18" i="7" s="1"/>
  <c r="CN18" i="7" s="1"/>
  <c r="CO18" i="7" s="1"/>
  <c r="CP18" i="7" s="1"/>
  <c r="CQ18" i="7" s="1"/>
  <c r="CR18" i="7" s="1"/>
  <c r="CS18" i="7" s="1"/>
  <c r="CT18" i="7" s="1"/>
  <c r="CU18" i="7" s="1"/>
  <c r="CV18" i="7" s="1"/>
  <c r="CW18" i="7" s="1"/>
  <c r="CX18" i="7" s="1"/>
  <c r="CY18" i="7" s="1"/>
  <c r="CZ18" i="7" s="1"/>
  <c r="DA18" i="7" s="1"/>
  <c r="DB18" i="7" s="1"/>
  <c r="DC18" i="7" s="1"/>
  <c r="DD18" i="7" s="1"/>
  <c r="DE18" i="7" s="1"/>
  <c r="DF18" i="7" s="1"/>
  <c r="DG18" i="7" s="1"/>
  <c r="DH18" i="7" s="1"/>
  <c r="DI18" i="7" s="1"/>
  <c r="DJ18" i="7" s="1"/>
  <c r="DK18" i="7" s="1"/>
  <c r="DL18" i="7" s="1"/>
  <c r="DM18" i="7" s="1"/>
  <c r="DN18" i="7" s="1"/>
  <c r="DO18" i="7" s="1"/>
  <c r="DP18" i="7" s="1"/>
  <c r="DQ18" i="7" s="1"/>
  <c r="DR18" i="7" s="1"/>
  <c r="DS18" i="7" s="1"/>
  <c r="DT18" i="7" s="1"/>
  <c r="DU18" i="7" s="1"/>
  <c r="DV18" i="7" s="1"/>
  <c r="DW18" i="7" s="1"/>
  <c r="DX18" i="7" s="1"/>
  <c r="DY18" i="7" s="1"/>
  <c r="DZ18" i="7" s="1"/>
  <c r="EA18" i="7" s="1"/>
  <c r="EB18" i="7" s="1"/>
  <c r="EC18" i="7" s="1"/>
  <c r="ED18" i="7" s="1"/>
  <c r="EE18" i="7" s="1"/>
  <c r="EF18" i="7" s="1"/>
  <c r="EG18" i="7" s="1"/>
  <c r="EH18" i="7" s="1"/>
  <c r="EI18" i="7" s="1"/>
  <c r="EJ18" i="7" s="1"/>
  <c r="EK18" i="7" s="1"/>
  <c r="EL18" i="7" s="1"/>
  <c r="D18" i="7"/>
  <c r="D17" i="7"/>
  <c r="E17" i="7" s="1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BI17" i="7" s="1"/>
  <c r="BJ17" i="7" s="1"/>
  <c r="BK17" i="7" s="1"/>
  <c r="BL17" i="7" s="1"/>
  <c r="BM17" i="7" s="1"/>
  <c r="BN17" i="7" s="1"/>
  <c r="BO17" i="7" s="1"/>
  <c r="BP17" i="7" s="1"/>
  <c r="BQ17" i="7" s="1"/>
  <c r="BR17" i="7" s="1"/>
  <c r="BS17" i="7" s="1"/>
  <c r="BT17" i="7" s="1"/>
  <c r="BU17" i="7" s="1"/>
  <c r="BV17" i="7" s="1"/>
  <c r="BW17" i="7" s="1"/>
  <c r="BX17" i="7" s="1"/>
  <c r="BY17" i="7" s="1"/>
  <c r="BZ17" i="7" s="1"/>
  <c r="CA17" i="7" s="1"/>
  <c r="CB17" i="7" s="1"/>
  <c r="CC17" i="7" s="1"/>
  <c r="CD17" i="7" s="1"/>
  <c r="CE17" i="7" s="1"/>
  <c r="CF17" i="7" s="1"/>
  <c r="CG17" i="7" s="1"/>
  <c r="CH17" i="7" s="1"/>
  <c r="CI17" i="7" s="1"/>
  <c r="CJ17" i="7" s="1"/>
  <c r="CK17" i="7" s="1"/>
  <c r="CL17" i="7" s="1"/>
  <c r="CM17" i="7" s="1"/>
  <c r="CN17" i="7" s="1"/>
  <c r="CO17" i="7" s="1"/>
  <c r="CP17" i="7" s="1"/>
  <c r="CQ17" i="7" s="1"/>
  <c r="CR17" i="7" s="1"/>
  <c r="CS17" i="7" s="1"/>
  <c r="CT17" i="7" s="1"/>
  <c r="CU17" i="7" s="1"/>
  <c r="CV17" i="7" s="1"/>
  <c r="CW17" i="7" s="1"/>
  <c r="CX17" i="7" s="1"/>
  <c r="CY17" i="7" s="1"/>
  <c r="CZ17" i="7" s="1"/>
  <c r="DA17" i="7" s="1"/>
  <c r="DB17" i="7" s="1"/>
  <c r="DC17" i="7" s="1"/>
  <c r="DD17" i="7" s="1"/>
  <c r="DE17" i="7" s="1"/>
  <c r="DF17" i="7" s="1"/>
  <c r="DG17" i="7" s="1"/>
  <c r="DH17" i="7" s="1"/>
  <c r="DI17" i="7" s="1"/>
  <c r="DJ17" i="7" s="1"/>
  <c r="DK17" i="7" s="1"/>
  <c r="DL17" i="7" s="1"/>
  <c r="DM17" i="7" s="1"/>
  <c r="DN17" i="7" s="1"/>
  <c r="DO17" i="7" s="1"/>
  <c r="DP17" i="7" s="1"/>
  <c r="DQ17" i="7" s="1"/>
  <c r="DR17" i="7" s="1"/>
  <c r="DS17" i="7" s="1"/>
  <c r="DT17" i="7" s="1"/>
  <c r="DU17" i="7" s="1"/>
  <c r="DV17" i="7" s="1"/>
  <c r="DW17" i="7" s="1"/>
  <c r="DX17" i="7" s="1"/>
  <c r="DY17" i="7" s="1"/>
  <c r="DZ17" i="7" s="1"/>
  <c r="EA17" i="7" s="1"/>
  <c r="EB17" i="7" s="1"/>
  <c r="EC17" i="7" s="1"/>
  <c r="ED17" i="7" s="1"/>
  <c r="EE17" i="7" s="1"/>
  <c r="EF17" i="7" s="1"/>
  <c r="EG17" i="7" s="1"/>
  <c r="EH17" i="7" s="1"/>
  <c r="EI17" i="7" s="1"/>
  <c r="EJ17" i="7" s="1"/>
  <c r="EK17" i="7" s="1"/>
  <c r="EL17" i="7" s="1"/>
  <c r="K16" i="7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BB16" i="7" s="1"/>
  <c r="BC16" i="7" s="1"/>
  <c r="BD16" i="7" s="1"/>
  <c r="BE16" i="7" s="1"/>
  <c r="BF16" i="7" s="1"/>
  <c r="BG16" i="7" s="1"/>
  <c r="BH16" i="7" s="1"/>
  <c r="BI16" i="7" s="1"/>
  <c r="BJ16" i="7" s="1"/>
  <c r="BK16" i="7" s="1"/>
  <c r="BL16" i="7" s="1"/>
  <c r="BM16" i="7" s="1"/>
  <c r="BN16" i="7" s="1"/>
  <c r="BO16" i="7" s="1"/>
  <c r="BP16" i="7" s="1"/>
  <c r="BQ16" i="7" s="1"/>
  <c r="BR16" i="7" s="1"/>
  <c r="BS16" i="7" s="1"/>
  <c r="BT16" i="7" s="1"/>
  <c r="BU16" i="7" s="1"/>
  <c r="BV16" i="7" s="1"/>
  <c r="BW16" i="7" s="1"/>
  <c r="BX16" i="7" s="1"/>
  <c r="BY16" i="7" s="1"/>
  <c r="BZ16" i="7" s="1"/>
  <c r="CA16" i="7" s="1"/>
  <c r="CB16" i="7" s="1"/>
  <c r="CC16" i="7" s="1"/>
  <c r="CD16" i="7" s="1"/>
  <c r="CE16" i="7" s="1"/>
  <c r="CF16" i="7" s="1"/>
  <c r="CG16" i="7" s="1"/>
  <c r="CH16" i="7" s="1"/>
  <c r="CI16" i="7" s="1"/>
  <c r="CJ16" i="7" s="1"/>
  <c r="CK16" i="7" s="1"/>
  <c r="CL16" i="7" s="1"/>
  <c r="CM16" i="7" s="1"/>
  <c r="CN16" i="7" s="1"/>
  <c r="CO16" i="7" s="1"/>
  <c r="CP16" i="7" s="1"/>
  <c r="CQ16" i="7" s="1"/>
  <c r="CR16" i="7" s="1"/>
  <c r="CS16" i="7" s="1"/>
  <c r="CT16" i="7" s="1"/>
  <c r="CU16" i="7" s="1"/>
  <c r="CV16" i="7" s="1"/>
  <c r="CW16" i="7" s="1"/>
  <c r="CX16" i="7" s="1"/>
  <c r="CY16" i="7" s="1"/>
  <c r="CZ16" i="7" s="1"/>
  <c r="DA16" i="7" s="1"/>
  <c r="DB16" i="7" s="1"/>
  <c r="DC16" i="7" s="1"/>
  <c r="DD16" i="7" s="1"/>
  <c r="DE16" i="7" s="1"/>
  <c r="DF16" i="7" s="1"/>
  <c r="DG16" i="7" s="1"/>
  <c r="DH16" i="7" s="1"/>
  <c r="DI16" i="7" s="1"/>
  <c r="DJ16" i="7" s="1"/>
  <c r="DK16" i="7" s="1"/>
  <c r="DL16" i="7" s="1"/>
  <c r="DM16" i="7" s="1"/>
  <c r="DN16" i="7" s="1"/>
  <c r="DO16" i="7" s="1"/>
  <c r="DP16" i="7" s="1"/>
  <c r="DQ16" i="7" s="1"/>
  <c r="DR16" i="7" s="1"/>
  <c r="DS16" i="7" s="1"/>
  <c r="DT16" i="7" s="1"/>
  <c r="DU16" i="7" s="1"/>
  <c r="DV16" i="7" s="1"/>
  <c r="DW16" i="7" s="1"/>
  <c r="DX16" i="7" s="1"/>
  <c r="DY16" i="7" s="1"/>
  <c r="DZ16" i="7" s="1"/>
  <c r="EA16" i="7" s="1"/>
  <c r="EB16" i="7" s="1"/>
  <c r="EC16" i="7" s="1"/>
  <c r="ED16" i="7" s="1"/>
  <c r="EE16" i="7" s="1"/>
  <c r="EF16" i="7" s="1"/>
  <c r="EG16" i="7" s="1"/>
  <c r="EH16" i="7" s="1"/>
  <c r="EI16" i="7" s="1"/>
  <c r="EJ16" i="7" s="1"/>
  <c r="EK16" i="7" s="1"/>
  <c r="EL16" i="7" s="1"/>
  <c r="E16" i="7"/>
  <c r="F16" i="7" s="1"/>
  <c r="G16" i="7" s="1"/>
  <c r="H16" i="7" s="1"/>
  <c r="I16" i="7" s="1"/>
  <c r="J16" i="7" s="1"/>
  <c r="D16" i="7"/>
  <c r="D15" i="7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AK15" i="7" s="1"/>
  <c r="AL15" i="7" s="1"/>
  <c r="AM15" i="7" s="1"/>
  <c r="AN15" i="7" s="1"/>
  <c r="AO15" i="7" s="1"/>
  <c r="AP15" i="7" s="1"/>
  <c r="AQ15" i="7" s="1"/>
  <c r="AR15" i="7" s="1"/>
  <c r="AS15" i="7" s="1"/>
  <c r="AT15" i="7" s="1"/>
  <c r="AU15" i="7" s="1"/>
  <c r="AV15" i="7" s="1"/>
  <c r="AW15" i="7" s="1"/>
  <c r="AX15" i="7" s="1"/>
  <c r="AY15" i="7" s="1"/>
  <c r="AZ15" i="7" s="1"/>
  <c r="BA15" i="7" s="1"/>
  <c r="BB15" i="7" s="1"/>
  <c r="BC15" i="7" s="1"/>
  <c r="BD15" i="7" s="1"/>
  <c r="BE15" i="7" s="1"/>
  <c r="BF15" i="7" s="1"/>
  <c r="BG15" i="7" s="1"/>
  <c r="BH15" i="7" s="1"/>
  <c r="BI15" i="7" s="1"/>
  <c r="BJ15" i="7" s="1"/>
  <c r="BK15" i="7" s="1"/>
  <c r="BL15" i="7" s="1"/>
  <c r="BM15" i="7" s="1"/>
  <c r="BN15" i="7" s="1"/>
  <c r="BO15" i="7" s="1"/>
  <c r="BP15" i="7" s="1"/>
  <c r="BQ15" i="7" s="1"/>
  <c r="BR15" i="7" s="1"/>
  <c r="BS15" i="7" s="1"/>
  <c r="BT15" i="7" s="1"/>
  <c r="BU15" i="7" s="1"/>
  <c r="BV15" i="7" s="1"/>
  <c r="BW15" i="7" s="1"/>
  <c r="BX15" i="7" s="1"/>
  <c r="BY15" i="7" s="1"/>
  <c r="BZ15" i="7" s="1"/>
  <c r="CA15" i="7" s="1"/>
  <c r="CB15" i="7" s="1"/>
  <c r="CC15" i="7" s="1"/>
  <c r="CD15" i="7" s="1"/>
  <c r="CE15" i="7" s="1"/>
  <c r="CF15" i="7" s="1"/>
  <c r="CG15" i="7" s="1"/>
  <c r="CH15" i="7" s="1"/>
  <c r="CI15" i="7" s="1"/>
  <c r="CJ15" i="7" s="1"/>
  <c r="CK15" i="7" s="1"/>
  <c r="CL15" i="7" s="1"/>
  <c r="CM15" i="7" s="1"/>
  <c r="CN15" i="7" s="1"/>
  <c r="CO15" i="7" s="1"/>
  <c r="CP15" i="7" s="1"/>
  <c r="CQ15" i="7" s="1"/>
  <c r="CR15" i="7" s="1"/>
  <c r="CS15" i="7" s="1"/>
  <c r="CT15" i="7" s="1"/>
  <c r="CU15" i="7" s="1"/>
  <c r="CV15" i="7" s="1"/>
  <c r="CW15" i="7" s="1"/>
  <c r="CX15" i="7" s="1"/>
  <c r="CY15" i="7" s="1"/>
  <c r="CZ15" i="7" s="1"/>
  <c r="DA15" i="7" s="1"/>
  <c r="DB15" i="7" s="1"/>
  <c r="DC15" i="7" s="1"/>
  <c r="DD15" i="7" s="1"/>
  <c r="DE15" i="7" s="1"/>
  <c r="DF15" i="7" s="1"/>
  <c r="DG15" i="7" s="1"/>
  <c r="DH15" i="7" s="1"/>
  <c r="DI15" i="7" s="1"/>
  <c r="DJ15" i="7" s="1"/>
  <c r="DK15" i="7" s="1"/>
  <c r="DL15" i="7" s="1"/>
  <c r="DM15" i="7" s="1"/>
  <c r="DN15" i="7" s="1"/>
  <c r="DO15" i="7" s="1"/>
  <c r="DP15" i="7" s="1"/>
  <c r="DQ15" i="7" s="1"/>
  <c r="DR15" i="7" s="1"/>
  <c r="DS15" i="7" s="1"/>
  <c r="DT15" i="7" s="1"/>
  <c r="DU15" i="7" s="1"/>
  <c r="DV15" i="7" s="1"/>
  <c r="DW15" i="7" s="1"/>
  <c r="DX15" i="7" s="1"/>
  <c r="DY15" i="7" s="1"/>
  <c r="DZ15" i="7" s="1"/>
  <c r="EA15" i="7" s="1"/>
  <c r="EB15" i="7" s="1"/>
  <c r="EC15" i="7" s="1"/>
  <c r="ED15" i="7" s="1"/>
  <c r="EE15" i="7" s="1"/>
  <c r="EF15" i="7" s="1"/>
  <c r="EG15" i="7" s="1"/>
  <c r="EH15" i="7" s="1"/>
  <c r="EI15" i="7" s="1"/>
  <c r="EJ15" i="7" s="1"/>
  <c r="EK15" i="7" s="1"/>
  <c r="EL15" i="7" s="1"/>
  <c r="F14" i="7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AP14" i="7" s="1"/>
  <c r="AQ14" i="7" s="1"/>
  <c r="AR14" i="7" s="1"/>
  <c r="AS14" i="7" s="1"/>
  <c r="AT14" i="7" s="1"/>
  <c r="AU14" i="7" s="1"/>
  <c r="AV14" i="7" s="1"/>
  <c r="AW14" i="7" s="1"/>
  <c r="AX14" i="7" s="1"/>
  <c r="AY14" i="7" s="1"/>
  <c r="AZ14" i="7" s="1"/>
  <c r="BA14" i="7" s="1"/>
  <c r="BB14" i="7" s="1"/>
  <c r="BC14" i="7" s="1"/>
  <c r="BD14" i="7" s="1"/>
  <c r="BE14" i="7" s="1"/>
  <c r="BF14" i="7" s="1"/>
  <c r="BG14" i="7" s="1"/>
  <c r="BH14" i="7" s="1"/>
  <c r="BI14" i="7" s="1"/>
  <c r="BJ14" i="7" s="1"/>
  <c r="BK14" i="7" s="1"/>
  <c r="BL14" i="7" s="1"/>
  <c r="BM14" i="7" s="1"/>
  <c r="BN14" i="7" s="1"/>
  <c r="BO14" i="7" s="1"/>
  <c r="BP14" i="7" s="1"/>
  <c r="BQ14" i="7" s="1"/>
  <c r="BR14" i="7" s="1"/>
  <c r="BS14" i="7" s="1"/>
  <c r="BT14" i="7" s="1"/>
  <c r="BU14" i="7" s="1"/>
  <c r="BV14" i="7" s="1"/>
  <c r="BW14" i="7" s="1"/>
  <c r="BX14" i="7" s="1"/>
  <c r="BY14" i="7" s="1"/>
  <c r="BZ14" i="7" s="1"/>
  <c r="CA14" i="7" s="1"/>
  <c r="CB14" i="7" s="1"/>
  <c r="CC14" i="7" s="1"/>
  <c r="CD14" i="7" s="1"/>
  <c r="CE14" i="7" s="1"/>
  <c r="CF14" i="7" s="1"/>
  <c r="CG14" i="7" s="1"/>
  <c r="CH14" i="7" s="1"/>
  <c r="CI14" i="7" s="1"/>
  <c r="CJ14" i="7" s="1"/>
  <c r="CK14" i="7" s="1"/>
  <c r="CL14" i="7" s="1"/>
  <c r="CM14" i="7" s="1"/>
  <c r="CN14" i="7" s="1"/>
  <c r="CO14" i="7" s="1"/>
  <c r="CP14" i="7" s="1"/>
  <c r="CQ14" i="7" s="1"/>
  <c r="CR14" i="7" s="1"/>
  <c r="CS14" i="7" s="1"/>
  <c r="CT14" i="7" s="1"/>
  <c r="CU14" i="7" s="1"/>
  <c r="CV14" i="7" s="1"/>
  <c r="CW14" i="7" s="1"/>
  <c r="CX14" i="7" s="1"/>
  <c r="CY14" i="7" s="1"/>
  <c r="CZ14" i="7" s="1"/>
  <c r="DA14" i="7" s="1"/>
  <c r="DB14" i="7" s="1"/>
  <c r="DC14" i="7" s="1"/>
  <c r="DD14" i="7" s="1"/>
  <c r="DE14" i="7" s="1"/>
  <c r="DF14" i="7" s="1"/>
  <c r="DG14" i="7" s="1"/>
  <c r="DH14" i="7" s="1"/>
  <c r="DI14" i="7" s="1"/>
  <c r="DJ14" i="7" s="1"/>
  <c r="DK14" i="7" s="1"/>
  <c r="DL14" i="7" s="1"/>
  <c r="DM14" i="7" s="1"/>
  <c r="DN14" i="7" s="1"/>
  <c r="DO14" i="7" s="1"/>
  <c r="DP14" i="7" s="1"/>
  <c r="DQ14" i="7" s="1"/>
  <c r="DR14" i="7" s="1"/>
  <c r="DS14" i="7" s="1"/>
  <c r="DT14" i="7" s="1"/>
  <c r="DU14" i="7" s="1"/>
  <c r="DV14" i="7" s="1"/>
  <c r="DW14" i="7" s="1"/>
  <c r="DX14" i="7" s="1"/>
  <c r="DY14" i="7" s="1"/>
  <c r="DZ14" i="7" s="1"/>
  <c r="EA14" i="7" s="1"/>
  <c r="EB14" i="7" s="1"/>
  <c r="EC14" i="7" s="1"/>
  <c r="ED14" i="7" s="1"/>
  <c r="EE14" i="7" s="1"/>
  <c r="EF14" i="7" s="1"/>
  <c r="EG14" i="7" s="1"/>
  <c r="EH14" i="7" s="1"/>
  <c r="EI14" i="7" s="1"/>
  <c r="EJ14" i="7" s="1"/>
  <c r="EK14" i="7" s="1"/>
  <c r="EL14" i="7" s="1"/>
  <c r="D14" i="7"/>
  <c r="E14" i="7" s="1"/>
  <c r="E13" i="7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BD13" i="7" s="1"/>
  <c r="BE13" i="7" s="1"/>
  <c r="BF13" i="7" s="1"/>
  <c r="BG13" i="7" s="1"/>
  <c r="BH13" i="7" s="1"/>
  <c r="BI13" i="7" s="1"/>
  <c r="BJ13" i="7" s="1"/>
  <c r="BK13" i="7" s="1"/>
  <c r="BL13" i="7" s="1"/>
  <c r="BM13" i="7" s="1"/>
  <c r="BN13" i="7" s="1"/>
  <c r="BO13" i="7" s="1"/>
  <c r="BP13" i="7" s="1"/>
  <c r="BQ13" i="7" s="1"/>
  <c r="BR13" i="7" s="1"/>
  <c r="BS13" i="7" s="1"/>
  <c r="BT13" i="7" s="1"/>
  <c r="BU13" i="7" s="1"/>
  <c r="BV13" i="7" s="1"/>
  <c r="BW13" i="7" s="1"/>
  <c r="BX13" i="7" s="1"/>
  <c r="BY13" i="7" s="1"/>
  <c r="BZ13" i="7" s="1"/>
  <c r="CA13" i="7" s="1"/>
  <c r="CB13" i="7" s="1"/>
  <c r="CC13" i="7" s="1"/>
  <c r="CD13" i="7" s="1"/>
  <c r="CE13" i="7" s="1"/>
  <c r="CF13" i="7" s="1"/>
  <c r="CG13" i="7" s="1"/>
  <c r="CH13" i="7" s="1"/>
  <c r="CI13" i="7" s="1"/>
  <c r="CJ13" i="7" s="1"/>
  <c r="CK13" i="7" s="1"/>
  <c r="CL13" i="7" s="1"/>
  <c r="CM13" i="7" s="1"/>
  <c r="CN13" i="7" s="1"/>
  <c r="CO13" i="7" s="1"/>
  <c r="CP13" i="7" s="1"/>
  <c r="CQ13" i="7" s="1"/>
  <c r="CR13" i="7" s="1"/>
  <c r="CS13" i="7" s="1"/>
  <c r="CT13" i="7" s="1"/>
  <c r="CU13" i="7" s="1"/>
  <c r="CV13" i="7" s="1"/>
  <c r="CW13" i="7" s="1"/>
  <c r="CX13" i="7" s="1"/>
  <c r="CY13" i="7" s="1"/>
  <c r="CZ13" i="7" s="1"/>
  <c r="DA13" i="7" s="1"/>
  <c r="DB13" i="7" s="1"/>
  <c r="DC13" i="7" s="1"/>
  <c r="DD13" i="7" s="1"/>
  <c r="DE13" i="7" s="1"/>
  <c r="DF13" i="7" s="1"/>
  <c r="DG13" i="7" s="1"/>
  <c r="DH13" i="7" s="1"/>
  <c r="DI13" i="7" s="1"/>
  <c r="DJ13" i="7" s="1"/>
  <c r="DK13" i="7" s="1"/>
  <c r="DL13" i="7" s="1"/>
  <c r="DM13" i="7" s="1"/>
  <c r="DN13" i="7" s="1"/>
  <c r="DO13" i="7" s="1"/>
  <c r="DP13" i="7" s="1"/>
  <c r="DQ13" i="7" s="1"/>
  <c r="DR13" i="7" s="1"/>
  <c r="DS13" i="7" s="1"/>
  <c r="DT13" i="7" s="1"/>
  <c r="DU13" i="7" s="1"/>
  <c r="DV13" i="7" s="1"/>
  <c r="DW13" i="7" s="1"/>
  <c r="DX13" i="7" s="1"/>
  <c r="DY13" i="7" s="1"/>
  <c r="DZ13" i="7" s="1"/>
  <c r="EA13" i="7" s="1"/>
  <c r="EB13" i="7" s="1"/>
  <c r="EC13" i="7" s="1"/>
  <c r="ED13" i="7" s="1"/>
  <c r="EE13" i="7" s="1"/>
  <c r="EF13" i="7" s="1"/>
  <c r="EG13" i="7" s="1"/>
  <c r="EH13" i="7" s="1"/>
  <c r="EI13" i="7" s="1"/>
  <c r="EJ13" i="7" s="1"/>
  <c r="EK13" i="7" s="1"/>
  <c r="EL13" i="7" s="1"/>
  <c r="D13" i="7"/>
  <c r="BC12" i="7"/>
  <c r="BD12" i="7" s="1"/>
  <c r="BE12" i="7" s="1"/>
  <c r="BF12" i="7" s="1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EG12" i="7" s="1"/>
  <c r="EH12" i="7" s="1"/>
  <c r="EI12" i="7" s="1"/>
  <c r="EJ12" i="7" s="1"/>
  <c r="EK12" i="7" s="1"/>
  <c r="EL12" i="7" s="1"/>
  <c r="D12" i="7"/>
  <c r="E12" i="7" s="1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EL8" i="7"/>
  <c r="EK8" i="7"/>
  <c r="EI8" i="7"/>
  <c r="EH8" i="7"/>
  <c r="EG8" i="7"/>
  <c r="DL8" i="7"/>
  <c r="DK8" i="7"/>
  <c r="DJ8" i="7"/>
  <c r="DI8" i="7"/>
  <c r="DE8" i="7"/>
  <c r="DD8" i="7"/>
  <c r="CX8" i="7"/>
  <c r="CP8" i="7"/>
  <c r="CO8" i="7"/>
  <c r="CN8" i="7"/>
  <c r="CC8" i="7"/>
  <c r="CA8" i="7"/>
  <c r="BY8" i="7"/>
  <c r="BQ8" i="7"/>
  <c r="BJ8" i="7"/>
  <c r="BF8" i="7"/>
  <c r="BB8" i="7"/>
  <c r="AX8" i="7"/>
  <c r="AW8" i="7"/>
  <c r="AV8" i="7"/>
  <c r="AR8" i="7"/>
  <c r="AP8" i="7"/>
  <c r="AN8" i="7"/>
  <c r="AI8" i="7"/>
  <c r="AC8" i="7"/>
  <c r="AA8" i="7"/>
  <c r="W8" i="7"/>
  <c r="P8" i="7"/>
  <c r="O8" i="7"/>
  <c r="N8" i="7"/>
  <c r="L8" i="7"/>
  <c r="G8" i="7"/>
  <c r="EL7" i="7"/>
  <c r="EK7" i="7"/>
  <c r="EJ7" i="7"/>
  <c r="EI7" i="7"/>
  <c r="EH7" i="7"/>
  <c r="EG7" i="7"/>
  <c r="EF7" i="7"/>
  <c r="EB7" i="7"/>
  <c r="DY7" i="7"/>
  <c r="DU7" i="7"/>
  <c r="DI7" i="7"/>
  <c r="CX7" i="7"/>
  <c r="CW7" i="7"/>
  <c r="CV7" i="7"/>
  <c r="CS7" i="7"/>
  <c r="CR7" i="7"/>
  <c r="CQ7" i="7"/>
  <c r="CP7" i="7"/>
  <c r="CO7" i="7"/>
  <c r="CN7" i="7"/>
  <c r="CK7" i="7"/>
  <c r="BN7" i="7"/>
  <c r="BL7" i="7"/>
  <c r="AT7" i="7"/>
  <c r="AN7" i="7"/>
  <c r="AJ7" i="7"/>
  <c r="AH7" i="7"/>
  <c r="AG7" i="7"/>
  <c r="AE7" i="7"/>
  <c r="AC7" i="7"/>
  <c r="P7" i="7"/>
  <c r="N7" i="7"/>
  <c r="L7" i="7"/>
  <c r="K7" i="7"/>
  <c r="J7" i="7"/>
  <c r="G7" i="7"/>
  <c r="F7" i="7"/>
  <c r="D7" i="7"/>
  <c r="C7" i="7"/>
  <c r="EL6" i="7" a="1"/>
  <c r="EL6" i="7" s="1"/>
  <c r="EK6" i="7" a="1"/>
  <c r="EK6" i="7"/>
  <c r="EJ6" i="7" a="1"/>
  <c r="EJ6" i="7"/>
  <c r="EJ8" i="7" s="1"/>
  <c r="EI6" i="7" a="1"/>
  <c r="EI6" i="7"/>
  <c r="EH6" i="7" a="1"/>
  <c r="EH6" i="7" s="1"/>
  <c r="EG6" i="7" a="1"/>
  <c r="EG6" i="7" s="1"/>
  <c r="EF6" i="7" a="1"/>
  <c r="EF6" i="7" s="1"/>
  <c r="EF8" i="7" s="1"/>
  <c r="EE6" i="7" a="1"/>
  <c r="EE6" i="7"/>
  <c r="ED6" i="7" a="1"/>
  <c r="ED6" i="7"/>
  <c r="EC6" i="7" a="1"/>
  <c r="EC6" i="7" s="1"/>
  <c r="EB6" i="7" a="1"/>
  <c r="EB6" i="7" s="1"/>
  <c r="EB8" i="7" s="1"/>
  <c r="EA6" i="7" a="1"/>
  <c r="EA6" i="7"/>
  <c r="DZ6" i="7" a="1"/>
  <c r="DZ6" i="7" s="1"/>
  <c r="DY6" i="7" a="1"/>
  <c r="DY6" i="7"/>
  <c r="DY8" i="7" s="1"/>
  <c r="DX6" i="7" a="1"/>
  <c r="DX6" i="7"/>
  <c r="DW6" i="7" a="1"/>
  <c r="DW6" i="7" s="1"/>
  <c r="DW8" i="7" s="1"/>
  <c r="DV6" i="7" a="1"/>
  <c r="DV6" i="7" s="1"/>
  <c r="DU6" i="7" a="1"/>
  <c r="DU6" i="7" s="1"/>
  <c r="DU8" i="7" s="1"/>
  <c r="DT6" i="7" a="1"/>
  <c r="DT6" i="7"/>
  <c r="DT8" i="7" s="1"/>
  <c r="DS6" i="7" a="1"/>
  <c r="DS6" i="7" s="1"/>
  <c r="DR6" i="7" a="1"/>
  <c r="DR6" i="7" s="1"/>
  <c r="DQ6" i="7" a="1"/>
  <c r="DQ6" i="7"/>
  <c r="DP6" i="7" a="1"/>
  <c r="DP6" i="7" s="1"/>
  <c r="DO6" i="7" a="1"/>
  <c r="DO6" i="7" s="1"/>
  <c r="DN6" i="7" a="1"/>
  <c r="DN6" i="7" s="1"/>
  <c r="DM6" i="7" a="1"/>
  <c r="DM6" i="7"/>
  <c r="DL6" i="7" a="1"/>
  <c r="DL6" i="7" s="1"/>
  <c r="DL7" i="7" s="1"/>
  <c r="DK6" i="7" a="1"/>
  <c r="DK6" i="7" s="1"/>
  <c r="DK7" i="7" s="1"/>
  <c r="DJ6" i="7" a="1"/>
  <c r="DJ6" i="7"/>
  <c r="DJ7" i="7" s="1"/>
  <c r="DI6" i="7" a="1"/>
  <c r="DI6" i="7"/>
  <c r="DH6" i="7" a="1"/>
  <c r="DH6" i="7"/>
  <c r="DG6" i="7" a="1"/>
  <c r="DG6" i="7"/>
  <c r="DF6" i="7" a="1"/>
  <c r="DF6" i="7"/>
  <c r="DE6" i="7" a="1"/>
  <c r="DE6" i="7" s="1"/>
  <c r="DE7" i="7" s="1"/>
  <c r="DD6" i="7" a="1"/>
  <c r="DD6" i="7" s="1"/>
  <c r="DD7" i="7" s="1"/>
  <c r="DC6" i="7" a="1"/>
  <c r="DC6" i="7"/>
  <c r="DB6" i="7" a="1"/>
  <c r="DB6" i="7" s="1"/>
  <c r="DA6" i="7" a="1"/>
  <c r="DA6" i="7" s="1"/>
  <c r="CZ6" i="7" a="1"/>
  <c r="CZ6" i="7" s="1"/>
  <c r="CY6" i="7" a="1"/>
  <c r="CY6" i="7"/>
  <c r="CX6" i="7" a="1"/>
  <c r="CX6" i="7"/>
  <c r="CW6" i="7" a="1"/>
  <c r="CW6" i="7" s="1"/>
  <c r="CW8" i="7" s="1"/>
  <c r="CV6" i="7" a="1"/>
  <c r="CV6" i="7" s="1"/>
  <c r="CV8" i="7" s="1"/>
  <c r="CU6" i="7" a="1"/>
  <c r="CU6" i="7" s="1"/>
  <c r="CT6" i="7" a="1"/>
  <c r="CT6" i="7" s="1"/>
  <c r="CS6" i="7" a="1"/>
  <c r="CS6" i="7"/>
  <c r="CS8" i="7" s="1"/>
  <c r="CR6" i="7" a="1"/>
  <c r="CR6" i="7" s="1"/>
  <c r="CR8" i="7" s="1"/>
  <c r="CQ6" i="7" a="1"/>
  <c r="CQ6" i="7"/>
  <c r="CQ8" i="7" s="1"/>
  <c r="CP6" i="7" a="1"/>
  <c r="CP6" i="7" s="1"/>
  <c r="CO6" i="7" a="1"/>
  <c r="CO6" i="7" s="1"/>
  <c r="CN6" i="7" a="1"/>
  <c r="CN6" i="7"/>
  <c r="CM6" i="7" a="1"/>
  <c r="CM6" i="7" s="1"/>
  <c r="CL6" i="7" a="1"/>
  <c r="CL6" i="7"/>
  <c r="CK6" i="7" a="1"/>
  <c r="CK6" i="7" s="1"/>
  <c r="CK8" i="7" s="1"/>
  <c r="CJ6" i="7" a="1"/>
  <c r="CJ6" i="7" s="1"/>
  <c r="CI6" i="7" a="1"/>
  <c r="CI6" i="7" s="1"/>
  <c r="CH6" i="7" a="1"/>
  <c r="CH6" i="7" s="1"/>
  <c r="CG6" i="7" a="1"/>
  <c r="CG6" i="7" s="1"/>
  <c r="CF6" i="7" a="1"/>
  <c r="CF6" i="7" s="1"/>
  <c r="CE6" i="7" a="1"/>
  <c r="CE6" i="7" s="1"/>
  <c r="CD6" i="7" a="1"/>
  <c r="CD6" i="7" s="1"/>
  <c r="CC6" i="7" a="1"/>
  <c r="CC6" i="7"/>
  <c r="CC7" i="7" s="1"/>
  <c r="CB6" i="7" a="1"/>
  <c r="CB6" i="7" s="1"/>
  <c r="CA6" i="7" a="1"/>
  <c r="CA6" i="7" s="1"/>
  <c r="CA7" i="7" s="1"/>
  <c r="BZ6" i="7" a="1"/>
  <c r="BZ6" i="7"/>
  <c r="BY6" i="7" a="1"/>
  <c r="BY6" i="7" s="1"/>
  <c r="BY7" i="7" s="1"/>
  <c r="BX6" i="7" a="1"/>
  <c r="BX6" i="7" s="1"/>
  <c r="BW6" i="7" a="1"/>
  <c r="BW6" i="7"/>
  <c r="BV6" i="7" a="1"/>
  <c r="BV6" i="7" s="1"/>
  <c r="BU6" i="7" a="1"/>
  <c r="BU6" i="7" s="1"/>
  <c r="BU8" i="7" s="1"/>
  <c r="BT6" i="7" a="1"/>
  <c r="BT6" i="7" s="1"/>
  <c r="BT8" i="7" s="1"/>
  <c r="BS6" i="7" a="1"/>
  <c r="BS6" i="7"/>
  <c r="BR6" i="7" a="1"/>
  <c r="BR6" i="7" s="1"/>
  <c r="BQ6" i="7" a="1"/>
  <c r="BQ6" i="7"/>
  <c r="BQ7" i="7" s="1"/>
  <c r="BP6" i="7" a="1"/>
  <c r="BP6" i="7"/>
  <c r="BO6" i="7" a="1"/>
  <c r="BO6" i="7" s="1"/>
  <c r="BN6" i="7" a="1"/>
  <c r="BN6" i="7"/>
  <c r="BN8" i="7" s="1"/>
  <c r="BM6" i="7" a="1"/>
  <c r="BM6" i="7" s="1"/>
  <c r="BL6" i="7" a="1"/>
  <c r="BL6" i="7" s="1"/>
  <c r="BL8" i="7" s="1"/>
  <c r="BK6" i="7" a="1"/>
  <c r="BK6" i="7"/>
  <c r="BJ6" i="7" a="1"/>
  <c r="BJ6" i="7"/>
  <c r="BJ7" i="7" s="1"/>
  <c r="BI6" i="7" a="1"/>
  <c r="BI6" i="7" s="1"/>
  <c r="BH6" i="7" a="1"/>
  <c r="BH6" i="7"/>
  <c r="BG6" i="7" a="1"/>
  <c r="BG6" i="7" s="1"/>
  <c r="BF6" i="7" a="1"/>
  <c r="BF6" i="7"/>
  <c r="BF7" i="7" s="1"/>
  <c r="BE6" i="7" a="1"/>
  <c r="BE6" i="7"/>
  <c r="BD6" i="7" a="1"/>
  <c r="BD6" i="7" s="1"/>
  <c r="BC6" i="7" a="1"/>
  <c r="BC6" i="7"/>
  <c r="BB6" i="7" a="1"/>
  <c r="BB6" i="7"/>
  <c r="BB7" i="7" s="1"/>
  <c r="BA6" i="7" a="1"/>
  <c r="BA6" i="7" s="1"/>
  <c r="AZ6" i="7" a="1"/>
  <c r="AZ6" i="7" s="1"/>
  <c r="AY6" i="7" a="1"/>
  <c r="AY6" i="7"/>
  <c r="AX6" i="7" a="1"/>
  <c r="AX6" i="7" s="1"/>
  <c r="AX7" i="7" s="1"/>
  <c r="AW6" i="7" a="1"/>
  <c r="AW6" i="7"/>
  <c r="AW7" i="7" s="1"/>
  <c r="AV6" i="7" a="1"/>
  <c r="AV6" i="7"/>
  <c r="AV7" i="7" s="1"/>
  <c r="AU6" i="7" a="1"/>
  <c r="AU6" i="7" s="1"/>
  <c r="AT6" i="7" a="1"/>
  <c r="AT6" i="7"/>
  <c r="AT8" i="7" s="1"/>
  <c r="AS6" i="7" a="1"/>
  <c r="AS6" i="7"/>
  <c r="AR6" i="7" a="1"/>
  <c r="AR6" i="7"/>
  <c r="AR7" i="7" s="1"/>
  <c r="AQ6" i="7" a="1"/>
  <c r="AQ6" i="7" s="1"/>
  <c r="AP6" i="7" a="1"/>
  <c r="AP6" i="7"/>
  <c r="AP7" i="7" s="1"/>
  <c r="AO6" i="7" a="1"/>
  <c r="AO6" i="7" s="1"/>
  <c r="AN6" i="7" a="1"/>
  <c r="AN6" i="7" s="1"/>
  <c r="AM6" i="7" a="1"/>
  <c r="AM6" i="7" s="1"/>
  <c r="AL6" i="7" a="1"/>
  <c r="AL6" i="7"/>
  <c r="AK6" i="7" a="1"/>
  <c r="AK6" i="7" s="1"/>
  <c r="AJ6" i="7" a="1"/>
  <c r="AJ6" i="7" s="1"/>
  <c r="AJ8" i="7" s="1"/>
  <c r="AI6" i="7" a="1"/>
  <c r="AI6" i="7"/>
  <c r="AI7" i="7" s="1"/>
  <c r="AH6" i="7" a="1"/>
  <c r="AH6" i="7"/>
  <c r="AH8" i="7" s="1"/>
  <c r="AG6" i="7" a="1"/>
  <c r="AG6" i="7" s="1"/>
  <c r="AG8" i="7" s="1"/>
  <c r="AF6" i="7" a="1"/>
  <c r="AF6" i="7"/>
  <c r="AF8" i="7" s="1"/>
  <c r="AE6" i="7" a="1"/>
  <c r="AE6" i="7" s="1"/>
  <c r="AE8" i="7" s="1"/>
  <c r="AD6" i="7" a="1"/>
  <c r="AD6" i="7"/>
  <c r="AC6" i="7" a="1"/>
  <c r="AC6" i="7" s="1"/>
  <c r="AB6" i="7" a="1"/>
  <c r="AB6" i="7" s="1"/>
  <c r="AB8" i="7" s="1"/>
  <c r="AA6" i="7" a="1"/>
  <c r="AA6" i="7"/>
  <c r="AA7" i="7" s="1"/>
  <c r="Z6" i="7" a="1"/>
  <c r="Z6" i="7" s="1"/>
  <c r="Z7" i="7" s="1"/>
  <c r="Y6" i="7" a="1"/>
  <c r="Y6" i="7"/>
  <c r="X6" i="7" a="1"/>
  <c r="X6" i="7" s="1"/>
  <c r="W6" i="7" a="1"/>
  <c r="W6" i="7"/>
  <c r="W7" i="7" s="1"/>
  <c r="V6" i="7" a="1"/>
  <c r="V6" i="7" s="1"/>
  <c r="U6" i="7" a="1"/>
  <c r="U6" i="7"/>
  <c r="T6" i="7" a="1"/>
  <c r="T6" i="7"/>
  <c r="S6" i="7" a="1"/>
  <c r="S6" i="7"/>
  <c r="R6" i="7" a="1"/>
  <c r="R6" i="7"/>
  <c r="R8" i="7" s="1"/>
  <c r="Q6" i="7" a="1"/>
  <c r="Q6" i="7" s="1"/>
  <c r="P6" i="7" a="1"/>
  <c r="P6" i="7"/>
  <c r="O6" i="7" a="1"/>
  <c r="O6" i="7"/>
  <c r="O7" i="7" s="1"/>
  <c r="N6" i="7" a="1"/>
  <c r="N6" i="7" s="1"/>
  <c r="M6" i="7" a="1"/>
  <c r="M6" i="7" s="1"/>
  <c r="L6" i="7" a="1"/>
  <c r="L6" i="7"/>
  <c r="K6" i="7" a="1"/>
  <c r="K6" i="7"/>
  <c r="K8" i="7" s="1"/>
  <c r="J6" i="7" a="1"/>
  <c r="J6" i="7"/>
  <c r="J8" i="7" s="1"/>
  <c r="I6" i="7" a="1"/>
  <c r="I6" i="7" s="1"/>
  <c r="I7" i="7" s="1"/>
  <c r="H6" i="7" a="1"/>
  <c r="H6" i="7"/>
  <c r="G6" i="7" a="1"/>
  <c r="G6" i="7"/>
  <c r="F6" i="7" a="1"/>
  <c r="F6" i="7" s="1"/>
  <c r="F8" i="7" s="1"/>
  <c r="E6" i="7" a="1"/>
  <c r="E6" i="7" s="1"/>
  <c r="D6" i="7" a="1"/>
  <c r="D6" i="7"/>
  <c r="D8" i="7" s="1"/>
  <c r="C6" i="7" a="1"/>
  <c r="C6" i="7"/>
  <c r="C8" i="7" s="1"/>
  <c r="EL19" i="6"/>
  <c r="EK19" i="6"/>
  <c r="EJ19" i="6"/>
  <c r="EI19" i="6"/>
  <c r="EH19" i="6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L18" i="6"/>
  <c r="EK18" i="6"/>
  <c r="EJ18" i="6"/>
  <c r="EI18" i="6"/>
  <c r="EH18" i="6"/>
  <c r="EG18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L17" i="6"/>
  <c r="EK17" i="6"/>
  <c r="EJ17" i="6"/>
  <c r="EI17" i="6"/>
  <c r="EH17" i="6"/>
  <c r="EG17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L15" i="6"/>
  <c r="EK15" i="6"/>
  <c r="EJ15" i="6"/>
  <c r="EI15" i="6"/>
  <c r="EH15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L14" i="6"/>
  <c r="EK14" i="6"/>
  <c r="EJ14" i="6"/>
  <c r="EI14" i="6"/>
  <c r="EH14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L13" i="6"/>
  <c r="EK13" i="6"/>
  <c r="EJ13" i="6"/>
  <c r="EI13" i="6"/>
  <c r="EH13" i="6"/>
  <c r="EG13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W25" i="4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B24" i="4"/>
  <c r="Y23" i="4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EG23" i="4" s="1"/>
  <c r="EH23" i="4" s="1"/>
  <c r="EI23" i="4" s="1"/>
  <c r="EJ23" i="4" s="1"/>
  <c r="EK23" i="4" s="1"/>
  <c r="EL23" i="4" s="1"/>
  <c r="F23" i="4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D23" i="4"/>
  <c r="E23" i="4" s="1"/>
  <c r="B23" i="4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EG22" i="4" s="1"/>
  <c r="EH22" i="4" s="1"/>
  <c r="EI22" i="4" s="1"/>
  <c r="EJ22" i="4" s="1"/>
  <c r="EK22" i="4" s="1"/>
  <c r="EL22" i="4" s="1"/>
  <c r="B22" i="4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EG21" i="4" s="1"/>
  <c r="EH21" i="4" s="1"/>
  <c r="EI21" i="4" s="1"/>
  <c r="EJ21" i="4" s="1"/>
  <c r="EK21" i="4" s="1"/>
  <c r="EL21" i="4" s="1"/>
  <c r="B21" i="4"/>
  <c r="BA20" i="4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EG20" i="4" s="1"/>
  <c r="EH20" i="4" s="1"/>
  <c r="EI20" i="4" s="1"/>
  <c r="EJ20" i="4" s="1"/>
  <c r="EK20" i="4" s="1"/>
  <c r="EL20" i="4" s="1"/>
  <c r="L20" i="4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D20" i="4"/>
  <c r="E20" i="4" s="1"/>
  <c r="F20" i="4" s="1"/>
  <c r="G20" i="4" s="1"/>
  <c r="H20" i="4" s="1"/>
  <c r="I20" i="4" s="1"/>
  <c r="J20" i="4" s="1"/>
  <c r="K20" i="4" s="1"/>
  <c r="B20" i="4"/>
  <c r="H19" i="4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G19" i="4" s="1"/>
  <c r="EH19" i="4" s="1"/>
  <c r="EI19" i="4" s="1"/>
  <c r="EJ19" i="4" s="1"/>
  <c r="EK19" i="4" s="1"/>
  <c r="EL19" i="4" s="1"/>
  <c r="D19" i="4"/>
  <c r="E19" i="4" s="1"/>
  <c r="F19" i="4" s="1"/>
  <c r="G19" i="4" s="1"/>
  <c r="B19" i="4"/>
  <c r="L18" i="4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EG18" i="4" s="1"/>
  <c r="EH18" i="4" s="1"/>
  <c r="EI18" i="4" s="1"/>
  <c r="EJ18" i="4" s="1"/>
  <c r="EK18" i="4" s="1"/>
  <c r="EL18" i="4" s="1"/>
  <c r="E18" i="4"/>
  <c r="F18" i="4" s="1"/>
  <c r="G18" i="4" s="1"/>
  <c r="H18" i="4" s="1"/>
  <c r="I18" i="4" s="1"/>
  <c r="J18" i="4" s="1"/>
  <c r="K18" i="4" s="1"/>
  <c r="D18" i="4"/>
  <c r="B18" i="4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G17" i="4" s="1"/>
  <c r="EH17" i="4" s="1"/>
  <c r="EI17" i="4" s="1"/>
  <c r="EJ17" i="4" s="1"/>
  <c r="EK17" i="4" s="1"/>
  <c r="EL17" i="4" s="1"/>
  <c r="B17" i="4"/>
  <c r="F16" i="4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G16" i="4" s="1"/>
  <c r="EH16" i="4" s="1"/>
  <c r="EI16" i="4" s="1"/>
  <c r="EJ16" i="4" s="1"/>
  <c r="EK16" i="4" s="1"/>
  <c r="EL16" i="4" s="1"/>
  <c r="E16" i="4"/>
  <c r="D16" i="4"/>
  <c r="B16" i="4"/>
  <c r="F15" i="4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G15" i="4" s="1"/>
  <c r="EH15" i="4" s="1"/>
  <c r="EI15" i="4" s="1"/>
  <c r="EJ15" i="4" s="1"/>
  <c r="EK15" i="4" s="1"/>
  <c r="EL15" i="4" s="1"/>
  <c r="E15" i="4"/>
  <c r="D15" i="4"/>
  <c r="B15" i="4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EG14" i="4" s="1"/>
  <c r="EH14" i="4" s="1"/>
  <c r="EI14" i="4" s="1"/>
  <c r="EJ14" i="4" s="1"/>
  <c r="EK14" i="4" s="1"/>
  <c r="EL14" i="4" s="1"/>
  <c r="B14" i="4"/>
  <c r="E13" i="4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EG13" i="4" s="1"/>
  <c r="EH13" i="4" s="1"/>
  <c r="EI13" i="4" s="1"/>
  <c r="EJ13" i="4" s="1"/>
  <c r="EK13" i="4" s="1"/>
  <c r="EL13" i="4" s="1"/>
  <c r="D13" i="4"/>
  <c r="B13" i="4"/>
  <c r="H12" i="4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G12" i="4" s="1"/>
  <c r="EH12" i="4" s="1"/>
  <c r="EI12" i="4" s="1"/>
  <c r="EJ12" i="4" s="1"/>
  <c r="EK12" i="4" s="1"/>
  <c r="EL12" i="4" s="1"/>
  <c r="D12" i="4"/>
  <c r="E12" i="4" s="1"/>
  <c r="F12" i="4" s="1"/>
  <c r="G12" i="4" s="1"/>
  <c r="B12" i="4"/>
  <c r="EL8" i="4"/>
  <c r="EJ8" i="4"/>
  <c r="EH8" i="4"/>
  <c r="EC8" i="4"/>
  <c r="EA8" i="4"/>
  <c r="DZ8" i="4"/>
  <c r="DR8" i="4"/>
  <c r="DF8" i="4"/>
  <c r="DE8" i="4"/>
  <c r="DC8" i="4"/>
  <c r="CV8" i="4"/>
  <c r="CU8" i="4"/>
  <c r="CT8" i="4"/>
  <c r="CN8" i="4"/>
  <c r="CL8" i="4"/>
  <c r="CJ8" i="4"/>
  <c r="BY8" i="4"/>
  <c r="BX8" i="4"/>
  <c r="BT8" i="4"/>
  <c r="BI8" i="4"/>
  <c r="BH8" i="4"/>
  <c r="BG8" i="4"/>
  <c r="BD8" i="4"/>
  <c r="BC8" i="4"/>
  <c r="BB8" i="4"/>
  <c r="AS8" i="4"/>
  <c r="AF8" i="4"/>
  <c r="AB8" i="4"/>
  <c r="AA8" i="4"/>
  <c r="Y8" i="4"/>
  <c r="X8" i="4"/>
  <c r="W8" i="4"/>
  <c r="V8" i="4"/>
  <c r="U8" i="4"/>
  <c r="L8" i="4"/>
  <c r="EE7" i="4"/>
  <c r="DX7" i="4"/>
  <c r="DT7" i="4"/>
  <c r="DR7" i="4"/>
  <c r="DQ7" i="4"/>
  <c r="DL7" i="4"/>
  <c r="DJ7" i="4"/>
  <c r="CX7" i="4"/>
  <c r="CV7" i="4"/>
  <c r="CT7" i="4"/>
  <c r="CF7" i="4"/>
  <c r="BZ7" i="4"/>
  <c r="BY7" i="4"/>
  <c r="BX7" i="4"/>
  <c r="BO7" i="4"/>
  <c r="BM7" i="4"/>
  <c r="BI7" i="4"/>
  <c r="BE7" i="4"/>
  <c r="BD7" i="4"/>
  <c r="BB7" i="4"/>
  <c r="AY7" i="4"/>
  <c r="AS7" i="4"/>
  <c r="AR7" i="4"/>
  <c r="AQ7" i="4"/>
  <c r="AG7" i="4"/>
  <c r="Y7" i="4"/>
  <c r="W7" i="4"/>
  <c r="O7" i="4"/>
  <c r="M7" i="4"/>
  <c r="L7" i="4"/>
  <c r="J7" i="4"/>
  <c r="I7" i="4"/>
  <c r="EL6" i="4" a="1"/>
  <c r="EL6" i="4"/>
  <c r="EL7" i="4" s="1"/>
  <c r="EK6" i="4" a="1"/>
  <c r="EK6" i="4"/>
  <c r="EJ6" i="4" a="1"/>
  <c r="EJ6" i="4"/>
  <c r="EJ7" i="4" s="1"/>
  <c r="EI6" i="4" a="1"/>
  <c r="EI6" i="4"/>
  <c r="EI8" i="4" s="1"/>
  <c r="EH6" i="4" a="1"/>
  <c r="EH6" i="4"/>
  <c r="EH7" i="4" s="1"/>
  <c r="EG6" i="4" a="1"/>
  <c r="EG6" i="4"/>
  <c r="EG8" i="4" s="1"/>
  <c r="EF6" i="4" a="1"/>
  <c r="EF6" i="4" s="1"/>
  <c r="EE6" i="4" a="1"/>
  <c r="EE6" i="4" s="1"/>
  <c r="EE8" i="4" s="1"/>
  <c r="ED6" i="4" a="1"/>
  <c r="ED6" i="4"/>
  <c r="EC6" i="4" a="1"/>
  <c r="EC6" i="4"/>
  <c r="EC7" i="4" s="1"/>
  <c r="EB6" i="4" a="1"/>
  <c r="EB6" i="4"/>
  <c r="EB7" i="4" s="1"/>
  <c r="EA6" i="4" a="1"/>
  <c r="EA6" i="4"/>
  <c r="EA7" i="4" s="1"/>
  <c r="DZ6" i="4" a="1"/>
  <c r="DZ6" i="4"/>
  <c r="DZ7" i="4" s="1"/>
  <c r="DY6" i="4" a="1"/>
  <c r="DY6" i="4"/>
  <c r="DX6" i="4" a="1"/>
  <c r="DX6" i="4"/>
  <c r="DX8" i="4" s="1"/>
  <c r="DW6" i="4" a="1"/>
  <c r="DW6" i="4"/>
  <c r="DV6" i="4" a="1"/>
  <c r="DV6" i="4"/>
  <c r="DV8" i="4" s="1"/>
  <c r="DU6" i="4" a="1"/>
  <c r="DU6" i="4"/>
  <c r="DT6" i="4" a="1"/>
  <c r="DT6" i="4" s="1"/>
  <c r="DT8" i="4" s="1"/>
  <c r="DS6" i="4" a="1"/>
  <c r="DS6" i="4"/>
  <c r="DS8" i="4" s="1"/>
  <c r="DR6" i="4" a="1"/>
  <c r="DR6" i="4"/>
  <c r="DQ6" i="4" a="1"/>
  <c r="DQ6" i="4"/>
  <c r="DQ8" i="4" s="1"/>
  <c r="DP6" i="4" a="1"/>
  <c r="DP6" i="4"/>
  <c r="DP7" i="4" s="1"/>
  <c r="DO6" i="4" a="1"/>
  <c r="DO6" i="4"/>
  <c r="DN6" i="4" a="1"/>
  <c r="DN6" i="4" s="1"/>
  <c r="DM6" i="4" a="1"/>
  <c r="DM6" i="4"/>
  <c r="DL6" i="4" a="1"/>
  <c r="DL6" i="4"/>
  <c r="DL8" i="4" s="1"/>
  <c r="DK6" i="4" a="1"/>
  <c r="DK6" i="4"/>
  <c r="DK7" i="4" s="1"/>
  <c r="DJ6" i="4" a="1"/>
  <c r="DJ6" i="4"/>
  <c r="DJ8" i="4" s="1"/>
  <c r="DI6" i="4" a="1"/>
  <c r="DI6" i="4" s="1"/>
  <c r="DH6" i="4" a="1"/>
  <c r="DH6" i="4"/>
  <c r="DG6" i="4" a="1"/>
  <c r="DG6" i="4"/>
  <c r="DG8" i="4" s="1"/>
  <c r="DF6" i="4" a="1"/>
  <c r="DF6" i="4"/>
  <c r="DF7" i="4" s="1"/>
  <c r="DE6" i="4" a="1"/>
  <c r="DE6" i="4"/>
  <c r="DE7" i="4" s="1"/>
  <c r="DD6" i="4" a="1"/>
  <c r="DD6" i="4"/>
  <c r="DC6" i="4" a="1"/>
  <c r="DC6" i="4"/>
  <c r="DC7" i="4" s="1"/>
  <c r="DB6" i="4" a="1"/>
  <c r="DB6" i="4"/>
  <c r="DA6" i="4" a="1"/>
  <c r="DA6" i="4"/>
  <c r="CZ6" i="4" a="1"/>
  <c r="CZ6" i="4"/>
  <c r="CZ7" i="4" s="1"/>
  <c r="CY6" i="4" a="1"/>
  <c r="CY6" i="4"/>
  <c r="CY7" i="4" s="1"/>
  <c r="CX6" i="4" a="1"/>
  <c r="CX6" i="4" s="1"/>
  <c r="CX8" i="4" s="1"/>
  <c r="CW6" i="4" a="1"/>
  <c r="CW6" i="4"/>
  <c r="CV6" i="4" a="1"/>
  <c r="CV6" i="4"/>
  <c r="CU6" i="4" a="1"/>
  <c r="CU6" i="4"/>
  <c r="CU7" i="4" s="1"/>
  <c r="CT6" i="4" a="1"/>
  <c r="CT6" i="4"/>
  <c r="CS6" i="4" a="1"/>
  <c r="CS6" i="4"/>
  <c r="CR6" i="4" a="1"/>
  <c r="CR6" i="4" s="1"/>
  <c r="CQ6" i="4" a="1"/>
  <c r="CQ6" i="4"/>
  <c r="CQ8" i="4" s="1"/>
  <c r="CP6" i="4" a="1"/>
  <c r="CP6" i="4"/>
  <c r="CO6" i="4" a="1"/>
  <c r="CO6" i="4"/>
  <c r="CO8" i="4" s="1"/>
  <c r="CN6" i="4" a="1"/>
  <c r="CN6" i="4"/>
  <c r="CN7" i="4" s="1"/>
  <c r="CM6" i="4" a="1"/>
  <c r="CM6" i="4" s="1"/>
  <c r="CL6" i="4" a="1"/>
  <c r="CL6" i="4"/>
  <c r="CL7" i="4" s="1"/>
  <c r="CK6" i="4" a="1"/>
  <c r="CK6" i="4"/>
  <c r="CJ6" i="4" a="1"/>
  <c r="CJ6" i="4"/>
  <c r="CJ7" i="4" s="1"/>
  <c r="CI6" i="4" a="1"/>
  <c r="CI6" i="4"/>
  <c r="CH6" i="4" a="1"/>
  <c r="CH6" i="4"/>
  <c r="CG6" i="4" a="1"/>
  <c r="CG6" i="4" s="1"/>
  <c r="CF6" i="4" a="1"/>
  <c r="CF6" i="4"/>
  <c r="CF8" i="4" s="1"/>
  <c r="CE6" i="4" a="1"/>
  <c r="CE6" i="4"/>
  <c r="CD6" i="4" a="1"/>
  <c r="CD6" i="4"/>
  <c r="CC6" i="4" a="1"/>
  <c r="CC6" i="4"/>
  <c r="CB6" i="4" a="1"/>
  <c r="CB6" i="4" s="1"/>
  <c r="CB8" i="4" s="1"/>
  <c r="CA6" i="4" a="1"/>
  <c r="CA6" i="4"/>
  <c r="BZ6" i="4" a="1"/>
  <c r="BZ6" i="4"/>
  <c r="BZ8" i="4" s="1"/>
  <c r="BY6" i="4" a="1"/>
  <c r="BY6" i="4"/>
  <c r="BX6" i="4" a="1"/>
  <c r="BX6" i="4"/>
  <c r="BW6" i="4" a="1"/>
  <c r="BW6" i="4"/>
  <c r="BV6" i="4" a="1"/>
  <c r="BV6" i="4" s="1"/>
  <c r="BU6" i="4" a="1"/>
  <c r="BU6" i="4"/>
  <c r="BT6" i="4" a="1"/>
  <c r="BT6" i="4"/>
  <c r="BT7" i="4" s="1"/>
  <c r="BS6" i="4" a="1"/>
  <c r="BS6" i="4"/>
  <c r="BS7" i="4" s="1"/>
  <c r="BR6" i="4" a="1"/>
  <c r="BR6" i="4"/>
  <c r="BR7" i="4" s="1"/>
  <c r="BQ6" i="4" a="1"/>
  <c r="BQ6" i="4" s="1"/>
  <c r="BP6" i="4" a="1"/>
  <c r="BP6" i="4"/>
  <c r="BO6" i="4" a="1"/>
  <c r="BO6" i="4"/>
  <c r="BO8" i="4" s="1"/>
  <c r="BN6" i="4" a="1"/>
  <c r="BN6" i="4"/>
  <c r="BM6" i="4" a="1"/>
  <c r="BM6" i="4"/>
  <c r="BM8" i="4" s="1"/>
  <c r="BL6" i="4" a="1"/>
  <c r="BL6" i="4"/>
  <c r="BK6" i="4" a="1"/>
  <c r="BK6" i="4"/>
  <c r="BK8" i="4" s="1"/>
  <c r="BJ6" i="4" a="1"/>
  <c r="BJ6" i="4"/>
  <c r="BI6" i="4" a="1"/>
  <c r="BI6" i="4"/>
  <c r="BH6" i="4" a="1"/>
  <c r="BH6" i="4"/>
  <c r="BH7" i="4" s="1"/>
  <c r="BG6" i="4" a="1"/>
  <c r="BG6" i="4"/>
  <c r="BG7" i="4" s="1"/>
  <c r="BF6" i="4" a="1"/>
  <c r="BF6" i="4" s="1"/>
  <c r="BE6" i="4" a="1"/>
  <c r="BE6" i="4"/>
  <c r="BE8" i="4" s="1"/>
  <c r="BD6" i="4" a="1"/>
  <c r="BD6" i="4"/>
  <c r="BC6" i="4" a="1"/>
  <c r="BC6" i="4"/>
  <c r="BC7" i="4" s="1"/>
  <c r="BB6" i="4" a="1"/>
  <c r="BB6" i="4"/>
  <c r="BA6" i="4" a="1"/>
  <c r="BA6" i="4"/>
  <c r="BA8" i="4" s="1"/>
  <c r="AZ6" i="4" a="1"/>
  <c r="AZ6" i="4"/>
  <c r="AY6" i="4" a="1"/>
  <c r="AY6" i="4"/>
  <c r="AY8" i="4" s="1"/>
  <c r="AX6" i="4" a="1"/>
  <c r="AX6" i="4"/>
  <c r="AW6" i="4" a="1"/>
  <c r="AW6" i="4"/>
  <c r="AV6" i="4" a="1"/>
  <c r="AV6" i="4"/>
  <c r="AU6" i="4" a="1"/>
  <c r="AU6" i="4" s="1"/>
  <c r="AU8" i="4" s="1"/>
  <c r="AT6" i="4" a="1"/>
  <c r="AT6" i="4"/>
  <c r="AT8" i="4" s="1"/>
  <c r="AS6" i="4" a="1"/>
  <c r="AS6" i="4"/>
  <c r="AR6" i="4" a="1"/>
  <c r="AR6" i="4"/>
  <c r="AR8" i="4" s="1"/>
  <c r="AQ6" i="4" a="1"/>
  <c r="AQ6" i="4"/>
  <c r="AQ8" i="4" s="1"/>
  <c r="AP6" i="4" a="1"/>
  <c r="AP6" i="4"/>
  <c r="AO6" i="4" a="1"/>
  <c r="AO6" i="4"/>
  <c r="AN6" i="4" a="1"/>
  <c r="AN6" i="4"/>
  <c r="AM6" i="4" a="1"/>
  <c r="AM6" i="4"/>
  <c r="AL6" i="4" a="1"/>
  <c r="AL6" i="4"/>
  <c r="AK6" i="4" a="1"/>
  <c r="AK6" i="4"/>
  <c r="AJ6" i="4" a="1"/>
  <c r="AJ6" i="4" s="1"/>
  <c r="AI6" i="4" a="1"/>
  <c r="AI6" i="4"/>
  <c r="AH6" i="4" a="1"/>
  <c r="AH6" i="4"/>
  <c r="AG6" i="4" a="1"/>
  <c r="AG6" i="4"/>
  <c r="AG8" i="4" s="1"/>
  <c r="AF6" i="4" a="1"/>
  <c r="AF6" i="4"/>
  <c r="AF7" i="4" s="1"/>
  <c r="AE6" i="4" a="1"/>
  <c r="AE6" i="4"/>
  <c r="AE7" i="4" s="1"/>
  <c r="AD6" i="4" a="1"/>
  <c r="AD6" i="4"/>
  <c r="AD7" i="4" s="1"/>
  <c r="AC6" i="4" a="1"/>
  <c r="AC6" i="4"/>
  <c r="AC7" i="4" s="1"/>
  <c r="AB6" i="4" a="1"/>
  <c r="AB6" i="4"/>
  <c r="AB7" i="4" s="1"/>
  <c r="AA6" i="4" a="1"/>
  <c r="AA6" i="4"/>
  <c r="AA7" i="4" s="1"/>
  <c r="Z6" i="4" a="1"/>
  <c r="Z6" i="4" s="1"/>
  <c r="Y6" i="4" a="1"/>
  <c r="Y6" i="4" s="1"/>
  <c r="X6" i="4" a="1"/>
  <c r="X6" i="4"/>
  <c r="X7" i="4" s="1"/>
  <c r="W6" i="4" a="1"/>
  <c r="W6" i="4"/>
  <c r="V6" i="4" a="1"/>
  <c r="V6" i="4"/>
  <c r="V7" i="4" s="1"/>
  <c r="U6" i="4" a="1"/>
  <c r="U6" i="4"/>
  <c r="U7" i="4" s="1"/>
  <c r="T6" i="4" a="1"/>
  <c r="T6" i="4"/>
  <c r="T7" i="4" s="1"/>
  <c r="S6" i="4" a="1"/>
  <c r="S6" i="4"/>
  <c r="R6" i="4" a="1"/>
  <c r="R6" i="4"/>
  <c r="Q6" i="4" a="1"/>
  <c r="Q6" i="4"/>
  <c r="Q8" i="4" s="1"/>
  <c r="P6" i="4" a="1"/>
  <c r="P6" i="4"/>
  <c r="O6" i="4" a="1"/>
  <c r="O6" i="4"/>
  <c r="O8" i="4" s="1"/>
  <c r="N6" i="4" a="1"/>
  <c r="N6" i="4" s="1"/>
  <c r="M6" i="4" a="1"/>
  <c r="M6" i="4"/>
  <c r="M8" i="4" s="1"/>
  <c r="L6" i="4" a="1"/>
  <c r="L6" i="4"/>
  <c r="K6" i="4" a="1"/>
  <c r="K6" i="4"/>
  <c r="K8" i="4" s="1"/>
  <c r="J6" i="4" a="1"/>
  <c r="J6" i="4"/>
  <c r="J8" i="4" s="1"/>
  <c r="I6" i="4" a="1"/>
  <c r="I6" i="4"/>
  <c r="I8" i="4" s="1"/>
  <c r="H6" i="4" a="1"/>
  <c r="H6" i="4"/>
  <c r="G6" i="4" a="1"/>
  <c r="G6" i="4"/>
  <c r="F6" i="4" a="1"/>
  <c r="F6" i="4"/>
  <c r="E6" i="4" a="1"/>
  <c r="E6" i="4"/>
  <c r="D6" i="4" a="1"/>
  <c r="D6" i="4" s="1"/>
  <c r="C6" i="4" a="1"/>
  <c r="C6" i="4" s="1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EM23" i="3" s="1"/>
  <c r="EN23" i="3" s="1"/>
  <c r="B23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EM20" i="3" s="1"/>
  <c r="EN20" i="3" s="1"/>
  <c r="J20" i="3"/>
  <c r="I20" i="3"/>
  <c r="H20" i="3"/>
  <c r="G20" i="3"/>
  <c r="F20" i="3"/>
  <c r="E20" i="3"/>
  <c r="D20" i="3"/>
  <c r="C20" i="3"/>
  <c r="B20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M19" i="3" s="1"/>
  <c r="EN19" i="3" s="1"/>
  <c r="B19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EM18" i="3" s="1"/>
  <c r="EN18" i="3" s="1"/>
  <c r="J18" i="3"/>
  <c r="I18" i="3"/>
  <c r="H18" i="3"/>
  <c r="G18" i="3"/>
  <c r="F18" i="3"/>
  <c r="E18" i="3"/>
  <c r="D18" i="3"/>
  <c r="C18" i="3"/>
  <c r="B18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EM16" i="3" s="1"/>
  <c r="EN16" i="3" s="1"/>
  <c r="J16" i="3"/>
  <c r="I16" i="3"/>
  <c r="H16" i="3"/>
  <c r="G16" i="3"/>
  <c r="F16" i="3"/>
  <c r="E16" i="3"/>
  <c r="D16" i="3"/>
  <c r="C16" i="3"/>
  <c r="B16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EM14" i="3" s="1"/>
  <c r="EN14" i="3" s="1"/>
  <c r="G14" i="3"/>
  <c r="F14" i="3"/>
  <c r="E14" i="3"/>
  <c r="D14" i="3"/>
  <c r="C14" i="3"/>
  <c r="B14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EM12" i="3" s="1"/>
  <c r="EN12" i="3" s="1"/>
  <c r="D12" i="3"/>
  <c r="C12" i="3"/>
  <c r="B12" i="3"/>
  <c r="EL8" i="3"/>
  <c r="EK8" i="3"/>
  <c r="EI8" i="3"/>
  <c r="DY8" i="3"/>
  <c r="DX8" i="3"/>
  <c r="DW8" i="3"/>
  <c r="DV8" i="3"/>
  <c r="DU8" i="3"/>
  <c r="DS8" i="3"/>
  <c r="DQ8" i="3"/>
  <c r="DP8" i="3"/>
  <c r="DM8" i="3"/>
  <c r="DE8" i="3"/>
  <c r="DD8" i="3"/>
  <c r="DC8" i="3"/>
  <c r="DA8" i="3"/>
  <c r="CU8" i="3"/>
  <c r="CQ8" i="3"/>
  <c r="CO8" i="3"/>
  <c r="CJ8" i="3"/>
  <c r="CG8" i="3"/>
  <c r="CE8" i="3"/>
  <c r="CD8" i="3"/>
  <c r="CA8" i="3"/>
  <c r="BS8" i="3"/>
  <c r="BQ8" i="3"/>
  <c r="BP8" i="3"/>
  <c r="BO8" i="3"/>
  <c r="BN8" i="3"/>
  <c r="BM8" i="3"/>
  <c r="BH8" i="3"/>
  <c r="BG8" i="3"/>
  <c r="AO8" i="3"/>
  <c r="AL8" i="3"/>
  <c r="AK8" i="3"/>
  <c r="AJ8" i="3"/>
  <c r="AI8" i="3"/>
  <c r="AG8" i="3"/>
  <c r="AF8" i="3"/>
  <c r="AE8" i="3"/>
  <c r="AC8" i="3"/>
  <c r="AA8" i="3"/>
  <c r="U8" i="3"/>
  <c r="P8" i="3"/>
  <c r="I8" i="3"/>
  <c r="G8" i="3"/>
  <c r="E8" i="3"/>
  <c r="EL7" i="3"/>
  <c r="EJ7" i="3"/>
  <c r="EI7" i="3"/>
  <c r="EB7" i="3"/>
  <c r="DX7" i="3"/>
  <c r="DR7" i="3"/>
  <c r="DQ7" i="3"/>
  <c r="DP7" i="3"/>
  <c r="DN7" i="3"/>
  <c r="DM7" i="3"/>
  <c r="DI7" i="3"/>
  <c r="DG7" i="3"/>
  <c r="DE7" i="3"/>
  <c r="DD7" i="3"/>
  <c r="DC7" i="3"/>
  <c r="CU7" i="3"/>
  <c r="CJ7" i="3"/>
  <c r="CI7" i="3"/>
  <c r="CG7" i="3"/>
  <c r="CD7" i="3"/>
  <c r="CB7" i="3"/>
  <c r="BZ7" i="3"/>
  <c r="BY7" i="3"/>
  <c r="BX7" i="3"/>
  <c r="BN7" i="3"/>
  <c r="BH7" i="3"/>
  <c r="BA7" i="3"/>
  <c r="AW7" i="3"/>
  <c r="AV7" i="3"/>
  <c r="AT7" i="3"/>
  <c r="AR7" i="3"/>
  <c r="AQ7" i="3"/>
  <c r="AO7" i="3"/>
  <c r="AL7" i="3"/>
  <c r="AJ7" i="3"/>
  <c r="AA7" i="3"/>
  <c r="V7" i="3"/>
  <c r="T7" i="3"/>
  <c r="S7" i="3"/>
  <c r="R7" i="3"/>
  <c r="P7" i="3"/>
  <c r="I7" i="3"/>
  <c r="H7" i="3"/>
  <c r="G7" i="3"/>
  <c r="E7" i="3"/>
  <c r="C7" i="3"/>
  <c r="EM6" i="3" a="1"/>
  <c r="EM6" i="3" s="1"/>
  <c r="EL6" i="3" a="1"/>
  <c r="EL6" i="3" s="1"/>
  <c r="EK6" i="3" a="1"/>
  <c r="EK6" i="3" s="1"/>
  <c r="EK7" i="3" s="1"/>
  <c r="EJ6" i="3" a="1"/>
  <c r="EJ6" i="3" s="1"/>
  <c r="EJ8" i="3" s="1"/>
  <c r="EI6" i="3" a="1"/>
  <c r="EI6" i="3" s="1"/>
  <c r="EH6" i="3" a="1"/>
  <c r="EH6" i="3"/>
  <c r="EH8" i="3" s="1"/>
  <c r="EG6" i="3" a="1"/>
  <c r="EG6" i="3"/>
  <c r="EG7" i="3" s="1"/>
  <c r="EF6" i="3" a="1"/>
  <c r="EF6" i="3"/>
  <c r="EF8" i="3" s="1"/>
  <c r="EE6" i="3" a="1"/>
  <c r="EE6" i="3" s="1"/>
  <c r="EE7" i="3" s="1"/>
  <c r="ED6" i="3" a="1"/>
  <c r="ED6" i="3"/>
  <c r="ED8" i="3" s="1"/>
  <c r="EC6" i="3" a="1"/>
  <c r="EC6" i="3"/>
  <c r="EB6" i="3" a="1"/>
  <c r="EB6" i="3"/>
  <c r="EB8" i="3" s="1"/>
  <c r="EA6" i="3" a="1"/>
  <c r="EA6" i="3"/>
  <c r="EA8" i="3" s="1"/>
  <c r="DZ6" i="3" a="1"/>
  <c r="DZ6" i="3" s="1"/>
  <c r="DY6" i="3" a="1"/>
  <c r="DY6" i="3" s="1"/>
  <c r="DY7" i="3" s="1"/>
  <c r="DX6" i="3" a="1"/>
  <c r="DX6" i="3" s="1"/>
  <c r="DW6" i="3" a="1"/>
  <c r="DW6" i="3"/>
  <c r="DW7" i="3" s="1"/>
  <c r="DV6" i="3" a="1"/>
  <c r="DV6" i="3"/>
  <c r="DV7" i="3" s="1"/>
  <c r="DU6" i="3" a="1"/>
  <c r="DU6" i="3"/>
  <c r="DU7" i="3" s="1"/>
  <c r="DT6" i="3" a="1"/>
  <c r="DT6" i="3"/>
  <c r="DS6" i="3" a="1"/>
  <c r="DS6" i="3"/>
  <c r="DS7" i="3" s="1"/>
  <c r="DR6" i="3" a="1"/>
  <c r="DR6" i="3" s="1"/>
  <c r="DR8" i="3" s="1"/>
  <c r="DQ6" i="3" a="1"/>
  <c r="DQ6" i="3" s="1"/>
  <c r="DP6" i="3" a="1"/>
  <c r="DP6" i="3" s="1"/>
  <c r="DO6" i="3" a="1"/>
  <c r="DO6" i="3" s="1"/>
  <c r="DN6" i="3" a="1"/>
  <c r="DN6" i="3" s="1"/>
  <c r="DN8" i="3" s="1"/>
  <c r="DM6" i="3" a="1"/>
  <c r="DM6" i="3" s="1"/>
  <c r="DL6" i="3" a="1"/>
  <c r="DL6" i="3" s="1"/>
  <c r="DL8" i="3" s="1"/>
  <c r="DK6" i="3" a="1"/>
  <c r="DK6" i="3"/>
  <c r="DK7" i="3" s="1"/>
  <c r="DJ6" i="3" a="1"/>
  <c r="DJ6" i="3" s="1"/>
  <c r="DI6" i="3" a="1"/>
  <c r="DI6" i="3"/>
  <c r="DI8" i="3" s="1"/>
  <c r="DH6" i="3" a="1"/>
  <c r="DH6" i="3"/>
  <c r="DH7" i="3" s="1"/>
  <c r="DG6" i="3" a="1"/>
  <c r="DG6" i="3"/>
  <c r="DG8" i="3" s="1"/>
  <c r="DF6" i="3" a="1"/>
  <c r="DF6" i="3"/>
  <c r="DE6" i="3" a="1"/>
  <c r="DE6" i="3"/>
  <c r="DD6" i="3" a="1"/>
  <c r="DD6" i="3"/>
  <c r="DC6" i="3" a="1"/>
  <c r="DC6" i="3" s="1"/>
  <c r="DB6" i="3" a="1"/>
  <c r="DB6" i="3" s="1"/>
  <c r="DB8" i="3" s="1"/>
  <c r="DA6" i="3" a="1"/>
  <c r="DA6" i="3" s="1"/>
  <c r="DA7" i="3" s="1"/>
  <c r="CZ6" i="3" a="1"/>
  <c r="CZ6" i="3" s="1"/>
  <c r="CZ8" i="3" s="1"/>
  <c r="CY6" i="3" a="1"/>
  <c r="CY6" i="3"/>
  <c r="CX6" i="3" a="1"/>
  <c r="CX6" i="3"/>
  <c r="CW6" i="3" a="1"/>
  <c r="CW6" i="3" s="1"/>
  <c r="CV6" i="3" a="1"/>
  <c r="CV6" i="3"/>
  <c r="CU6" i="3" a="1"/>
  <c r="CU6" i="3"/>
  <c r="CT6" i="3" a="1"/>
  <c r="CT6" i="3" s="1"/>
  <c r="CS6" i="3" a="1"/>
  <c r="CS6" i="3" s="1"/>
  <c r="CR6" i="3" a="1"/>
  <c r="CR6" i="3"/>
  <c r="CQ6" i="3" a="1"/>
  <c r="CQ6" i="3" s="1"/>
  <c r="CQ7" i="3" s="1"/>
  <c r="CP6" i="3" a="1"/>
  <c r="CP6" i="3" s="1"/>
  <c r="CP8" i="3" s="1"/>
  <c r="CO6" i="3" a="1"/>
  <c r="CO6" i="3"/>
  <c r="CO7" i="3" s="1"/>
  <c r="CN6" i="3" a="1"/>
  <c r="CN6" i="3"/>
  <c r="CN7" i="3" s="1"/>
  <c r="CM6" i="3" a="1"/>
  <c r="CM6" i="3" s="1"/>
  <c r="CL6" i="3" a="1"/>
  <c r="CL6" i="3"/>
  <c r="CL8" i="3" s="1"/>
  <c r="CK6" i="3" a="1"/>
  <c r="CK6" i="3" s="1"/>
  <c r="CJ6" i="3" a="1"/>
  <c r="CJ6" i="3"/>
  <c r="CI6" i="3" a="1"/>
  <c r="CI6" i="3"/>
  <c r="CI8" i="3" s="1"/>
  <c r="CH6" i="3" a="1"/>
  <c r="CH6" i="3"/>
  <c r="CG6" i="3" a="1"/>
  <c r="CG6" i="3"/>
  <c r="CF6" i="3" a="1"/>
  <c r="CF6" i="3"/>
  <c r="CE6" i="3" a="1"/>
  <c r="CE6" i="3" s="1"/>
  <c r="CE7" i="3" s="1"/>
  <c r="CD6" i="3" a="1"/>
  <c r="CD6" i="3"/>
  <c r="CC6" i="3" a="1"/>
  <c r="CC6" i="3"/>
  <c r="CB6" i="3" a="1"/>
  <c r="CB6" i="3"/>
  <c r="CB8" i="3" s="1"/>
  <c r="CA6" i="3" a="1"/>
  <c r="CA6" i="3" s="1"/>
  <c r="CA7" i="3" s="1"/>
  <c r="BZ6" i="3" a="1"/>
  <c r="BZ6" i="3"/>
  <c r="BZ8" i="3" s="1"/>
  <c r="BY6" i="3" a="1"/>
  <c r="BY6" i="3" s="1"/>
  <c r="BY8" i="3" s="1"/>
  <c r="BX6" i="3" a="1"/>
  <c r="BX6" i="3"/>
  <c r="BX8" i="3" s="1"/>
  <c r="BW6" i="3" a="1"/>
  <c r="BW6" i="3"/>
  <c r="BV6" i="3" a="1"/>
  <c r="BV6" i="3"/>
  <c r="BU6" i="3" a="1"/>
  <c r="BU6" i="3" s="1"/>
  <c r="BT6" i="3" a="1"/>
  <c r="BT6" i="3" s="1"/>
  <c r="BS6" i="3" a="1"/>
  <c r="BS6" i="3"/>
  <c r="BS7" i="3" s="1"/>
  <c r="BR6" i="3" a="1"/>
  <c r="BR6" i="3"/>
  <c r="BQ6" i="3" a="1"/>
  <c r="BQ6" i="3"/>
  <c r="BQ7" i="3" s="1"/>
  <c r="BP6" i="3" a="1"/>
  <c r="BP6" i="3"/>
  <c r="BP7" i="3" s="1"/>
  <c r="BO6" i="3" a="1"/>
  <c r="BO6" i="3"/>
  <c r="BO7" i="3" s="1"/>
  <c r="BN6" i="3" a="1"/>
  <c r="BN6" i="3" s="1"/>
  <c r="BM6" i="3" a="1"/>
  <c r="BM6" i="3"/>
  <c r="BM7" i="3" s="1"/>
  <c r="BL6" i="3" a="1"/>
  <c r="BL6" i="3"/>
  <c r="BL7" i="3" s="1"/>
  <c r="BK6" i="3" a="1"/>
  <c r="BK6" i="3"/>
  <c r="BJ6" i="3" a="1"/>
  <c r="BJ6" i="3"/>
  <c r="BI6" i="3" a="1"/>
  <c r="BI6" i="3" s="1"/>
  <c r="BH6" i="3" a="1"/>
  <c r="BH6" i="3"/>
  <c r="BG6" i="3" a="1"/>
  <c r="BG6" i="3"/>
  <c r="BG7" i="3" s="1"/>
  <c r="BF6" i="3" a="1"/>
  <c r="BF6" i="3"/>
  <c r="BF7" i="3" s="1"/>
  <c r="BE6" i="3" a="1"/>
  <c r="BE6" i="3"/>
  <c r="BE8" i="3" s="1"/>
  <c r="BD6" i="3" a="1"/>
  <c r="BD6" i="3" s="1"/>
  <c r="BD7" i="3" s="1"/>
  <c r="BC6" i="3" a="1"/>
  <c r="BC6" i="3"/>
  <c r="BC8" i="3" s="1"/>
  <c r="BB6" i="3" a="1"/>
  <c r="BB6" i="3" s="1"/>
  <c r="BB8" i="3" s="1"/>
  <c r="BA6" i="3" a="1"/>
  <c r="BA6" i="3"/>
  <c r="BA8" i="3" s="1"/>
  <c r="AZ6" i="3" a="1"/>
  <c r="AZ6" i="3"/>
  <c r="AY6" i="3" a="1"/>
  <c r="AY6" i="3"/>
  <c r="AX6" i="3" a="1"/>
  <c r="AX6" i="3" s="1"/>
  <c r="AW6" i="3" a="1"/>
  <c r="AW6" i="3"/>
  <c r="AW8" i="3" s="1"/>
  <c r="AV6" i="3" a="1"/>
  <c r="AV6" i="3"/>
  <c r="AV8" i="3" s="1"/>
  <c r="AU6" i="3" a="1"/>
  <c r="AU6" i="3"/>
  <c r="AT6" i="3" a="1"/>
  <c r="AT6" i="3"/>
  <c r="AT8" i="3" s="1"/>
  <c r="AS6" i="3" a="1"/>
  <c r="AS6" i="3"/>
  <c r="AR6" i="3" a="1"/>
  <c r="AR6" i="3"/>
  <c r="AR8" i="3" s="1"/>
  <c r="AQ6" i="3" a="1"/>
  <c r="AQ6" i="3" s="1"/>
  <c r="AQ8" i="3" s="1"/>
  <c r="AP6" i="3" a="1"/>
  <c r="AP6" i="3"/>
  <c r="AO6" i="3" a="1"/>
  <c r="AO6" i="3"/>
  <c r="AN6" i="3" a="1"/>
  <c r="AN6" i="3"/>
  <c r="AM6" i="3" a="1"/>
  <c r="AM6" i="3" s="1"/>
  <c r="AL6" i="3" a="1"/>
  <c r="AL6" i="3"/>
  <c r="AK6" i="3" a="1"/>
  <c r="AK6" i="3"/>
  <c r="AK7" i="3" s="1"/>
  <c r="AJ6" i="3" a="1"/>
  <c r="AJ6" i="3" s="1"/>
  <c r="AI6" i="3" a="1"/>
  <c r="AI6" i="3"/>
  <c r="AI7" i="3" s="1"/>
  <c r="AH6" i="3" a="1"/>
  <c r="AH6" i="3"/>
  <c r="AH8" i="3" s="1"/>
  <c r="AG6" i="3" a="1"/>
  <c r="AG6" i="3"/>
  <c r="AG7" i="3" s="1"/>
  <c r="AF6" i="3" a="1"/>
  <c r="AF6" i="3"/>
  <c r="AF7" i="3" s="1"/>
  <c r="AE6" i="3" a="1"/>
  <c r="AE6" i="3" s="1"/>
  <c r="AE7" i="3" s="1"/>
  <c r="AD6" i="3" a="1"/>
  <c r="AD6" i="3"/>
  <c r="AC6" i="3" a="1"/>
  <c r="AC6" i="3"/>
  <c r="AC7" i="3" s="1"/>
  <c r="AB6" i="3" a="1"/>
  <c r="AB6" i="3" s="1"/>
  <c r="AA6" i="3" a="1"/>
  <c r="AA6" i="3"/>
  <c r="Z6" i="3" a="1"/>
  <c r="Z6" i="3"/>
  <c r="Y6" i="3" a="1"/>
  <c r="Y6" i="3"/>
  <c r="Y7" i="3" s="1"/>
  <c r="X6" i="3" a="1"/>
  <c r="X6" i="3"/>
  <c r="W6" i="3" a="1"/>
  <c r="W6" i="3"/>
  <c r="V6" i="3" a="1"/>
  <c r="V6" i="3"/>
  <c r="V8" i="3" s="1"/>
  <c r="U6" i="3" a="1"/>
  <c r="U6" i="3" s="1"/>
  <c r="U7" i="3" s="1"/>
  <c r="T6" i="3" a="1"/>
  <c r="T6" i="3"/>
  <c r="T8" i="3" s="1"/>
  <c r="S6" i="3" a="1"/>
  <c r="S6" i="3" s="1"/>
  <c r="S8" i="3" s="1"/>
  <c r="R6" i="3" a="1"/>
  <c r="R6" i="3"/>
  <c r="R8" i="3" s="1"/>
  <c r="Q6" i="3" a="1"/>
  <c r="Q6" i="3" s="1"/>
  <c r="Q7" i="3" s="1"/>
  <c r="P6" i="3" a="1"/>
  <c r="P6" i="3"/>
  <c r="O6" i="3" a="1"/>
  <c r="O6" i="3"/>
  <c r="N6" i="3" a="1"/>
  <c r="N6" i="3" s="1"/>
  <c r="M6" i="3" a="1"/>
  <c r="M6" i="3" s="1"/>
  <c r="L6" i="3" a="1"/>
  <c r="L6" i="3" s="1"/>
  <c r="K6" i="3" a="1"/>
  <c r="K6" i="3"/>
  <c r="J6" i="3" a="1"/>
  <c r="J6" i="3"/>
  <c r="I6" i="3" a="1"/>
  <c r="I6" i="3"/>
  <c r="H6" i="3" a="1"/>
  <c r="H6" i="3"/>
  <c r="H8" i="3" s="1"/>
  <c r="G6" i="3" a="1"/>
  <c r="G6" i="3" s="1"/>
  <c r="F6" i="3" a="1"/>
  <c r="F6" i="3" s="1"/>
  <c r="E6" i="3" a="1"/>
  <c r="E6" i="3"/>
  <c r="D6" i="3" a="1"/>
  <c r="D6" i="3"/>
  <c r="D7" i="3" s="1"/>
  <c r="C6" i="3" a="1"/>
  <c r="C6" i="3"/>
  <c r="C8" i="3" s="1"/>
  <c r="EN25" i="2"/>
  <c r="EM25" i="2"/>
  <c r="EO25" i="2" s="1"/>
  <c r="EN24" i="2"/>
  <c r="EO24" i="2" s="1"/>
  <c r="B24" i="2"/>
  <c r="EN23" i="2"/>
  <c r="EO23" i="2" s="1"/>
  <c r="B23" i="2"/>
  <c r="EN22" i="2"/>
  <c r="B22" i="2"/>
  <c r="EN21" i="2"/>
  <c r="B21" i="2"/>
  <c r="EO20" i="2"/>
  <c r="EN20" i="2"/>
  <c r="B20" i="2"/>
  <c r="EN19" i="2"/>
  <c r="EO19" i="2" s="1"/>
  <c r="B19" i="2"/>
  <c r="EN18" i="2"/>
  <c r="EO18" i="2" s="1"/>
  <c r="B18" i="2"/>
  <c r="EO17" i="2"/>
  <c r="EN17" i="2"/>
  <c r="B17" i="2"/>
  <c r="EO16" i="2"/>
  <c r="EN16" i="2"/>
  <c r="B16" i="2"/>
  <c r="EN15" i="2"/>
  <c r="EO15" i="2" s="1"/>
  <c r="B15" i="2"/>
  <c r="EN14" i="2"/>
  <c r="EO14" i="2" s="1"/>
  <c r="B14" i="2"/>
  <c r="EO13" i="2"/>
  <c r="EN13" i="2"/>
  <c r="B13" i="2"/>
  <c r="EO12" i="2"/>
  <c r="EN12" i="2"/>
  <c r="B12" i="2"/>
  <c r="EL8" i="2"/>
  <c r="EK8" i="2"/>
  <c r="EI8" i="2"/>
  <c r="ED8" i="2"/>
  <c r="EB8" i="2"/>
  <c r="EA8" i="2"/>
  <c r="DZ8" i="2"/>
  <c r="DY8" i="2"/>
  <c r="DX8" i="2"/>
  <c r="DW8" i="2"/>
  <c r="DR8" i="2"/>
  <c r="DP8" i="2"/>
  <c r="DF8" i="2"/>
  <c r="DE8" i="2"/>
  <c r="DD8" i="2"/>
  <c r="DB8" i="2"/>
  <c r="DA8" i="2"/>
  <c r="CZ8" i="2"/>
  <c r="CX8" i="2"/>
  <c r="CT8" i="2"/>
  <c r="CR8" i="2"/>
  <c r="CQ8" i="2"/>
  <c r="CO8" i="2"/>
  <c r="CN8" i="2"/>
  <c r="CF8" i="2"/>
  <c r="CE8" i="2"/>
  <c r="CD8" i="2"/>
  <c r="CB8" i="2"/>
  <c r="BZ8" i="2"/>
  <c r="BY8" i="2"/>
  <c r="BS8" i="2"/>
  <c r="BQ8" i="2"/>
  <c r="BP8" i="2"/>
  <c r="BL8" i="2"/>
  <c r="BB8" i="2"/>
  <c r="BA8" i="2"/>
  <c r="AT8" i="2"/>
  <c r="AR8" i="2"/>
  <c r="AQ8" i="2"/>
  <c r="AP8" i="2"/>
  <c r="AO8" i="2"/>
  <c r="AN8" i="2"/>
  <c r="AM8" i="2"/>
  <c r="AG8" i="2"/>
  <c r="U8" i="2"/>
  <c r="T8" i="2"/>
  <c r="S8" i="2"/>
  <c r="R8" i="2"/>
  <c r="P8" i="2"/>
  <c r="N8" i="2"/>
  <c r="L8" i="2"/>
  <c r="K8" i="2"/>
  <c r="I8" i="2"/>
  <c r="E8" i="2"/>
  <c r="D8" i="2"/>
  <c r="EG7" i="2"/>
  <c r="EF7" i="2"/>
  <c r="EE7" i="2"/>
  <c r="EC7" i="2"/>
  <c r="EA7" i="2"/>
  <c r="DZ7" i="2"/>
  <c r="DY7" i="2"/>
  <c r="DR7" i="2"/>
  <c r="DM7" i="2"/>
  <c r="DL7" i="2"/>
  <c r="DK7" i="2"/>
  <c r="DD7" i="2"/>
  <c r="DB7" i="2"/>
  <c r="DA7" i="2"/>
  <c r="CZ7" i="2"/>
  <c r="CY7" i="2"/>
  <c r="CX7" i="2"/>
  <c r="CW7" i="2"/>
  <c r="CT7" i="2"/>
  <c r="CQ7" i="2"/>
  <c r="CN7" i="2"/>
  <c r="CB7" i="2"/>
  <c r="BY7" i="2"/>
  <c r="BL7" i="2"/>
  <c r="BK7" i="2"/>
  <c r="BJ7" i="2"/>
  <c r="BI7" i="2"/>
  <c r="BH7" i="2"/>
  <c r="BF7" i="2"/>
  <c r="BE7" i="2"/>
  <c r="AY7" i="2"/>
  <c r="AG7" i="2"/>
  <c r="AF7" i="2"/>
  <c r="AC7" i="2"/>
  <c r="U7" i="2"/>
  <c r="S7" i="2"/>
  <c r="R7" i="2"/>
  <c r="Q7" i="2"/>
  <c r="P7" i="2"/>
  <c r="N7" i="2"/>
  <c r="L7" i="2"/>
  <c r="K7" i="2"/>
  <c r="I7" i="2"/>
  <c r="H7" i="2"/>
  <c r="G7" i="2"/>
  <c r="F7" i="2"/>
  <c r="E7" i="2"/>
  <c r="EM6" i="2" a="1"/>
  <c r="EM6" i="2"/>
  <c r="EL6" i="2" a="1"/>
  <c r="EL6" i="2"/>
  <c r="EL7" i="2" s="1"/>
  <c r="EK6" i="2" a="1"/>
  <c r="EK6" i="2"/>
  <c r="EK7" i="2" s="1"/>
  <c r="EJ6" i="2" a="1"/>
  <c r="EJ6" i="2"/>
  <c r="EI6" i="2" a="1"/>
  <c r="EI6" i="2" s="1"/>
  <c r="EI7" i="2" s="1"/>
  <c r="EH6" i="2" a="1"/>
  <c r="EH6" i="2" s="1"/>
  <c r="EG6" i="2" a="1"/>
  <c r="EG6" i="2"/>
  <c r="EG8" i="2" s="1"/>
  <c r="EF6" i="2" a="1"/>
  <c r="EF6" i="2"/>
  <c r="EF8" i="2" s="1"/>
  <c r="EE6" i="2" a="1"/>
  <c r="EE6" i="2"/>
  <c r="EE8" i="2" s="1"/>
  <c r="ED6" i="2" a="1"/>
  <c r="ED6" i="2"/>
  <c r="ED7" i="2" s="1"/>
  <c r="EC6" i="2" a="1"/>
  <c r="EC6" i="2"/>
  <c r="EC8" i="2" s="1"/>
  <c r="EB6" i="2" a="1"/>
  <c r="EB6" i="2"/>
  <c r="EB7" i="2" s="1"/>
  <c r="EA6" i="2" a="1"/>
  <c r="EA6" i="2"/>
  <c r="DZ6" i="2" a="1"/>
  <c r="DZ6" i="2"/>
  <c r="DY6" i="2" a="1"/>
  <c r="DY6" i="2"/>
  <c r="DX6" i="2" a="1"/>
  <c r="DX6" i="2" s="1"/>
  <c r="DX7" i="2" s="1"/>
  <c r="DW6" i="2" a="1"/>
  <c r="DW6" i="2" s="1"/>
  <c r="DW7" i="2" s="1"/>
  <c r="DV6" i="2" a="1"/>
  <c r="DV6" i="2"/>
  <c r="DU6" i="2" a="1"/>
  <c r="DU6" i="2"/>
  <c r="DT6" i="2" a="1"/>
  <c r="DT6" i="2"/>
  <c r="DS6" i="2" a="1"/>
  <c r="DS6" i="2"/>
  <c r="DR6" i="2" a="1"/>
  <c r="DR6" i="2"/>
  <c r="DQ6" i="2" a="1"/>
  <c r="DQ6" i="2"/>
  <c r="DP6" i="2" a="1"/>
  <c r="DP6" i="2"/>
  <c r="DP7" i="2" s="1"/>
  <c r="DO6" i="2" a="1"/>
  <c r="DO6" i="2"/>
  <c r="DO8" i="2" s="1"/>
  <c r="DN6" i="2" a="1"/>
  <c r="DN6" i="2" s="1"/>
  <c r="DM6" i="2" a="1"/>
  <c r="DM6" i="2" s="1"/>
  <c r="DM8" i="2" s="1"/>
  <c r="DL6" i="2" a="1"/>
  <c r="DL6" i="2" s="1"/>
  <c r="DL8" i="2" s="1"/>
  <c r="DK6" i="2" a="1"/>
  <c r="DK6" i="2"/>
  <c r="DK8" i="2" s="1"/>
  <c r="DJ6" i="2" a="1"/>
  <c r="DJ6" i="2"/>
  <c r="DI6" i="2" a="1"/>
  <c r="DI6" i="2"/>
  <c r="DH6" i="2" a="1"/>
  <c r="DH6" i="2"/>
  <c r="DG6" i="2" a="1"/>
  <c r="DG6" i="2"/>
  <c r="DF6" i="2" a="1"/>
  <c r="DF6" i="2"/>
  <c r="DF7" i="2" s="1"/>
  <c r="DE6" i="2" a="1"/>
  <c r="DE6" i="2"/>
  <c r="DE7" i="2" s="1"/>
  <c r="DD6" i="2" a="1"/>
  <c r="DD6" i="2"/>
  <c r="DC6" i="2" a="1"/>
  <c r="DC6" i="2"/>
  <c r="DC8" i="2" s="1"/>
  <c r="DB6" i="2" a="1"/>
  <c r="DB6" i="2" s="1"/>
  <c r="DA6" i="2" a="1"/>
  <c r="DA6" i="2" s="1"/>
  <c r="CZ6" i="2" a="1"/>
  <c r="CZ6" i="2"/>
  <c r="CY6" i="2" a="1"/>
  <c r="CY6" i="2"/>
  <c r="CY8" i="2" s="1"/>
  <c r="CX6" i="2" a="1"/>
  <c r="CX6" i="2"/>
  <c r="CW6" i="2" a="1"/>
  <c r="CW6" i="2"/>
  <c r="CW8" i="2" s="1"/>
  <c r="CV6" i="2" a="1"/>
  <c r="CV6" i="2"/>
  <c r="CU6" i="2" a="1"/>
  <c r="CU6" i="2"/>
  <c r="CU8" i="2" s="1"/>
  <c r="CT6" i="2" a="1"/>
  <c r="CT6" i="2"/>
  <c r="CS6" i="2" a="1"/>
  <c r="CS6" i="2"/>
  <c r="CR6" i="2" a="1"/>
  <c r="CR6" i="2" s="1"/>
  <c r="CR7" i="2" s="1"/>
  <c r="CQ6" i="2" a="1"/>
  <c r="CQ6" i="2" s="1"/>
  <c r="CP6" i="2" a="1"/>
  <c r="CP6" i="2" s="1"/>
  <c r="CO6" i="2" a="1"/>
  <c r="CO6" i="2" s="1"/>
  <c r="CO7" i="2" s="1"/>
  <c r="CN6" i="2" a="1"/>
  <c r="CN6" i="2"/>
  <c r="CM6" i="2" a="1"/>
  <c r="CM6" i="2"/>
  <c r="CM8" i="2" s="1"/>
  <c r="CL6" i="2" a="1"/>
  <c r="CL6" i="2" s="1"/>
  <c r="CK6" i="2" a="1"/>
  <c r="CK6" i="2"/>
  <c r="CK8" i="2" s="1"/>
  <c r="CJ6" i="2" a="1"/>
  <c r="CJ6" i="2"/>
  <c r="CI6" i="2" a="1"/>
  <c r="CI6" i="2"/>
  <c r="CH6" i="2" a="1"/>
  <c r="CH6" i="2"/>
  <c r="CG6" i="2" a="1"/>
  <c r="CG6" i="2" s="1"/>
  <c r="CF6" i="2" a="1"/>
  <c r="CF6" i="2" s="1"/>
  <c r="CF7" i="2" s="1"/>
  <c r="CE6" i="2" a="1"/>
  <c r="CE6" i="2" s="1"/>
  <c r="CE7" i="2" s="1"/>
  <c r="CD6" i="2" a="1"/>
  <c r="CD6" i="2"/>
  <c r="CD7" i="2" s="1"/>
  <c r="CC6" i="2" a="1"/>
  <c r="CC6" i="2" s="1"/>
  <c r="CB6" i="2" a="1"/>
  <c r="CB6" i="2"/>
  <c r="CA6" i="2" a="1"/>
  <c r="CA6" i="2"/>
  <c r="CA8" i="2" s="1"/>
  <c r="BZ6" i="2" a="1"/>
  <c r="BZ6" i="2"/>
  <c r="BZ7" i="2" s="1"/>
  <c r="BY6" i="2" a="1"/>
  <c r="BY6" i="2"/>
  <c r="BX6" i="2" a="1"/>
  <c r="BX6" i="2"/>
  <c r="BW6" i="2" a="1"/>
  <c r="BW6" i="2"/>
  <c r="BV6" i="2" a="1"/>
  <c r="BV6" i="2"/>
  <c r="BU6" i="2" a="1"/>
  <c r="BU6" i="2" s="1"/>
  <c r="BT6" i="2" a="1"/>
  <c r="BT6" i="2" s="1"/>
  <c r="BS6" i="2" a="1"/>
  <c r="BS6" i="2" s="1"/>
  <c r="BS7" i="2" s="1"/>
  <c r="BR6" i="2" a="1"/>
  <c r="BR6" i="2" s="1"/>
  <c r="BQ6" i="2" a="1"/>
  <c r="BQ6" i="2" s="1"/>
  <c r="BQ7" i="2" s="1"/>
  <c r="BP6" i="2" a="1"/>
  <c r="BP6" i="2"/>
  <c r="BP7" i="2" s="1"/>
  <c r="BO6" i="2" a="1"/>
  <c r="BO6" i="2"/>
  <c r="BO8" i="2" s="1"/>
  <c r="BN6" i="2" a="1"/>
  <c r="BN6" i="2"/>
  <c r="BM6" i="2" a="1"/>
  <c r="BM6" i="2"/>
  <c r="BM7" i="2" s="1"/>
  <c r="BL6" i="2" a="1"/>
  <c r="BL6" i="2"/>
  <c r="BK6" i="2" a="1"/>
  <c r="BK6" i="2"/>
  <c r="BK8" i="2" s="1"/>
  <c r="BJ6" i="2" a="1"/>
  <c r="BJ6" i="2" s="1"/>
  <c r="BJ8" i="2" s="1"/>
  <c r="BI6" i="2" a="1"/>
  <c r="BI6" i="2" s="1"/>
  <c r="BI8" i="2" s="1"/>
  <c r="BH6" i="2" a="1"/>
  <c r="BH6" i="2"/>
  <c r="BH8" i="2" s="1"/>
  <c r="BG6" i="2" a="1"/>
  <c r="BG6" i="2" s="1"/>
  <c r="BF6" i="2" a="1"/>
  <c r="BF6" i="2" s="1"/>
  <c r="BF8" i="2" s="1"/>
  <c r="BE6" i="2" a="1"/>
  <c r="BE6" i="2" s="1"/>
  <c r="BE8" i="2" s="1"/>
  <c r="BD6" i="2" a="1"/>
  <c r="BD6" i="2"/>
  <c r="BD7" i="2" s="1"/>
  <c r="BC6" i="2" a="1"/>
  <c r="BC6" i="2"/>
  <c r="BB6" i="2" a="1"/>
  <c r="BB6" i="2"/>
  <c r="BB7" i="2" s="1"/>
  <c r="BA6" i="2" a="1"/>
  <c r="BA6" i="2"/>
  <c r="BA7" i="2" s="1"/>
  <c r="AZ6" i="2" a="1"/>
  <c r="AZ6" i="2"/>
  <c r="AZ7" i="2" s="1"/>
  <c r="AY6" i="2" a="1"/>
  <c r="AY6" i="2" s="1"/>
  <c r="AY8" i="2" s="1"/>
  <c r="AX6" i="2" a="1"/>
  <c r="AX6" i="2" s="1"/>
  <c r="AX7" i="2" s="1"/>
  <c r="AW6" i="2" a="1"/>
  <c r="AW6" i="2"/>
  <c r="AV6" i="2" a="1"/>
  <c r="AV6" i="2" s="1"/>
  <c r="AU6" i="2" a="1"/>
  <c r="AU6" i="2" s="1"/>
  <c r="AT6" i="2" a="1"/>
  <c r="AT6" i="2"/>
  <c r="AT7" i="2" s="1"/>
  <c r="AS6" i="2" a="1"/>
  <c r="AS6" i="2" s="1"/>
  <c r="AR6" i="2" a="1"/>
  <c r="AR6" i="2"/>
  <c r="AR7" i="2" s="1"/>
  <c r="AQ6" i="2" a="1"/>
  <c r="AQ6" i="2"/>
  <c r="AQ7" i="2" s="1"/>
  <c r="AP6" i="2" a="1"/>
  <c r="AP6" i="2"/>
  <c r="AP7" i="2" s="1"/>
  <c r="AO6" i="2" a="1"/>
  <c r="AO6" i="2"/>
  <c r="AO7" i="2" s="1"/>
  <c r="AN6" i="2" a="1"/>
  <c r="AN6" i="2" s="1"/>
  <c r="AN7" i="2" s="1"/>
  <c r="AM6" i="2" a="1"/>
  <c r="AM6" i="2" s="1"/>
  <c r="AM7" i="2" s="1"/>
  <c r="AL6" i="2" a="1"/>
  <c r="AL6" i="2"/>
  <c r="AK6" i="2" a="1"/>
  <c r="AK6" i="2"/>
  <c r="AK8" i="2" s="1"/>
  <c r="AJ6" i="2" a="1"/>
  <c r="AJ6" i="2"/>
  <c r="AI6" i="2" a="1"/>
  <c r="AI6" i="2" s="1"/>
  <c r="AH6" i="2" a="1"/>
  <c r="AH6" i="2"/>
  <c r="AG6" i="2" a="1"/>
  <c r="AG6" i="2"/>
  <c r="AF6" i="2" a="1"/>
  <c r="AF6" i="2"/>
  <c r="AF8" i="2" s="1"/>
  <c r="AE6" i="2" a="1"/>
  <c r="AE6" i="2"/>
  <c r="AD6" i="2" a="1"/>
  <c r="AD6" i="2"/>
  <c r="AD8" i="2" s="1"/>
  <c r="AC6" i="2" a="1"/>
  <c r="AC6" i="2" s="1"/>
  <c r="AC8" i="2" s="1"/>
  <c r="AB6" i="2" a="1"/>
  <c r="AB6" i="2" s="1"/>
  <c r="AA6" i="2" a="1"/>
  <c r="AA6" i="2"/>
  <c r="Z6" i="2" a="1"/>
  <c r="Z6" i="2"/>
  <c r="Y6" i="2" a="1"/>
  <c r="Y6" i="2" s="1"/>
  <c r="X6" i="2" a="1"/>
  <c r="X6" i="2"/>
  <c r="X7" i="2" s="1"/>
  <c r="W6" i="2" a="1"/>
  <c r="W6" i="2" s="1"/>
  <c r="V6" i="2" a="1"/>
  <c r="V6" i="2"/>
  <c r="U6" i="2" a="1"/>
  <c r="U6" i="2"/>
  <c r="T6" i="2" a="1"/>
  <c r="T6" i="2"/>
  <c r="T7" i="2" s="1"/>
  <c r="S6" i="2" a="1"/>
  <c r="S6" i="2"/>
  <c r="R6" i="2" a="1"/>
  <c r="R6" i="2" s="1"/>
  <c r="Q6" i="2" a="1"/>
  <c r="Q6" i="2" s="1"/>
  <c r="Q8" i="2" s="1"/>
  <c r="P6" i="2" a="1"/>
  <c r="P6" i="2"/>
  <c r="O6" i="2" a="1"/>
  <c r="O6" i="2"/>
  <c r="N6" i="2" a="1"/>
  <c r="N6" i="2"/>
  <c r="M6" i="2" a="1"/>
  <c r="M6" i="2"/>
  <c r="L6" i="2" a="1"/>
  <c r="L6" i="2"/>
  <c r="K6" i="2" a="1"/>
  <c r="K6" i="2"/>
  <c r="J6" i="2" a="1"/>
  <c r="J6" i="2"/>
  <c r="I6" i="2" a="1"/>
  <c r="I6" i="2"/>
  <c r="H6" i="2" a="1"/>
  <c r="H6" i="2"/>
  <c r="H8" i="2" s="1"/>
  <c r="G6" i="2" a="1"/>
  <c r="G6" i="2" s="1"/>
  <c r="G8" i="2" s="1"/>
  <c r="F6" i="2" a="1"/>
  <c r="F6" i="2" s="1"/>
  <c r="F8" i="2" s="1"/>
  <c r="E6" i="2" a="1"/>
  <c r="E6" i="2"/>
  <c r="D6" i="2" a="1"/>
  <c r="D6" i="2"/>
  <c r="D7" i="2" s="1"/>
  <c r="C6" i="2" a="1"/>
  <c r="C6" i="2"/>
  <c r="EN25" i="1"/>
  <c r="EM25" i="1"/>
  <c r="EO25" i="1" s="1"/>
  <c r="EO24" i="1"/>
  <c r="EN24" i="1"/>
  <c r="EM24" i="1"/>
  <c r="B24" i="1"/>
  <c r="EN23" i="1"/>
  <c r="EM23" i="1"/>
  <c r="EO23" i="1" s="1"/>
  <c r="B23" i="1"/>
  <c r="EN22" i="1"/>
  <c r="EO22" i="1" s="1"/>
  <c r="EM22" i="1"/>
  <c r="B22" i="1"/>
  <c r="EN21" i="1"/>
  <c r="EM21" i="1"/>
  <c r="EO21" i="1" s="1"/>
  <c r="B21" i="1"/>
  <c r="EN20" i="1"/>
  <c r="EM20" i="1"/>
  <c r="EO20" i="1" s="1"/>
  <c r="B20" i="1"/>
  <c r="EN19" i="1"/>
  <c r="EM19" i="1"/>
  <c r="EO19" i="1" s="1"/>
  <c r="B19" i="1"/>
  <c r="EN18" i="1"/>
  <c r="EM18" i="1"/>
  <c r="EO18" i="1" s="1"/>
  <c r="B18" i="1"/>
  <c r="EN17" i="1"/>
  <c r="EO17" i="1" s="1"/>
  <c r="EM17" i="1"/>
  <c r="B17" i="1"/>
  <c r="EN16" i="1"/>
  <c r="EM16" i="1"/>
  <c r="EO16" i="1" s="1"/>
  <c r="B16" i="1"/>
  <c r="EN15" i="1"/>
  <c r="EM15" i="1"/>
  <c r="EO15" i="1" s="1"/>
  <c r="B15" i="1"/>
  <c r="EN14" i="1"/>
  <c r="EM14" i="1"/>
  <c r="EO14" i="1" s="1"/>
  <c r="B14" i="1"/>
  <c r="EN13" i="1"/>
  <c r="EM13" i="1"/>
  <c r="EO13" i="1" s="1"/>
  <c r="B13" i="1"/>
  <c r="EO12" i="1"/>
  <c r="EN12" i="1"/>
  <c r="EM12" i="1"/>
  <c r="B12" i="1"/>
  <c r="EG8" i="1"/>
  <c r="EE8" i="1"/>
  <c r="ED8" i="1"/>
  <c r="EC8" i="1"/>
  <c r="EB8" i="1"/>
  <c r="EA8" i="1"/>
  <c r="DZ8" i="1"/>
  <c r="DY8" i="1"/>
  <c r="DU8" i="1"/>
  <c r="DC8" i="1"/>
  <c r="DA8" i="1"/>
  <c r="CY8" i="1"/>
  <c r="CX8" i="1"/>
  <c r="CQ8" i="1"/>
  <c r="CP8" i="1"/>
  <c r="CO8" i="1"/>
  <c r="CN8" i="1"/>
  <c r="CM8" i="1"/>
  <c r="CL8" i="1"/>
  <c r="CJ8" i="1"/>
  <c r="BS8" i="1"/>
  <c r="BO8" i="1"/>
  <c r="BN8" i="1"/>
  <c r="BM8" i="1"/>
  <c r="BL8" i="1"/>
  <c r="BD8" i="1"/>
  <c r="BC8" i="1"/>
  <c r="AU8" i="1"/>
  <c r="AT8" i="1"/>
  <c r="AQ8" i="1"/>
  <c r="AO8" i="1"/>
  <c r="AE8" i="1"/>
  <c r="AD8" i="1"/>
  <c r="AA8" i="1"/>
  <c r="Y8" i="1"/>
  <c r="S8" i="1"/>
  <c r="Q8" i="1"/>
  <c r="O8" i="1"/>
  <c r="N8" i="1"/>
  <c r="M8" i="1"/>
  <c r="L8" i="1"/>
  <c r="K8" i="1"/>
  <c r="E8" i="1"/>
  <c r="C8" i="1"/>
  <c r="EL7" i="1"/>
  <c r="DV7" i="1"/>
  <c r="DU7" i="1"/>
  <c r="DN7" i="1"/>
  <c r="DM7" i="1"/>
  <c r="DH7" i="1"/>
  <c r="DD7" i="1"/>
  <c r="CY7" i="1"/>
  <c r="CX7" i="1"/>
  <c r="CW7" i="1"/>
  <c r="CV7" i="1"/>
  <c r="CJ7" i="1"/>
  <c r="CC7" i="1"/>
  <c r="CB7" i="1"/>
  <c r="BO7" i="1"/>
  <c r="BM7" i="1"/>
  <c r="BL7" i="1"/>
  <c r="BK7" i="1"/>
  <c r="BJ7" i="1"/>
  <c r="BH7" i="1"/>
  <c r="BF7" i="1"/>
  <c r="BC7" i="1"/>
  <c r="BA7" i="1"/>
  <c r="AZ7" i="1"/>
  <c r="AO7" i="1"/>
  <c r="AI7" i="1"/>
  <c r="AE7" i="1"/>
  <c r="AD7" i="1"/>
  <c r="AC7" i="1"/>
  <c r="AB7" i="1"/>
  <c r="Z7" i="1"/>
  <c r="V7" i="1"/>
  <c r="L7" i="1"/>
  <c r="K7" i="1"/>
  <c r="D7" i="1"/>
  <c r="EM6" i="1" a="1"/>
  <c r="EM6" i="1"/>
  <c r="EM7" i="1" s="1"/>
  <c r="EL6" i="1" a="1"/>
  <c r="EL6" i="1" s="1"/>
  <c r="EL8" i="1" s="1"/>
  <c r="EK6" i="1" a="1"/>
  <c r="EK6" i="1" s="1"/>
  <c r="EK8" i="1" s="1"/>
  <c r="EJ6" i="1" a="1"/>
  <c r="EJ6" i="1"/>
  <c r="EI6" i="1" a="1"/>
  <c r="EI6" i="1"/>
  <c r="EI8" i="1" s="1"/>
  <c r="EH6" i="1" a="1"/>
  <c r="EH6" i="1" s="1"/>
  <c r="EH8" i="1" s="1"/>
  <c r="EG6" i="1" a="1"/>
  <c r="EG6" i="1"/>
  <c r="EG7" i="1" s="1"/>
  <c r="EF6" i="1" a="1"/>
  <c r="EF6" i="1"/>
  <c r="EF7" i="1" s="1"/>
  <c r="EE6" i="1" a="1"/>
  <c r="EE6" i="1"/>
  <c r="EE7" i="1" s="1"/>
  <c r="ED6" i="1" a="1"/>
  <c r="ED6" i="1" s="1"/>
  <c r="ED7" i="1" s="1"/>
  <c r="EC6" i="1" a="1"/>
  <c r="EC6" i="1"/>
  <c r="EC7" i="1" s="1"/>
  <c r="EB6" i="1" a="1"/>
  <c r="EB6" i="1"/>
  <c r="EB7" i="1" s="1"/>
  <c r="EA6" i="1" a="1"/>
  <c r="EA6" i="1"/>
  <c r="EA7" i="1" s="1"/>
  <c r="DZ6" i="1" a="1"/>
  <c r="DZ6" i="1"/>
  <c r="DZ7" i="1" s="1"/>
  <c r="DY6" i="1" a="1"/>
  <c r="DY6" i="1"/>
  <c r="DY7" i="1" s="1"/>
  <c r="DX6" i="1" a="1"/>
  <c r="DX6" i="1" s="1"/>
  <c r="DX8" i="1" s="1"/>
  <c r="DW6" i="1" a="1"/>
  <c r="DW6" i="1" s="1"/>
  <c r="DV6" i="1" a="1"/>
  <c r="DV6" i="1" s="1"/>
  <c r="DV8" i="1" s="1"/>
  <c r="DU6" i="1" a="1"/>
  <c r="DU6" i="1" s="1"/>
  <c r="DT6" i="1" a="1"/>
  <c r="DT6" i="1"/>
  <c r="DS6" i="1" a="1"/>
  <c r="DS6" i="1"/>
  <c r="DR6" i="1" a="1"/>
  <c r="DR6" i="1"/>
  <c r="DQ6" i="1" a="1"/>
  <c r="DQ6" i="1" s="1"/>
  <c r="DP6" i="1" a="1"/>
  <c r="DP6" i="1" s="1"/>
  <c r="DO6" i="1" a="1"/>
  <c r="DO6" i="1"/>
  <c r="DO7" i="1" s="1"/>
  <c r="DN6" i="1" a="1"/>
  <c r="DN6" i="1"/>
  <c r="DN8" i="1" s="1"/>
  <c r="DM6" i="1" a="1"/>
  <c r="DM6" i="1"/>
  <c r="DM8" i="1" s="1"/>
  <c r="DL6" i="1" a="1"/>
  <c r="DL6" i="1" s="1"/>
  <c r="DL8" i="1" s="1"/>
  <c r="DK6" i="1" a="1"/>
  <c r="DK6" i="1" s="1"/>
  <c r="DJ6" i="1" a="1"/>
  <c r="DJ6" i="1" s="1"/>
  <c r="DJ8" i="1" s="1"/>
  <c r="DI6" i="1" a="1"/>
  <c r="DI6" i="1" s="1"/>
  <c r="DH6" i="1" a="1"/>
  <c r="DH6" i="1"/>
  <c r="DH8" i="1" s="1"/>
  <c r="DG6" i="1" a="1"/>
  <c r="DG6" i="1"/>
  <c r="DG8" i="1" s="1"/>
  <c r="DF6" i="1" a="1"/>
  <c r="DF6" i="1" s="1"/>
  <c r="DE6" i="1" a="1"/>
  <c r="DE6" i="1" s="1"/>
  <c r="DD6" i="1" a="1"/>
  <c r="DD6" i="1"/>
  <c r="DD8" i="1" s="1"/>
  <c r="DC6" i="1" a="1"/>
  <c r="DC6" i="1"/>
  <c r="DC7" i="1" s="1"/>
  <c r="DB6" i="1" a="1"/>
  <c r="DB6" i="1"/>
  <c r="DA6" i="1" a="1"/>
  <c r="DA6" i="1"/>
  <c r="DA7" i="1" s="1"/>
  <c r="CZ6" i="1" a="1"/>
  <c r="CZ6" i="1" s="1"/>
  <c r="CY6" i="1" a="1"/>
  <c r="CY6" i="1" s="1"/>
  <c r="CX6" i="1" a="1"/>
  <c r="CX6" i="1"/>
  <c r="CW6" i="1" a="1"/>
  <c r="CW6" i="1" s="1"/>
  <c r="CW8" i="1" s="1"/>
  <c r="CV6" i="1" a="1"/>
  <c r="CV6" i="1"/>
  <c r="CV8" i="1" s="1"/>
  <c r="CU6" i="1" a="1"/>
  <c r="CU6" i="1"/>
  <c r="CT6" i="1" a="1"/>
  <c r="CT6" i="1" s="1"/>
  <c r="CS6" i="1" a="1"/>
  <c r="CS6" i="1"/>
  <c r="CR6" i="1" a="1"/>
  <c r="CR6" i="1"/>
  <c r="CQ6" i="1" a="1"/>
  <c r="CQ6" i="1"/>
  <c r="CQ7" i="1" s="1"/>
  <c r="CP6" i="1" a="1"/>
  <c r="CP6" i="1"/>
  <c r="CP7" i="1" s="1"/>
  <c r="CO6" i="1" a="1"/>
  <c r="CO6" i="1" s="1"/>
  <c r="CO7" i="1" s="1"/>
  <c r="CN6" i="1" a="1"/>
  <c r="CN6" i="1" s="1"/>
  <c r="CN7" i="1" s="1"/>
  <c r="CM6" i="1" a="1"/>
  <c r="CM6" i="1" s="1"/>
  <c r="CM7" i="1" s="1"/>
  <c r="CL6" i="1" a="1"/>
  <c r="CL6" i="1"/>
  <c r="CL7" i="1" s="1"/>
  <c r="CK6" i="1" a="1"/>
  <c r="CK6" i="1" s="1"/>
  <c r="CJ6" i="1" a="1"/>
  <c r="CJ6" i="1"/>
  <c r="CI6" i="1" a="1"/>
  <c r="CI6" i="1"/>
  <c r="CI8" i="1" s="1"/>
  <c r="CH6" i="1" a="1"/>
  <c r="CH6" i="1"/>
  <c r="CG6" i="1" a="1"/>
  <c r="CG6" i="1"/>
  <c r="CF6" i="1" a="1"/>
  <c r="CF6" i="1"/>
  <c r="CE6" i="1" a="1"/>
  <c r="CE6" i="1"/>
  <c r="CD6" i="1" a="1"/>
  <c r="CD6" i="1" s="1"/>
  <c r="CC6" i="1" a="1"/>
  <c r="CC6" i="1" s="1"/>
  <c r="CC8" i="1" s="1"/>
  <c r="CB6" i="1" a="1"/>
  <c r="CB6" i="1"/>
  <c r="CB8" i="1" s="1"/>
  <c r="CA6" i="1" a="1"/>
  <c r="CA6" i="1" s="1"/>
  <c r="BZ6" i="1" a="1"/>
  <c r="BZ6" i="1"/>
  <c r="BY6" i="1" a="1"/>
  <c r="BY6" i="1" s="1"/>
  <c r="BY7" i="1" s="1"/>
  <c r="BX6" i="1" a="1"/>
  <c r="BX6" i="1"/>
  <c r="BX8" i="1" s="1"/>
  <c r="BW6" i="1" a="1"/>
  <c r="BW6" i="1"/>
  <c r="BW7" i="1" s="1"/>
  <c r="BV6" i="1" a="1"/>
  <c r="BV6" i="1"/>
  <c r="BV8" i="1" s="1"/>
  <c r="BU6" i="1" a="1"/>
  <c r="BU6" i="1"/>
  <c r="BT6" i="1" a="1"/>
  <c r="BT6" i="1" s="1"/>
  <c r="BS6" i="1" a="1"/>
  <c r="BS6" i="1" s="1"/>
  <c r="BS7" i="1" s="1"/>
  <c r="BR6" i="1" a="1"/>
  <c r="BR6" i="1" s="1"/>
  <c r="BQ6" i="1" a="1"/>
  <c r="BQ6" i="1"/>
  <c r="BP6" i="1" a="1"/>
  <c r="BP6" i="1"/>
  <c r="BO6" i="1" a="1"/>
  <c r="BO6" i="1" s="1"/>
  <c r="BN6" i="1" a="1"/>
  <c r="BN6" i="1"/>
  <c r="BN7" i="1" s="1"/>
  <c r="BM6" i="1" a="1"/>
  <c r="BM6" i="1" s="1"/>
  <c r="BL6" i="1" a="1"/>
  <c r="BL6" i="1"/>
  <c r="BK6" i="1" a="1"/>
  <c r="BK6" i="1"/>
  <c r="BK8" i="1" s="1"/>
  <c r="BJ6" i="1" a="1"/>
  <c r="BJ6" i="1"/>
  <c r="BJ8" i="1" s="1"/>
  <c r="BI6" i="1" a="1"/>
  <c r="BI6" i="1"/>
  <c r="BI7" i="1" s="1"/>
  <c r="BH6" i="1" a="1"/>
  <c r="BH6" i="1" s="1"/>
  <c r="BH8" i="1" s="1"/>
  <c r="BG6" i="1" a="1"/>
  <c r="BG6" i="1" s="1"/>
  <c r="BG8" i="1" s="1"/>
  <c r="BF6" i="1" a="1"/>
  <c r="BF6" i="1"/>
  <c r="BF8" i="1" s="1"/>
  <c r="BE6" i="1" a="1"/>
  <c r="BE6" i="1"/>
  <c r="BD6" i="1" a="1"/>
  <c r="BD6" i="1"/>
  <c r="BD7" i="1" s="1"/>
  <c r="BC6" i="1" a="1"/>
  <c r="BC6" i="1" s="1"/>
  <c r="BB6" i="1" a="1"/>
  <c r="BB6" i="1" s="1"/>
  <c r="BA6" i="1" a="1"/>
  <c r="BA6" i="1"/>
  <c r="BA8" i="1" s="1"/>
  <c r="AZ6" i="1" a="1"/>
  <c r="AZ6" i="1"/>
  <c r="AZ8" i="1" s="1"/>
  <c r="AY6" i="1" a="1"/>
  <c r="AY6" i="1"/>
  <c r="AX6" i="1" a="1"/>
  <c r="AX6" i="1"/>
  <c r="AW6" i="1" a="1"/>
  <c r="AW6" i="1" s="1"/>
  <c r="AV6" i="1" a="1"/>
  <c r="AV6" i="1" s="1"/>
  <c r="AU6" i="1" a="1"/>
  <c r="AU6" i="1"/>
  <c r="AU7" i="1" s="1"/>
  <c r="AT6" i="1" a="1"/>
  <c r="AT6" i="1"/>
  <c r="AT7" i="1" s="1"/>
  <c r="AS6" i="1" a="1"/>
  <c r="AS6" i="1" s="1"/>
  <c r="AR6" i="1" a="1"/>
  <c r="AR6" i="1"/>
  <c r="AR7" i="1" s="1"/>
  <c r="AQ6" i="1" a="1"/>
  <c r="AQ6" i="1" s="1"/>
  <c r="AQ7" i="1" s="1"/>
  <c r="AP6" i="1" a="1"/>
  <c r="AP6" i="1"/>
  <c r="AP7" i="1" s="1"/>
  <c r="AO6" i="1" a="1"/>
  <c r="AO6" i="1"/>
  <c r="AN6" i="1" a="1"/>
  <c r="AN6" i="1"/>
  <c r="AM6" i="1" a="1"/>
  <c r="AM6" i="1"/>
  <c r="AM8" i="1" s="1"/>
  <c r="AL6" i="1" a="1"/>
  <c r="AL6" i="1" s="1"/>
  <c r="AL8" i="1" s="1"/>
  <c r="AK6" i="1" a="1"/>
  <c r="AK6" i="1" s="1"/>
  <c r="AK8" i="1" s="1"/>
  <c r="AJ6" i="1" a="1"/>
  <c r="AJ6" i="1"/>
  <c r="AJ8" i="1" s="1"/>
  <c r="AI6" i="1" a="1"/>
  <c r="AI6" i="1"/>
  <c r="AI8" i="1" s="1"/>
  <c r="AH6" i="1" a="1"/>
  <c r="AH6" i="1"/>
  <c r="AG6" i="1" a="1"/>
  <c r="AG6" i="1"/>
  <c r="AF6" i="1" a="1"/>
  <c r="AF6" i="1" s="1"/>
  <c r="AE6" i="1" a="1"/>
  <c r="AE6" i="1"/>
  <c r="AD6" i="1" a="1"/>
  <c r="AD6" i="1"/>
  <c r="AC6" i="1" a="1"/>
  <c r="AC6" i="1" s="1"/>
  <c r="AC8" i="1" s="1"/>
  <c r="AB6" i="1" a="1"/>
  <c r="AB6" i="1"/>
  <c r="AB8" i="1" s="1"/>
  <c r="AA6" i="1" a="1"/>
  <c r="AA6" i="1" s="1"/>
  <c r="AA7" i="1" s="1"/>
  <c r="Z6" i="1" a="1"/>
  <c r="Z6" i="1" s="1"/>
  <c r="Z8" i="1" s="1"/>
  <c r="Y6" i="1" a="1"/>
  <c r="Y6" i="1"/>
  <c r="Y7" i="1" s="1"/>
  <c r="X6" i="1" a="1"/>
  <c r="X6" i="1"/>
  <c r="W6" i="1" a="1"/>
  <c r="W6" i="1" s="1"/>
  <c r="V6" i="1" a="1"/>
  <c r="V6" i="1"/>
  <c r="V8" i="1" s="1"/>
  <c r="U6" i="1" a="1"/>
  <c r="U6" i="1"/>
  <c r="T6" i="1" a="1"/>
  <c r="T6" i="1"/>
  <c r="T8" i="1" s="1"/>
  <c r="S6" i="1" a="1"/>
  <c r="S6" i="1"/>
  <c r="S7" i="1" s="1"/>
  <c r="R6" i="1" a="1"/>
  <c r="R6" i="1" s="1"/>
  <c r="Q6" i="1" a="1"/>
  <c r="Q6" i="1" s="1"/>
  <c r="Q7" i="1" s="1"/>
  <c r="P6" i="1" a="1"/>
  <c r="P6" i="1" s="1"/>
  <c r="O6" i="1" a="1"/>
  <c r="O6" i="1" s="1"/>
  <c r="O7" i="1" s="1"/>
  <c r="N6" i="1" a="1"/>
  <c r="N6" i="1"/>
  <c r="N7" i="1" s="1"/>
  <c r="M6" i="1" a="1"/>
  <c r="M6" i="1"/>
  <c r="M7" i="1" s="1"/>
  <c r="L6" i="1" a="1"/>
  <c r="L6" i="1"/>
  <c r="K6" i="1" a="1"/>
  <c r="K6" i="1"/>
  <c r="J6" i="1" a="1"/>
  <c r="J6" i="1"/>
  <c r="J8" i="1" s="1"/>
  <c r="I6" i="1" a="1"/>
  <c r="I6" i="1"/>
  <c r="H6" i="1" a="1"/>
  <c r="H6" i="1"/>
  <c r="H7" i="1" s="1"/>
  <c r="G6" i="1" a="1"/>
  <c r="G6" i="1" s="1"/>
  <c r="F6" i="1" a="1"/>
  <c r="F6" i="1" s="1"/>
  <c r="E6" i="1" a="1"/>
  <c r="E6" i="1" s="1"/>
  <c r="E7" i="1" s="1"/>
  <c r="D6" i="1" a="1"/>
  <c r="D6" i="1" s="1"/>
  <c r="D8" i="1" s="1"/>
  <c r="C6" i="1" a="1"/>
  <c r="C6" i="1"/>
  <c r="C7" i="1" s="1"/>
  <c r="EO21" i="2" l="1"/>
  <c r="EO22" i="2"/>
  <c r="DE8" i="1"/>
  <c r="DE7" i="1"/>
  <c r="AV7" i="2"/>
  <c r="AV8" i="2"/>
  <c r="CG8" i="4"/>
  <c r="CG7" i="4"/>
  <c r="DF8" i="1"/>
  <c r="DF7" i="1"/>
  <c r="BV7" i="4"/>
  <c r="BV8" i="4"/>
  <c r="CT8" i="1"/>
  <c r="CT7" i="1"/>
  <c r="BT8" i="1"/>
  <c r="BT7" i="1"/>
  <c r="AF8" i="1"/>
  <c r="AF7" i="1"/>
  <c r="AS7" i="1"/>
  <c r="AS8" i="1"/>
  <c r="F7" i="1"/>
  <c r="F8" i="1"/>
  <c r="M8" i="3"/>
  <c r="M7" i="3"/>
  <c r="AM7" i="3"/>
  <c r="AM8" i="3"/>
  <c r="CK8" i="3"/>
  <c r="CK7" i="3"/>
  <c r="EM21" i="3"/>
  <c r="EN21" i="3" s="1"/>
  <c r="N8" i="3"/>
  <c r="N7" i="3"/>
  <c r="AN7" i="3"/>
  <c r="AN8" i="3"/>
  <c r="AZ8" i="3"/>
  <c r="AZ7" i="3"/>
  <c r="Y8" i="3"/>
  <c r="BA7" i="4"/>
  <c r="E8" i="4"/>
  <c r="E7" i="4"/>
  <c r="CH7" i="4"/>
  <c r="CH8" i="4"/>
  <c r="CM7" i="7"/>
  <c r="CM8" i="7"/>
  <c r="G8" i="1"/>
  <c r="G7" i="1"/>
  <c r="CU7" i="1"/>
  <c r="CU8" i="1"/>
  <c r="BU8" i="3"/>
  <c r="BU7" i="3"/>
  <c r="AZ7" i="4"/>
  <c r="AZ8" i="4"/>
  <c r="BW7" i="4"/>
  <c r="BW8" i="4"/>
  <c r="DW8" i="1"/>
  <c r="DW7" i="1"/>
  <c r="DZ8" i="3"/>
  <c r="DZ7" i="3"/>
  <c r="F7" i="4"/>
  <c r="F8" i="4"/>
  <c r="AO8" i="4"/>
  <c r="AO7" i="4"/>
  <c r="CW8" i="3"/>
  <c r="CW7" i="3"/>
  <c r="K8" i="3"/>
  <c r="K7" i="3"/>
  <c r="AX8" i="3"/>
  <c r="AX7" i="3"/>
  <c r="S8" i="4"/>
  <c r="S7" i="4"/>
  <c r="L7" i="3"/>
  <c r="L8" i="3"/>
  <c r="Z8" i="3"/>
  <c r="Z7" i="3"/>
  <c r="AY8" i="3"/>
  <c r="AY7" i="3"/>
  <c r="BT7" i="2"/>
  <c r="BT8" i="2"/>
  <c r="EM24" i="3"/>
  <c r="EN24" i="3" s="1"/>
  <c r="EM17" i="3"/>
  <c r="EN17" i="3" s="1"/>
  <c r="AS7" i="2"/>
  <c r="AS8" i="2"/>
  <c r="AM8" i="7"/>
  <c r="AM7" i="7"/>
  <c r="CF7" i="7"/>
  <c r="CF8" i="7"/>
  <c r="BW8" i="2"/>
  <c r="BW7" i="2"/>
  <c r="CJ7" i="2"/>
  <c r="CJ8" i="2"/>
  <c r="EH8" i="2"/>
  <c r="EH7" i="2"/>
  <c r="CH7" i="7"/>
  <c r="CH8" i="7"/>
  <c r="CY8" i="7"/>
  <c r="CY7" i="7"/>
  <c r="ED7" i="7"/>
  <c r="ED8" i="7"/>
  <c r="BQ7" i="1"/>
  <c r="BQ8" i="1"/>
  <c r="CR8" i="1"/>
  <c r="CR7" i="1"/>
  <c r="AH8" i="2"/>
  <c r="AH7" i="2"/>
  <c r="AU7" i="2"/>
  <c r="AU8" i="2"/>
  <c r="AC8" i="4"/>
  <c r="DS8" i="1"/>
  <c r="DS7" i="1"/>
  <c r="DG7" i="1"/>
  <c r="BX8" i="2"/>
  <c r="BX7" i="2"/>
  <c r="DK8" i="3"/>
  <c r="Z7" i="4"/>
  <c r="Z8" i="4"/>
  <c r="AD8" i="4"/>
  <c r="BD7" i="7"/>
  <c r="BD8" i="7"/>
  <c r="BR8" i="7"/>
  <c r="BR7" i="7"/>
  <c r="CJ8" i="7"/>
  <c r="CJ7" i="7"/>
  <c r="CZ7" i="7"/>
  <c r="CZ8" i="7"/>
  <c r="DO7" i="7"/>
  <c r="DO8" i="7"/>
  <c r="EE7" i="7"/>
  <c r="EE8" i="7"/>
  <c r="AN8" i="4"/>
  <c r="AN7" i="4"/>
  <c r="BU7" i="1"/>
  <c r="BU8" i="1"/>
  <c r="BV8" i="7"/>
  <c r="BV7" i="7"/>
  <c r="AH8" i="1"/>
  <c r="AH7" i="1"/>
  <c r="BG7" i="1"/>
  <c r="J7" i="3"/>
  <c r="J8" i="3"/>
  <c r="BV8" i="3"/>
  <c r="BV7" i="3"/>
  <c r="DJ8" i="3"/>
  <c r="DJ7" i="3"/>
  <c r="BL8" i="4"/>
  <c r="BL7" i="4"/>
  <c r="ED8" i="4"/>
  <c r="ED7" i="4"/>
  <c r="BJ7" i="3"/>
  <c r="BJ8" i="3"/>
  <c r="T7" i="1"/>
  <c r="CU7" i="2"/>
  <c r="DT8" i="2"/>
  <c r="DT7" i="2"/>
  <c r="EA8" i="7"/>
  <c r="EA7" i="7"/>
  <c r="BU8" i="2"/>
  <c r="BU7" i="2"/>
  <c r="CV7" i="2"/>
  <c r="CV8" i="2"/>
  <c r="DH7" i="2"/>
  <c r="DH8" i="2"/>
  <c r="DP7" i="1"/>
  <c r="DP8" i="1"/>
  <c r="BG8" i="2"/>
  <c r="BG7" i="2"/>
  <c r="BV8" i="2"/>
  <c r="BV7" i="2"/>
  <c r="CI8" i="2"/>
  <c r="CI7" i="2"/>
  <c r="DU8" i="2"/>
  <c r="DU7" i="2"/>
  <c r="BK7" i="4"/>
  <c r="DQ7" i="1"/>
  <c r="DQ8" i="1"/>
  <c r="DI7" i="2"/>
  <c r="DI8" i="2"/>
  <c r="EC7" i="7"/>
  <c r="EC8" i="7"/>
  <c r="EM15" i="3"/>
  <c r="EN15" i="3" s="1"/>
  <c r="DN8" i="4"/>
  <c r="DN7" i="4"/>
  <c r="CE8" i="1"/>
  <c r="CE7" i="1"/>
  <c r="R8" i="1"/>
  <c r="R7" i="1"/>
  <c r="BE8" i="1"/>
  <c r="BE7" i="1"/>
  <c r="AI8" i="2"/>
  <c r="AI7" i="2"/>
  <c r="AQ7" i="7"/>
  <c r="AQ8" i="7"/>
  <c r="BE8" i="7"/>
  <c r="BE7" i="7"/>
  <c r="BS8" i="7"/>
  <c r="BS7" i="7"/>
  <c r="AR8" i="1"/>
  <c r="AJ8" i="2"/>
  <c r="AJ7" i="2"/>
  <c r="AW8" i="2"/>
  <c r="AW7" i="2"/>
  <c r="CL7" i="2"/>
  <c r="CL8" i="2"/>
  <c r="CT8" i="3"/>
  <c r="CT7" i="3"/>
  <c r="AM8" i="4"/>
  <c r="AM7" i="4"/>
  <c r="BJ7" i="4"/>
  <c r="BJ8" i="4"/>
  <c r="CS8" i="4"/>
  <c r="CS7" i="4"/>
  <c r="AG8" i="1"/>
  <c r="AG7" i="1"/>
  <c r="EM7" i="3"/>
  <c r="EM8" i="3"/>
  <c r="CH8" i="1"/>
  <c r="CH7" i="1"/>
  <c r="CH7" i="3"/>
  <c r="CH8" i="3"/>
  <c r="Q7" i="4"/>
  <c r="U7" i="1"/>
  <c r="U8" i="1"/>
  <c r="Y8" i="2"/>
  <c r="Y7" i="2"/>
  <c r="X8" i="3"/>
  <c r="X7" i="3"/>
  <c r="BI7" i="3"/>
  <c r="BI8" i="3"/>
  <c r="R8" i="4"/>
  <c r="R7" i="4"/>
  <c r="I8" i="1"/>
  <c r="I7" i="1"/>
  <c r="BW8" i="3"/>
  <c r="BW7" i="3"/>
  <c r="CX8" i="3"/>
  <c r="CX7" i="3"/>
  <c r="G8" i="4"/>
  <c r="G7" i="4"/>
  <c r="AP8" i="4"/>
  <c r="AP7" i="4"/>
  <c r="BK7" i="3"/>
  <c r="BK8" i="3"/>
  <c r="EF8" i="4"/>
  <c r="EF7" i="4"/>
  <c r="W7" i="1"/>
  <c r="W8" i="1"/>
  <c r="H8" i="1"/>
  <c r="BR7" i="2"/>
  <c r="BR8" i="2"/>
  <c r="DS8" i="2"/>
  <c r="DS7" i="2"/>
  <c r="CM7" i="3"/>
  <c r="CM8" i="3"/>
  <c r="CG8" i="2"/>
  <c r="CG7" i="2"/>
  <c r="DG7" i="2"/>
  <c r="DG8" i="2"/>
  <c r="CH8" i="2"/>
  <c r="CH7" i="2"/>
  <c r="CE7" i="7"/>
  <c r="CE8" i="7"/>
  <c r="BP8" i="7"/>
  <c r="BP7" i="7"/>
  <c r="C16" i="8"/>
  <c r="BB8" i="1"/>
  <c r="BB7" i="1"/>
  <c r="Y7" i="7"/>
  <c r="Y8" i="7"/>
  <c r="CG7" i="7"/>
  <c r="CG8" i="7"/>
  <c r="DM7" i="7"/>
  <c r="DM8" i="7"/>
  <c r="DR8" i="1"/>
  <c r="DR7" i="1"/>
  <c r="DV8" i="2"/>
  <c r="DV7" i="2"/>
  <c r="AO8" i="7"/>
  <c r="AO7" i="7"/>
  <c r="BR7" i="1"/>
  <c r="BR8" i="1"/>
  <c r="CF8" i="1"/>
  <c r="CF7" i="1"/>
  <c r="CS7" i="1"/>
  <c r="CS8" i="1"/>
  <c r="J7" i="2"/>
  <c r="J8" i="2"/>
  <c r="V7" i="2"/>
  <c r="V8" i="2"/>
  <c r="CS7" i="3"/>
  <c r="CS8" i="3"/>
  <c r="CR8" i="4"/>
  <c r="CR7" i="4"/>
  <c r="DD8" i="4"/>
  <c r="DD7" i="4"/>
  <c r="CG8" i="1"/>
  <c r="CG7" i="1"/>
  <c r="W7" i="2"/>
  <c r="W8" i="2"/>
  <c r="EA7" i="3"/>
  <c r="D8" i="4"/>
  <c r="D7" i="4"/>
  <c r="P7" i="4"/>
  <c r="P8" i="4"/>
  <c r="DJ8" i="2"/>
  <c r="DJ7" i="2"/>
  <c r="O7" i="3"/>
  <c r="O8" i="3"/>
  <c r="ED7" i="3"/>
  <c r="H7" i="4"/>
  <c r="H8" i="4"/>
  <c r="DS7" i="4"/>
  <c r="AE8" i="4"/>
  <c r="CL7" i="7"/>
  <c r="CL8" i="7"/>
  <c r="DP7" i="7"/>
  <c r="DP8" i="7"/>
  <c r="AF7" i="7"/>
  <c r="DJ7" i="1"/>
  <c r="BI8" i="1"/>
  <c r="EM8" i="1"/>
  <c r="EJ8" i="2"/>
  <c r="EJ7" i="2"/>
  <c r="BO7" i="2"/>
  <c r="AB8" i="3"/>
  <c r="AB7" i="3"/>
  <c r="CY7" i="3"/>
  <c r="CY8" i="3"/>
  <c r="CL7" i="3"/>
  <c r="EF7" i="3"/>
  <c r="DH8" i="4"/>
  <c r="DH7" i="4"/>
  <c r="CY8" i="4"/>
  <c r="AS8" i="7"/>
  <c r="AS7" i="7"/>
  <c r="DQ8" i="7"/>
  <c r="DQ7" i="7"/>
  <c r="AV7" i="1"/>
  <c r="AV8" i="1"/>
  <c r="DI7" i="1"/>
  <c r="DI8" i="1"/>
  <c r="BV7" i="1"/>
  <c r="DL7" i="1"/>
  <c r="AD7" i="2"/>
  <c r="DC7" i="2"/>
  <c r="AX8" i="2"/>
  <c r="EC8" i="3"/>
  <c r="EC7" i="3"/>
  <c r="EH7" i="3"/>
  <c r="CW8" i="4"/>
  <c r="CW7" i="4"/>
  <c r="DV7" i="4"/>
  <c r="CZ8" i="4"/>
  <c r="B21" i="6"/>
  <c r="DC7" i="7"/>
  <c r="DC8" i="7"/>
  <c r="DO7" i="3"/>
  <c r="DO8" i="3"/>
  <c r="DU7" i="4"/>
  <c r="DU8" i="4"/>
  <c r="X8" i="1"/>
  <c r="X7" i="1"/>
  <c r="DK7" i="1"/>
  <c r="DK8" i="1"/>
  <c r="CZ7" i="3"/>
  <c r="EM13" i="3"/>
  <c r="EN13" i="3" s="1"/>
  <c r="CA8" i="4"/>
  <c r="CA7" i="4"/>
  <c r="BW8" i="7"/>
  <c r="BW7" i="7"/>
  <c r="DS8" i="7"/>
  <c r="DS7" i="7"/>
  <c r="C20" i="8"/>
  <c r="AZ8" i="2"/>
  <c r="BH7" i="7"/>
  <c r="BH8" i="7"/>
  <c r="AX8" i="1"/>
  <c r="AX7" i="1"/>
  <c r="Z8" i="2"/>
  <c r="Z7" i="2"/>
  <c r="CK8" i="1"/>
  <c r="CK7" i="1"/>
  <c r="BN7" i="2"/>
  <c r="BN8" i="2"/>
  <c r="DB7" i="3"/>
  <c r="BP8" i="4"/>
  <c r="BP7" i="4"/>
  <c r="AY7" i="1"/>
  <c r="AY8" i="1"/>
  <c r="AK7" i="1"/>
  <c r="AA8" i="2"/>
  <c r="AA7" i="2"/>
  <c r="DN7" i="2"/>
  <c r="DN8" i="2"/>
  <c r="CC7" i="3"/>
  <c r="CC8" i="3"/>
  <c r="BC7" i="3"/>
  <c r="CB7" i="4"/>
  <c r="S8" i="7"/>
  <c r="S7" i="7"/>
  <c r="C8" i="2"/>
  <c r="C7" i="2"/>
  <c r="O8" i="2"/>
  <c r="O7" i="2"/>
  <c r="DK8" i="4"/>
  <c r="AB7" i="2"/>
  <c r="AB8" i="2"/>
  <c r="AS7" i="3"/>
  <c r="AS8" i="3"/>
  <c r="EE8" i="3"/>
  <c r="AI8" i="4"/>
  <c r="AI7" i="4"/>
  <c r="BT7" i="7"/>
  <c r="BC7" i="2"/>
  <c r="BC8" i="2"/>
  <c r="CP7" i="2"/>
  <c r="CP8" i="2"/>
  <c r="DT8" i="3"/>
  <c r="DT7" i="3"/>
  <c r="BF8" i="3"/>
  <c r="CD7" i="4"/>
  <c r="CD8" i="4"/>
  <c r="DA7" i="4"/>
  <c r="DA8" i="4"/>
  <c r="EI7" i="4"/>
  <c r="BU7" i="7"/>
  <c r="CA7" i="1"/>
  <c r="CA8" i="1"/>
  <c r="AJ8" i="4"/>
  <c r="AJ7" i="4"/>
  <c r="AV7" i="4"/>
  <c r="AV8" i="4"/>
  <c r="CP8" i="4"/>
  <c r="CP7" i="4"/>
  <c r="BW8" i="1"/>
  <c r="DQ8" i="2"/>
  <c r="DQ7" i="2"/>
  <c r="CF7" i="3"/>
  <c r="CF8" i="3"/>
  <c r="DF7" i="3"/>
  <c r="DF8" i="3"/>
  <c r="AK8" i="4"/>
  <c r="AK7" i="4"/>
  <c r="CE7" i="4"/>
  <c r="CE8" i="4"/>
  <c r="DB8" i="4"/>
  <c r="DB7" i="4"/>
  <c r="DY7" i="4"/>
  <c r="DY8" i="4"/>
  <c r="CO7" i="4"/>
  <c r="BR8" i="4"/>
  <c r="EH7" i="1"/>
  <c r="BY8" i="1"/>
  <c r="AE8" i="2"/>
  <c r="AE7" i="2"/>
  <c r="CS8" i="2"/>
  <c r="CS7" i="2"/>
  <c r="CK7" i="2"/>
  <c r="X8" i="2"/>
  <c r="AU7" i="3"/>
  <c r="AU8" i="3"/>
  <c r="N8" i="4"/>
  <c r="N7" i="4"/>
  <c r="AW7" i="4"/>
  <c r="AW8" i="4"/>
  <c r="EK8" i="4"/>
  <c r="EK7" i="4"/>
  <c r="CQ7" i="4"/>
  <c r="T8" i="4"/>
  <c r="BS8" i="4"/>
  <c r="V7" i="7"/>
  <c r="V8" i="7"/>
  <c r="AK7" i="7"/>
  <c r="AK8" i="7"/>
  <c r="I8" i="7"/>
  <c r="BI7" i="7"/>
  <c r="BI8" i="7"/>
  <c r="AW7" i="1"/>
  <c r="AW8" i="1"/>
  <c r="EJ8" i="1"/>
  <c r="EJ7" i="1"/>
  <c r="M8" i="2"/>
  <c r="M7" i="2"/>
  <c r="AL7" i="2"/>
  <c r="AL8" i="2"/>
  <c r="DI8" i="4"/>
  <c r="DI7" i="4"/>
  <c r="Q8" i="7"/>
  <c r="Q7" i="7"/>
  <c r="DR7" i="7"/>
  <c r="DR8" i="7"/>
  <c r="AJ7" i="1"/>
  <c r="BB7" i="3"/>
  <c r="CM7" i="4"/>
  <c r="CM8" i="4"/>
  <c r="AU8" i="7"/>
  <c r="AU7" i="7"/>
  <c r="D8" i="3"/>
  <c r="EM22" i="3"/>
  <c r="EN22" i="3" s="1"/>
  <c r="E8" i="7"/>
  <c r="E7" i="7"/>
  <c r="CZ8" i="1"/>
  <c r="CZ7" i="1"/>
  <c r="AL7" i="1"/>
  <c r="EM7" i="2"/>
  <c r="EM8" i="2"/>
  <c r="DO7" i="2"/>
  <c r="BM8" i="2"/>
  <c r="BE7" i="3"/>
  <c r="BQ8" i="4"/>
  <c r="BQ7" i="4"/>
  <c r="CC7" i="4"/>
  <c r="CC8" i="4"/>
  <c r="DW7" i="4"/>
  <c r="DW8" i="4"/>
  <c r="EG7" i="4"/>
  <c r="BZ8" i="1"/>
  <c r="BZ7" i="1"/>
  <c r="AM7" i="1"/>
  <c r="AK7" i="2"/>
  <c r="CA7" i="2"/>
  <c r="BD8" i="3"/>
  <c r="CN8" i="3"/>
  <c r="BF8" i="4"/>
  <c r="BF7" i="4"/>
  <c r="CI7" i="1"/>
  <c r="DX7" i="1"/>
  <c r="CC8" i="2"/>
  <c r="CC7" i="2"/>
  <c r="BR8" i="3"/>
  <c r="BR7" i="3"/>
  <c r="DB8" i="1"/>
  <c r="DB7" i="1"/>
  <c r="DO8" i="1"/>
  <c r="CR8" i="3"/>
  <c r="CR7" i="3"/>
  <c r="EG8" i="3"/>
  <c r="DM7" i="4"/>
  <c r="DM8" i="4"/>
  <c r="BP7" i="1"/>
  <c r="BP8" i="1"/>
  <c r="EI7" i="1"/>
  <c r="CM7" i="2"/>
  <c r="W7" i="3"/>
  <c r="W8" i="3"/>
  <c r="BT8" i="3"/>
  <c r="BT7" i="3"/>
  <c r="AH7" i="3"/>
  <c r="DL7" i="3"/>
  <c r="C8" i="4"/>
  <c r="C7" i="4"/>
  <c r="AL7" i="4"/>
  <c r="AL8" i="4"/>
  <c r="AT7" i="4"/>
  <c r="CD8" i="1"/>
  <c r="CD7" i="1"/>
  <c r="J7" i="1"/>
  <c r="EK7" i="1"/>
  <c r="AP8" i="1"/>
  <c r="AX7" i="4"/>
  <c r="AX8" i="4"/>
  <c r="BU7" i="4"/>
  <c r="BU8" i="4"/>
  <c r="DO8" i="4"/>
  <c r="DO7" i="4"/>
  <c r="AU7" i="4"/>
  <c r="K7" i="4"/>
  <c r="EB8" i="4"/>
  <c r="BA7" i="7"/>
  <c r="BA8" i="7"/>
  <c r="BO8" i="7"/>
  <c r="BO7" i="7"/>
  <c r="CD7" i="7"/>
  <c r="CD8" i="7"/>
  <c r="CT8" i="7"/>
  <c r="CT7" i="7"/>
  <c r="BL8" i="3"/>
  <c r="DN8" i="7"/>
  <c r="DN7" i="7"/>
  <c r="P8" i="1"/>
  <c r="P7" i="1"/>
  <c r="AP7" i="3"/>
  <c r="AP8" i="3"/>
  <c r="CV8" i="3"/>
  <c r="CV7" i="3"/>
  <c r="CP7" i="3"/>
  <c r="DH8" i="3"/>
  <c r="U8" i="7"/>
  <c r="U7" i="7"/>
  <c r="DG8" i="7"/>
  <c r="DG7" i="7"/>
  <c r="DT7" i="7"/>
  <c r="BX7" i="7"/>
  <c r="BX8" i="7"/>
  <c r="T8" i="7"/>
  <c r="T7" i="7"/>
  <c r="DF8" i="7"/>
  <c r="DF7" i="7"/>
  <c r="AN8" i="1"/>
  <c r="AN7" i="1"/>
  <c r="BD8" i="2"/>
  <c r="BN7" i="4"/>
  <c r="BN8" i="4"/>
  <c r="DP8" i="4"/>
  <c r="H8" i="7"/>
  <c r="H7" i="7"/>
  <c r="BK8" i="7"/>
  <c r="BK7" i="7"/>
  <c r="BZ7" i="7"/>
  <c r="BZ8" i="7"/>
  <c r="C24" i="8"/>
  <c r="AD8" i="3"/>
  <c r="AD7" i="3"/>
  <c r="F8" i="3"/>
  <c r="F7" i="3"/>
  <c r="Q8" i="3"/>
  <c r="AH7" i="4"/>
  <c r="AH8" i="4"/>
  <c r="CK8" i="4"/>
  <c r="CK7" i="4"/>
  <c r="DG7" i="4"/>
  <c r="CI7" i="4"/>
  <c r="CI8" i="4"/>
  <c r="EF8" i="1"/>
  <c r="DT8" i="1"/>
  <c r="DT7" i="1"/>
  <c r="BX7" i="1"/>
  <c r="DH8" i="7"/>
  <c r="DH7" i="7"/>
  <c r="DX8" i="7"/>
  <c r="DX7" i="7"/>
  <c r="DW7" i="7"/>
  <c r="AD8" i="7"/>
  <c r="AD7" i="7"/>
  <c r="CI7" i="7"/>
  <c r="CI8" i="7"/>
  <c r="M8" i="7"/>
  <c r="M7" i="7"/>
  <c r="BC7" i="7"/>
  <c r="BC8" i="7"/>
  <c r="CU7" i="7"/>
  <c r="CU8" i="7"/>
  <c r="DZ7" i="7"/>
  <c r="DZ8" i="7"/>
  <c r="Z8" i="7"/>
  <c r="R7" i="7"/>
  <c r="AY8" i="7"/>
  <c r="AY7" i="7"/>
  <c r="X7" i="7"/>
  <c r="X8" i="7"/>
  <c r="AL7" i="7"/>
  <c r="AL8" i="7"/>
  <c r="BM8" i="7"/>
  <c r="BM7" i="7"/>
  <c r="CB8" i="7"/>
  <c r="CB7" i="7"/>
  <c r="BG8" i="7"/>
  <c r="BG7" i="7"/>
  <c r="AZ8" i="7"/>
  <c r="AZ7" i="7"/>
  <c r="DB7" i="7"/>
  <c r="DB8" i="7"/>
  <c r="AB7" i="7"/>
  <c r="DV7" i="7"/>
  <c r="DV8" i="7"/>
  <c r="DA8" i="7"/>
  <c r="DA7" i="7"/>
  <c r="C28" i="8"/>
  <c r="C32" i="8" l="1"/>
  <c r="C31" i="8"/>
  <c r="C33" i="8" s="1"/>
  <c r="C30" i="8"/>
</calcChain>
</file>

<file path=xl/sharedStrings.xml><?xml version="1.0" encoding="utf-8"?>
<sst xmlns="http://schemas.openxmlformats.org/spreadsheetml/2006/main" count="2658" uniqueCount="303">
  <si>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</si>
  <si>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</si>
  <si>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</si>
  <si>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</si>
  <si>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</si>
  <si>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</si>
  <si>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</si>
  <si>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</si>
  <si>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</si>
  <si>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</si>
  <si>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</si>
  <si>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</si>
  <si>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</si>
  <si>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</si>
  <si>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</si>
  <si>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</si>
  <si>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</si>
  <si>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</si>
  <si>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</si>
  <si>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</si>
  <si>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</si>
  <si>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</si>
  <si>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</si>
  <si>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</si>
  <si>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</si>
  <si>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</si>
  <si>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</si>
  <si>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</si>
  <si>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</si>
  <si>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</si>
  <si>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</si>
  <si>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</si>
  <si>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</si>
  <si>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</si>
  <si>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</si>
  <si>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</si>
  <si>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</si>
  <si>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</si>
  <si>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</si>
  <si>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</si>
  <si>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</si>
  <si>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</si>
  <si>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</si>
  <si>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</si>
  <si>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</si>
  <si>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</si>
  <si>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</si>
  <si>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</si>
  <si>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</si>
  <si>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</si>
  <si>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</si>
  <si>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</si>
  <si>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</si>
  <si>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</si>
  <si>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</si>
  <si>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</si>
  <si>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</si>
  <si>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</si>
  <si>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</si>
  <si>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</si>
  <si>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</si>
  <si>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</si>
  <si>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</si>
  <si>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</si>
  <si>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</si>
  <si>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</si>
  <si>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</si>
  <si>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</si>
  <si>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</si>
  <si>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</si>
  <si>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</si>
  <si>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</si>
  <si>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</si>
  <si>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</si>
  <si>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</si>
  <si>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</si>
  <si>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</si>
  <si>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</si>
  <si>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</si>
  <si>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</si>
  <si>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</si>
  <si>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</si>
  <si>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</si>
  <si>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</si>
  <si>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</si>
  <si>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</si>
  <si>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</si>
  <si>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</si>
  <si>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</si>
  <si>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</si>
  <si>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</si>
  <si>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</si>
  <si>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</si>
  <si>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</si>
  <si>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</si>
  <si>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</si>
  <si>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</si>
  <si>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</si>
  <si>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</si>
  <si>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</si>
  <si>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</si>
  <si>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</si>
  <si>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</si>
  <si>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</si>
  <si>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</si>
  <si>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</si>
  <si>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</si>
  <si>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</si>
  <si>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</si>
  <si>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</si>
  <si>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</si>
  <si>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</si>
  <si>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</si>
  <si>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</si>
  <si>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</si>
  <si>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</si>
  <si>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</si>
  <si>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</si>
  <si>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</si>
  <si>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</si>
  <si>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</si>
  <si>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</si>
  <si>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</si>
  <si>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</si>
  <si>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</si>
  <si>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</si>
  <si>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</si>
  <si>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</si>
  <si>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</si>
  <si>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</si>
  <si>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</si>
  <si>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</si>
  <si>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</si>
  <si>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</si>
  <si>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</si>
  <si>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</si>
  <si>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</si>
  <si>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</si>
  <si>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</si>
  <si>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</si>
  <si>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</si>
  <si>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</si>
  <si>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</si>
  <si>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bm</t>
  </si>
  <si>
    <t>size</t>
  </si>
  <si>
    <t>mom</t>
  </si>
  <si>
    <t>絕對值最大</t>
  </si>
  <si>
    <t>投資組合</t>
  </si>
  <si>
    <t>公司數</t>
  </si>
  <si>
    <t>等分</t>
  </si>
  <si>
    <t>家數</t>
  </si>
  <si>
    <t>平均值</t>
  </si>
  <si>
    <t>標準差</t>
  </si>
  <si>
    <t>夏普比率</t>
  </si>
  <si>
    <t>大盤</t>
  </si>
  <si>
    <t>TWII</t>
  </si>
  <si>
    <t>Predict</t>
  </si>
  <si>
    <t>低</t>
  </si>
  <si>
    <t>2540</t>
  </si>
  <si>
    <t>5455</t>
  </si>
  <si>
    <t>6130</t>
  </si>
  <si>
    <t>6114</t>
  </si>
  <si>
    <t>5324</t>
  </si>
  <si>
    <t>6103</t>
  </si>
  <si>
    <t>6291</t>
  </si>
  <si>
    <t>3176</t>
  </si>
  <si>
    <t>2388</t>
  </si>
  <si>
    <t>2028</t>
  </si>
  <si>
    <t>9906</t>
  </si>
  <si>
    <t>3205</t>
  </si>
  <si>
    <t>3095</t>
  </si>
  <si>
    <t>6225</t>
  </si>
  <si>
    <t>3064</t>
  </si>
  <si>
    <t>8067</t>
  </si>
  <si>
    <t>3288</t>
  </si>
  <si>
    <t>1475</t>
  </si>
  <si>
    <t>4303</t>
  </si>
  <si>
    <t>1472</t>
  </si>
  <si>
    <t>5348</t>
  </si>
  <si>
    <t>4304</t>
  </si>
  <si>
    <t>3228</t>
  </si>
  <si>
    <t>8070</t>
  </si>
  <si>
    <t>3191</t>
  </si>
  <si>
    <t>1538</t>
  </si>
  <si>
    <t>2321</t>
  </si>
  <si>
    <t>5314</t>
  </si>
  <si>
    <t>3093</t>
  </si>
  <si>
    <t>3443</t>
  </si>
  <si>
    <t>5345</t>
  </si>
  <si>
    <t>1519</t>
  </si>
  <si>
    <t>1808</t>
  </si>
  <si>
    <t>1101</t>
  </si>
  <si>
    <t>公司名稱</t>
  </si>
  <si>
    <t>愛山林</t>
  </si>
  <si>
    <t>昇益</t>
  </si>
  <si>
    <t>上亞科技</t>
  </si>
  <si>
    <t>久威</t>
  </si>
  <si>
    <t>士開</t>
  </si>
  <si>
    <t>合邦</t>
  </si>
  <si>
    <t>沛亨</t>
  </si>
  <si>
    <t>基亞</t>
  </si>
  <si>
    <t>威盛</t>
  </si>
  <si>
    <t>威致</t>
  </si>
  <si>
    <t>欣巴巴</t>
  </si>
  <si>
    <t>佰研</t>
  </si>
  <si>
    <t>及成</t>
  </si>
  <si>
    <t>天瀚</t>
  </si>
  <si>
    <t>泰偉</t>
  </si>
  <si>
    <t>志旭</t>
  </si>
  <si>
    <t>點晶</t>
  </si>
  <si>
    <t>業旺</t>
  </si>
  <si>
    <t>信立</t>
  </si>
  <si>
    <t>三洋實業</t>
  </si>
  <si>
    <t>正能量智能</t>
  </si>
  <si>
    <t>勝昱</t>
  </si>
  <si>
    <t>金麗科</t>
  </si>
  <si>
    <t>長華*</t>
  </si>
  <si>
    <t>雲嘉南</t>
  </si>
  <si>
    <t>正峰</t>
  </si>
  <si>
    <t>東訊</t>
  </si>
  <si>
    <t>世紀*</t>
  </si>
  <si>
    <t>港建*</t>
  </si>
  <si>
    <t>創意</t>
  </si>
  <si>
    <t>馥鴻</t>
  </si>
  <si>
    <t>華城</t>
  </si>
  <si>
    <t>潤隆</t>
  </si>
  <si>
    <t>台泥</t>
  </si>
  <si>
    <t>高</t>
  </si>
  <si>
    <t>3168</t>
  </si>
  <si>
    <t>2323</t>
  </si>
  <si>
    <t>2330</t>
  </si>
  <si>
    <t>5364</t>
  </si>
  <si>
    <t>8941</t>
  </si>
  <si>
    <t>2408</t>
  </si>
  <si>
    <t>4502</t>
  </si>
  <si>
    <t>2496</t>
  </si>
  <si>
    <t>2337</t>
  </si>
  <si>
    <t>3252</t>
  </si>
  <si>
    <t>1906</t>
  </si>
  <si>
    <t>9958</t>
  </si>
  <si>
    <t>8085</t>
  </si>
  <si>
    <t>2201</t>
  </si>
  <si>
    <t>2409</t>
  </si>
  <si>
    <t>3311</t>
  </si>
  <si>
    <t>3067</t>
  </si>
  <si>
    <t>1314</t>
  </si>
  <si>
    <t>9103</t>
  </si>
  <si>
    <t>2609</t>
  </si>
  <si>
    <t>1312</t>
  </si>
  <si>
    <t>2362</t>
  </si>
  <si>
    <t>2603</t>
  </si>
  <si>
    <t>8937</t>
  </si>
  <si>
    <t>9962</t>
  </si>
  <si>
    <t>眾福科</t>
  </si>
  <si>
    <t>中環</t>
  </si>
  <si>
    <t>台積電</t>
  </si>
  <si>
    <t>力麗店</t>
  </si>
  <si>
    <t>關中</t>
  </si>
  <si>
    <t>南亞科</t>
  </si>
  <si>
    <t>健信</t>
  </si>
  <si>
    <t>卓越</t>
  </si>
  <si>
    <t>旺宏</t>
  </si>
  <si>
    <t>海灣</t>
  </si>
  <si>
    <t>寶隆</t>
  </si>
  <si>
    <t>世紀鋼</t>
  </si>
  <si>
    <t>福華</t>
  </si>
  <si>
    <t>裕隆</t>
  </si>
  <si>
    <t>友達</t>
  </si>
  <si>
    <t>閎暉</t>
  </si>
  <si>
    <t>全域</t>
  </si>
  <si>
    <t>中石化</t>
  </si>
  <si>
    <t>美德醫療-DR</t>
  </si>
  <si>
    <t>陽明</t>
  </si>
  <si>
    <t>國喬</t>
  </si>
  <si>
    <t>藍天</t>
  </si>
  <si>
    <t>長榮</t>
  </si>
  <si>
    <t>合騏</t>
  </si>
  <si>
    <t>有益</t>
  </si>
  <si>
    <t>sum</t>
  </si>
  <si>
    <t>勝率</t>
  </si>
  <si>
    <t>RF</t>
  </si>
  <si>
    <t>差距平方</t>
  </si>
  <si>
    <t>真實平方</t>
  </si>
  <si>
    <t>R-Square</t>
  </si>
  <si>
    <t>NN4</t>
  </si>
  <si>
    <t>預測值</t>
  </si>
  <si>
    <t>真實值</t>
  </si>
  <si>
    <t>TP</t>
  </si>
  <si>
    <t>預測&gt;0,真實&gt;0</t>
  </si>
  <si>
    <t>FP</t>
  </si>
  <si>
    <t>預測&gt;0,真實&lt;0</t>
  </si>
  <si>
    <t>FN</t>
  </si>
  <si>
    <t>預測&lt;0,真實&gt;0</t>
  </si>
  <si>
    <t>TN</t>
  </si>
  <si>
    <t>預測&lt;0,真實&lt;0</t>
  </si>
  <si>
    <t>Accuracy</t>
  </si>
  <si>
    <t>準確率</t>
  </si>
  <si>
    <t>Precision</t>
  </si>
  <si>
    <t>精確率</t>
  </si>
  <si>
    <t>Recall</t>
  </si>
  <si>
    <t>召回率</t>
  </si>
  <si>
    <t>F1-score</t>
  </si>
  <si>
    <t>F1分數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</si>
</sst>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新細明體"/>
      <family val="1"/>
      <charset val="136"/>
      <scheme val="minor"/>
    </font>
    <font>
      <sz val="18"/>
      <color theme="1"/>
      <name val="新細明體"/>
      <family val="2"/>
      <scheme val="minor"/>
    </font>
    <font>
      <sz val="18"/>
      <color rgb="FFFF0000"/>
      <name val="新細明體"/>
      <family val="1"/>
      <charset val="136"/>
    </font>
    <font>
      <sz val="18"/>
      <color rgb="FF0000FF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>
      <alignment vertical="center"/>
    </xf>
  </cellStyleXfs>
  <cellXfs count="22">
    <xf numFmtId="0" fontId="0" fillId="0" borderId="0" xfId="0"/>
    <xf numFmtId="0" fontId="0" fillId="0" borderId="2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4" fillId="2" borderId="1" xfId="0" applyFont="1" applyFill="1" applyBorder="1"/>
    <xf numFmtId="0" fontId="3" fillId="0" borderId="2" xfId="0" applyFont="1" applyBorder="1"/>
    <xf numFmtId="0" fontId="5" fillId="0" borderId="0" xfId="0" applyFont="1"/>
    <xf numFmtId="0" fontId="6" fillId="0" borderId="0" xfId="0" applyFont="1"/>
    <xf numFmtId="0" fontId="0" fillId="4" borderId="1" xfId="0" applyFill="1" applyBorder="1"/>
    <xf numFmtId="0" fontId="0" fillId="0" borderId="1" xfId="0" applyBorder="1" applyAlignment="1">
      <alignment horizontal="center"/>
    </xf>
    <xf numFmtId="176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0" fontId="0" fillId="0" borderId="3" xfId="0" applyBorder="1"/>
  </cellXfs>
  <cellStyles count="2">
    <cellStyle name="一般" xfId="0" builtinId="0"/>
    <cellStyle name="百分比" xfId="1" builtinId="5"/>
  </cellStyles>
  <dxfs count="9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累積報酬!$B$12</c:f>
              <c:strCache>
                <c:ptCount val="1"/>
                <c:pt idx="0">
                  <c:v>105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累積報酬!$C$12:$EL$12</c:f>
              <c:numCache>
                <c:formatCode>General</c:formatCode>
                <c:ptCount val="140"/>
                <c:pt idx="0">
                  <c:v>8.0850794339180423E-3</c:v>
                </c:pt>
                <c:pt idx="1">
                  <c:v>3.6273022719572487E-2</c:v>
                </c:pt>
                <c:pt idx="2">
                  <c:v>4.2952756670010361E-2</c:v>
                </c:pt>
                <c:pt idx="3">
                  <c:v>5.6389618511054083E-2</c:v>
                </c:pt>
                <c:pt idx="4">
                  <c:v>5.1139061023283049E-2</c:v>
                </c:pt>
                <c:pt idx="5">
                  <c:v>9.4202073168460354E-2</c:v>
                </c:pt>
                <c:pt idx="6">
                  <c:v>7.1055770507651689E-2</c:v>
                </c:pt>
                <c:pt idx="7">
                  <c:v>0.12773743009717944</c:v>
                </c:pt>
                <c:pt idx="8">
                  <c:v>0.12158566428042017</c:v>
                </c:pt>
                <c:pt idx="9">
                  <c:v>0.12073596047752269</c:v>
                </c:pt>
                <c:pt idx="10">
                  <c:v>0.11704856507592362</c:v>
                </c:pt>
                <c:pt idx="11">
                  <c:v>0.16168595975092728</c:v>
                </c:pt>
                <c:pt idx="12">
                  <c:v>0.18794879868528802</c:v>
                </c:pt>
                <c:pt idx="13">
                  <c:v>0.18969856465621682</c:v>
                </c:pt>
                <c:pt idx="14">
                  <c:v>0.16511999617537915</c:v>
                </c:pt>
                <c:pt idx="15">
                  <c:v>0.14824658440427466</c:v>
                </c:pt>
                <c:pt idx="16">
                  <c:v>8.3909077892288339E-2</c:v>
                </c:pt>
                <c:pt idx="17">
                  <c:v>3.660194991819609E-2</c:v>
                </c:pt>
                <c:pt idx="18">
                  <c:v>1.5798983427418499E-2</c:v>
                </c:pt>
                <c:pt idx="19">
                  <c:v>1.8352836487738354E-2</c:v>
                </c:pt>
                <c:pt idx="20">
                  <c:v>-1.4755378104011854E-2</c:v>
                </c:pt>
                <c:pt idx="21">
                  <c:v>0.10566771770477455</c:v>
                </c:pt>
                <c:pt idx="22">
                  <c:v>9.0070546019736811E-2</c:v>
                </c:pt>
                <c:pt idx="23">
                  <c:v>9.3482794367920327E-2</c:v>
                </c:pt>
                <c:pt idx="24">
                  <c:v>0.10912665342665037</c:v>
                </c:pt>
                <c:pt idx="25">
                  <c:v>0.10589231603294955</c:v>
                </c:pt>
                <c:pt idx="26">
                  <c:v>0.11661063353288702</c:v>
                </c:pt>
                <c:pt idx="27">
                  <c:v>0.12868745605352319</c:v>
                </c:pt>
                <c:pt idx="28">
                  <c:v>9.0683846951139513E-2</c:v>
                </c:pt>
                <c:pt idx="29">
                  <c:v>5.6014782981540771E-2</c:v>
                </c:pt>
                <c:pt idx="30">
                  <c:v>4.9096088414166829E-2</c:v>
                </c:pt>
                <c:pt idx="31">
                  <c:v>2.4691703767317618E-2</c:v>
                </c:pt>
                <c:pt idx="32">
                  <c:v>4.0850826540548793E-2</c:v>
                </c:pt>
                <c:pt idx="33">
                  <c:v>6.6675567326924853E-2</c:v>
                </c:pt>
                <c:pt idx="34">
                  <c:v>0.10779026057971378</c:v>
                </c:pt>
                <c:pt idx="35">
                  <c:v>0.14389425729227717</c:v>
                </c:pt>
                <c:pt idx="36">
                  <c:v>0.1693302527118106</c:v>
                </c:pt>
                <c:pt idx="37">
                  <c:v>0.1094780615085607</c:v>
                </c:pt>
                <c:pt idx="38">
                  <c:v>8.8568585118566592E-2</c:v>
                </c:pt>
                <c:pt idx="39">
                  <c:v>6.7029036856651403E-2</c:v>
                </c:pt>
                <c:pt idx="40">
                  <c:v>5.9768323887917259E-2</c:v>
                </c:pt>
                <c:pt idx="41">
                  <c:v>8.1045025621141228E-2</c:v>
                </c:pt>
                <c:pt idx="42">
                  <c:v>5.2006422313912046E-2</c:v>
                </c:pt>
                <c:pt idx="43">
                  <c:v>7.7088894521862975E-2</c:v>
                </c:pt>
                <c:pt idx="44">
                  <c:v>4.5445164486043715E-2</c:v>
                </c:pt>
                <c:pt idx="45">
                  <c:v>-1.3897880375992086E-2</c:v>
                </c:pt>
                <c:pt idx="46">
                  <c:v>-2.1235072158004662E-3</c:v>
                </c:pt>
                <c:pt idx="47">
                  <c:v>5.3666806674234485E-2</c:v>
                </c:pt>
                <c:pt idx="48">
                  <c:v>6.370075970191072E-2</c:v>
                </c:pt>
                <c:pt idx="49">
                  <c:v>0.120039244809825</c:v>
                </c:pt>
                <c:pt idx="50">
                  <c:v>0.1151349824517658</c:v>
                </c:pt>
                <c:pt idx="51">
                  <c:v>0.13873861235655327</c:v>
                </c:pt>
                <c:pt idx="52">
                  <c:v>0.14252193274709998</c:v>
                </c:pt>
                <c:pt idx="53">
                  <c:v>0.19320234541568643</c:v>
                </c:pt>
                <c:pt idx="54">
                  <c:v>0.1470646039489393</c:v>
                </c:pt>
                <c:pt idx="55">
                  <c:v>0.13741881695735705</c:v>
                </c:pt>
                <c:pt idx="56">
                  <c:v>0.17217605923912771</c:v>
                </c:pt>
                <c:pt idx="57">
                  <c:v>0.19558907741688206</c:v>
                </c:pt>
                <c:pt idx="58">
                  <c:v>0.13743811648210763</c:v>
                </c:pt>
                <c:pt idx="59">
                  <c:v>0.12750132798999469</c:v>
                </c:pt>
                <c:pt idx="60">
                  <c:v>0.110067022504237</c:v>
                </c:pt>
                <c:pt idx="61">
                  <c:v>0.12610109328189256</c:v>
                </c:pt>
                <c:pt idx="62">
                  <c:v>0.12388510296407833</c:v>
                </c:pt>
                <c:pt idx="63">
                  <c:v>0.13567852645907988</c:v>
                </c:pt>
                <c:pt idx="64">
                  <c:v>0.16026635168392345</c:v>
                </c:pt>
                <c:pt idx="65">
                  <c:v>0.14778385877325992</c:v>
                </c:pt>
                <c:pt idx="66">
                  <c:v>0.15343868473307951</c:v>
                </c:pt>
                <c:pt idx="67">
                  <c:v>0.14763251659340351</c:v>
                </c:pt>
                <c:pt idx="68">
                  <c:v>0.14920779068261592</c:v>
                </c:pt>
                <c:pt idx="69">
                  <c:v>0.16249430627288233</c:v>
                </c:pt>
                <c:pt idx="70">
                  <c:v>0.1270812654475906</c:v>
                </c:pt>
                <c:pt idx="71">
                  <c:v>0.10162424861494848</c:v>
                </c:pt>
                <c:pt idx="72">
                  <c:v>0.15401614663999805</c:v>
                </c:pt>
                <c:pt idx="73">
                  <c:v>0.161212739017011</c:v>
                </c:pt>
                <c:pt idx="74">
                  <c:v>0.14170346178720628</c:v>
                </c:pt>
                <c:pt idx="75">
                  <c:v>0.13465344505823965</c:v>
                </c:pt>
                <c:pt idx="76">
                  <c:v>0.13050806100950893</c:v>
                </c:pt>
                <c:pt idx="77">
                  <c:v>7.4236734067000751E-2</c:v>
                </c:pt>
                <c:pt idx="78">
                  <c:v>6.09001525797154E-2</c:v>
                </c:pt>
                <c:pt idx="79">
                  <c:v>0.10191665930328102</c:v>
                </c:pt>
                <c:pt idx="80">
                  <c:v>0.11635419807977147</c:v>
                </c:pt>
                <c:pt idx="81">
                  <c:v>0.1485359865354082</c:v>
                </c:pt>
                <c:pt idx="82">
                  <c:v>0.14566779424231388</c:v>
                </c:pt>
                <c:pt idx="83">
                  <c:v>0.21350046638283407</c:v>
                </c:pt>
                <c:pt idx="84">
                  <c:v>0.18419682890210726</c:v>
                </c:pt>
                <c:pt idx="85">
                  <c:v>0.1946773395674784</c:v>
                </c:pt>
                <c:pt idx="86">
                  <c:v>0.22111803124531826</c:v>
                </c:pt>
                <c:pt idx="87">
                  <c:v>0.37483509426650152</c:v>
                </c:pt>
                <c:pt idx="88">
                  <c:v>0.34278831637376533</c:v>
                </c:pt>
                <c:pt idx="89">
                  <c:v>0.31030367138134973</c:v>
                </c:pt>
                <c:pt idx="90">
                  <c:v>0.28860754354304219</c:v>
                </c:pt>
                <c:pt idx="91">
                  <c:v>0.28329896882644112</c:v>
                </c:pt>
                <c:pt idx="92">
                  <c:v>0.32618856714736005</c:v>
                </c:pt>
                <c:pt idx="93">
                  <c:v>0.27824257757921289</c:v>
                </c:pt>
                <c:pt idx="94">
                  <c:v>0.27298338722472243</c:v>
                </c:pt>
                <c:pt idx="95">
                  <c:v>0.30491947188773005</c:v>
                </c:pt>
                <c:pt idx="96">
                  <c:v>0.32872231486451825</c:v>
                </c:pt>
                <c:pt idx="97">
                  <c:v>0.32690430794100117</c:v>
                </c:pt>
                <c:pt idx="98">
                  <c:v>0.3001312766170493</c:v>
                </c:pt>
                <c:pt idx="99">
                  <c:v>0.3330127683197564</c:v>
                </c:pt>
                <c:pt idx="100">
                  <c:v>0.32516107215341977</c:v>
                </c:pt>
                <c:pt idx="101">
                  <c:v>0.4126826545838137</c:v>
                </c:pt>
                <c:pt idx="102">
                  <c:v>0.4430552423068817</c:v>
                </c:pt>
                <c:pt idx="103">
                  <c:v>0.3661500404389969</c:v>
                </c:pt>
                <c:pt idx="104">
                  <c:v>0.39665272781046518</c:v>
                </c:pt>
                <c:pt idx="105">
                  <c:v>0.3807815827159422</c:v>
                </c:pt>
                <c:pt idx="106">
                  <c:v>0.34703522720592289</c:v>
                </c:pt>
                <c:pt idx="107">
                  <c:v>0.39593950337820921</c:v>
                </c:pt>
                <c:pt idx="108">
                  <c:v>0.35225252753698677</c:v>
                </c:pt>
                <c:pt idx="109">
                  <c:v>0.35149729402752061</c:v>
                </c:pt>
                <c:pt idx="110">
                  <c:v>0.40522261929464004</c:v>
                </c:pt>
                <c:pt idx="111">
                  <c:v>0.43050005526830243</c:v>
                </c:pt>
                <c:pt idx="112">
                  <c:v>0.40681155746321879</c:v>
                </c:pt>
                <c:pt idx="113">
                  <c:v>0.41158378910260451</c:v>
                </c:pt>
                <c:pt idx="114">
                  <c:v>0.39328717711227701</c:v>
                </c:pt>
                <c:pt idx="115">
                  <c:v>0.42354632826975519</c:v>
                </c:pt>
                <c:pt idx="116">
                  <c:v>0.39328133711886698</c:v>
                </c:pt>
                <c:pt idx="117">
                  <c:v>0.45163334089856105</c:v>
                </c:pt>
                <c:pt idx="118">
                  <c:v>0.41799522278596785</c:v>
                </c:pt>
                <c:pt idx="119">
                  <c:v>0.40767749686157717</c:v>
                </c:pt>
                <c:pt idx="120">
                  <c:v>0.450198439322467</c:v>
                </c:pt>
                <c:pt idx="121">
                  <c:v>0.4017898186102779</c:v>
                </c:pt>
                <c:pt idx="122">
                  <c:v>0.40939159992675417</c:v>
                </c:pt>
                <c:pt idx="123">
                  <c:v>0.42986370982082239</c:v>
                </c:pt>
                <c:pt idx="124">
                  <c:v>0.39760905064495222</c:v>
                </c:pt>
                <c:pt idx="125">
                  <c:v>0.43523509528763177</c:v>
                </c:pt>
                <c:pt idx="126">
                  <c:v>0.48387373436503101</c:v>
                </c:pt>
                <c:pt idx="127">
                  <c:v>0.47027420209103071</c:v>
                </c:pt>
                <c:pt idx="128">
                  <c:v>0.54402458709333112</c:v>
                </c:pt>
                <c:pt idx="129">
                  <c:v>0.54205029342139721</c:v>
                </c:pt>
                <c:pt idx="130">
                  <c:v>0.52810180036187104</c:v>
                </c:pt>
                <c:pt idx="131">
                  <c:v>0.46667454594053354</c:v>
                </c:pt>
                <c:pt idx="132">
                  <c:v>0.43850781869873556</c:v>
                </c:pt>
                <c:pt idx="133">
                  <c:v>0.47042889971032686</c:v>
                </c:pt>
                <c:pt idx="134">
                  <c:v>0.44122166361413112</c:v>
                </c:pt>
                <c:pt idx="135">
                  <c:v>0.42148140223492786</c:v>
                </c:pt>
                <c:pt idx="136">
                  <c:v>0.4304426589083028</c:v>
                </c:pt>
                <c:pt idx="137">
                  <c:v>0.4665830501016025</c:v>
                </c:pt>
                <c:pt idx="138">
                  <c:v>0.47655617175347531</c:v>
                </c:pt>
                <c:pt idx="139">
                  <c:v>0.46755338385378747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F1-4046-8C7F-A00E8692CEA5}"/>
            </c:ext>
          </c:extLst>
        </c:ser>
        <c:ser>
          <c:idx val="1"/>
          <c:order val="1"/>
          <c:tx>
            <c:strRef>
              <c:f>累積報酬!$B$13</c:f>
              <c:strCache>
                <c:ptCount val="1"/>
                <c:pt idx="0">
                  <c:v>53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累積報酬!$C$13:$EL$13</c:f>
              <c:numCache>
                <c:formatCode>General</c:formatCode>
                <c:ptCount val="140"/>
                <c:pt idx="0">
                  <c:v>-2.950459453302642E-2</c:v>
                </c:pt>
                <c:pt idx="1">
                  <c:v>1.6304883391612412E-2</c:v>
                </c:pt>
                <c:pt idx="2">
                  <c:v>4.8368943373980913E-2</c:v>
                </c:pt>
                <c:pt idx="3">
                  <c:v>9.2060865055048458E-2</c:v>
                </c:pt>
                <c:pt idx="4">
                  <c:v>0.10577490032332022</c:v>
                </c:pt>
                <c:pt idx="5">
                  <c:v>0.13502616411498097</c:v>
                </c:pt>
                <c:pt idx="6">
                  <c:v>0.14612032225882851</c:v>
                </c:pt>
                <c:pt idx="7">
                  <c:v>0.20611003817299395</c:v>
                </c:pt>
                <c:pt idx="8">
                  <c:v>0.17412875660104665</c:v>
                </c:pt>
                <c:pt idx="9">
                  <c:v>0.17109502498093609</c:v>
                </c:pt>
                <c:pt idx="10">
                  <c:v>0.19101023138129422</c:v>
                </c:pt>
                <c:pt idx="11">
                  <c:v>0.22719220023603381</c:v>
                </c:pt>
                <c:pt idx="12">
                  <c:v>0.24402745083450894</c:v>
                </c:pt>
                <c:pt idx="13">
                  <c:v>0.228071730028338</c:v>
                </c:pt>
                <c:pt idx="14">
                  <c:v>0.17297373945350364</c:v>
                </c:pt>
                <c:pt idx="15">
                  <c:v>0.14550364656534817</c:v>
                </c:pt>
                <c:pt idx="16">
                  <c:v>7.2655745294970986E-2</c:v>
                </c:pt>
                <c:pt idx="17">
                  <c:v>2.250639722264941E-3</c:v>
                </c:pt>
                <c:pt idx="18">
                  <c:v>-1.2367355906478469E-2</c:v>
                </c:pt>
                <c:pt idx="19">
                  <c:v>-8.9350709407571109E-3</c:v>
                </c:pt>
                <c:pt idx="20">
                  <c:v>-2.6525671959940891E-2</c:v>
                </c:pt>
                <c:pt idx="21">
                  <c:v>0.1127528265678704</c:v>
                </c:pt>
                <c:pt idx="22">
                  <c:v>0.10351543530054597</c:v>
                </c:pt>
                <c:pt idx="23">
                  <c:v>0.11858908490688115</c:v>
                </c:pt>
                <c:pt idx="24">
                  <c:v>0.13931832160346982</c:v>
                </c:pt>
                <c:pt idx="25">
                  <c:v>0.12246628351037224</c:v>
                </c:pt>
                <c:pt idx="26">
                  <c:v>0.12981930470375308</c:v>
                </c:pt>
                <c:pt idx="27">
                  <c:v>0.13628564186907291</c:v>
                </c:pt>
                <c:pt idx="28">
                  <c:v>9.3825680294662844E-2</c:v>
                </c:pt>
                <c:pt idx="29">
                  <c:v>6.1008144660535377E-2</c:v>
                </c:pt>
                <c:pt idx="30">
                  <c:v>5.5966849319693229E-2</c:v>
                </c:pt>
                <c:pt idx="31">
                  <c:v>2.9699409728054339E-2</c:v>
                </c:pt>
                <c:pt idx="32">
                  <c:v>4.2212369721750798E-2</c:v>
                </c:pt>
                <c:pt idx="33">
                  <c:v>4.4584355984603009E-2</c:v>
                </c:pt>
                <c:pt idx="34">
                  <c:v>0.10827748053508432</c:v>
                </c:pt>
                <c:pt idx="35">
                  <c:v>0.14295384178132969</c:v>
                </c:pt>
                <c:pt idx="36">
                  <c:v>0.171626057421147</c:v>
                </c:pt>
                <c:pt idx="37">
                  <c:v>7.4686215496347672E-2</c:v>
                </c:pt>
                <c:pt idx="38">
                  <c:v>5.8517569123450047E-2</c:v>
                </c:pt>
                <c:pt idx="39">
                  <c:v>1.311910003290935E-2</c:v>
                </c:pt>
                <c:pt idx="40">
                  <c:v>1.0129255221333591E-2</c:v>
                </c:pt>
                <c:pt idx="41">
                  <c:v>4.1681176151036836E-2</c:v>
                </c:pt>
                <c:pt idx="42">
                  <c:v>6.8036081463271475E-3</c:v>
                </c:pt>
                <c:pt idx="43">
                  <c:v>-1.9610347098744461E-3</c:v>
                </c:pt>
                <c:pt idx="44">
                  <c:v>-5.0138392623687952E-2</c:v>
                </c:pt>
                <c:pt idx="45">
                  <c:v>-0.14684915644559499</c:v>
                </c:pt>
                <c:pt idx="46">
                  <c:v>-0.11167237247710005</c:v>
                </c:pt>
                <c:pt idx="47">
                  <c:v>-5.9571599322014016E-2</c:v>
                </c:pt>
                <c:pt idx="48">
                  <c:v>-5.6664472689806691E-2</c:v>
                </c:pt>
                <c:pt idx="49">
                  <c:v>9.0053906350317653E-3</c:v>
                </c:pt>
                <c:pt idx="50">
                  <c:v>-1.8710567349483256E-3</c:v>
                </c:pt>
                <c:pt idx="51">
                  <c:v>4.6891386892071736E-2</c:v>
                </c:pt>
                <c:pt idx="52">
                  <c:v>5.30617881845152E-2</c:v>
                </c:pt>
                <c:pt idx="53">
                  <c:v>9.0335673685652401E-2</c:v>
                </c:pt>
                <c:pt idx="54">
                  <c:v>3.9814211053807169E-2</c:v>
                </c:pt>
                <c:pt idx="55">
                  <c:v>2.7458080082493577E-2</c:v>
                </c:pt>
                <c:pt idx="56">
                  <c:v>6.8251828857752869E-2</c:v>
                </c:pt>
                <c:pt idx="57">
                  <c:v>9.3551743628081163E-2</c:v>
                </c:pt>
                <c:pt idx="58">
                  <c:v>3.727454913330306E-2</c:v>
                </c:pt>
                <c:pt idx="59">
                  <c:v>5.613835697904862E-2</c:v>
                </c:pt>
                <c:pt idx="60">
                  <c:v>2.3250737672208477E-2</c:v>
                </c:pt>
                <c:pt idx="61">
                  <c:v>5.3400364631082518E-2</c:v>
                </c:pt>
                <c:pt idx="62">
                  <c:v>6.5015896163462011E-2</c:v>
                </c:pt>
                <c:pt idx="63">
                  <c:v>6.9403443310735932E-2</c:v>
                </c:pt>
                <c:pt idx="64">
                  <c:v>0.11049377808457955</c:v>
                </c:pt>
                <c:pt idx="65">
                  <c:v>0.10517356326451949</c:v>
                </c:pt>
                <c:pt idx="66">
                  <c:v>0.12584525671274269</c:v>
                </c:pt>
                <c:pt idx="67">
                  <c:v>0.11990770433696975</c:v>
                </c:pt>
                <c:pt idx="68">
                  <c:v>0.11296791918194768</c:v>
                </c:pt>
                <c:pt idx="69">
                  <c:v>0.13027812298103236</c:v>
                </c:pt>
                <c:pt idx="70">
                  <c:v>6.9644744391779326E-2</c:v>
                </c:pt>
                <c:pt idx="71">
                  <c:v>5.2519419808216464E-2</c:v>
                </c:pt>
                <c:pt idx="72">
                  <c:v>0.15740946147518758</c:v>
                </c:pt>
                <c:pt idx="73">
                  <c:v>0.17316479504125948</c:v>
                </c:pt>
                <c:pt idx="74">
                  <c:v>0.16410111028675972</c:v>
                </c:pt>
                <c:pt idx="75">
                  <c:v>0.16165515357652177</c:v>
                </c:pt>
                <c:pt idx="76">
                  <c:v>0.17787642422303915</c:v>
                </c:pt>
                <c:pt idx="77">
                  <c:v>6.6972189409483948E-2</c:v>
                </c:pt>
                <c:pt idx="78">
                  <c:v>6.9581879775592617E-2</c:v>
                </c:pt>
                <c:pt idx="79">
                  <c:v>0.11842178026434361</c:v>
                </c:pt>
                <c:pt idx="80">
                  <c:v>0.1341569941557155</c:v>
                </c:pt>
                <c:pt idx="81">
                  <c:v>0.18164047913111903</c:v>
                </c:pt>
                <c:pt idx="82">
                  <c:v>0.17734463409290308</c:v>
                </c:pt>
                <c:pt idx="83">
                  <c:v>0.22689937716383374</c:v>
                </c:pt>
                <c:pt idx="84">
                  <c:v>0.20727058632653872</c:v>
                </c:pt>
                <c:pt idx="85">
                  <c:v>0.20517999379539767</c:v>
                </c:pt>
                <c:pt idx="86">
                  <c:v>0.22181571147437729</c:v>
                </c:pt>
                <c:pt idx="87">
                  <c:v>0.38261180643223192</c:v>
                </c:pt>
                <c:pt idx="88">
                  <c:v>0.34762241232251639</c:v>
                </c:pt>
                <c:pt idx="89">
                  <c:v>0.31014356580248492</c:v>
                </c:pt>
                <c:pt idx="90">
                  <c:v>0.26626971596992716</c:v>
                </c:pt>
                <c:pt idx="91">
                  <c:v>0.26036100574733984</c:v>
                </c:pt>
                <c:pt idx="92">
                  <c:v>0.30325491244559966</c:v>
                </c:pt>
                <c:pt idx="93">
                  <c:v>0.23173569303292813</c:v>
                </c:pt>
                <c:pt idx="94">
                  <c:v>0.22191907175091569</c:v>
                </c:pt>
                <c:pt idx="95">
                  <c:v>0.25089075425689367</c:v>
                </c:pt>
                <c:pt idx="96">
                  <c:v>0.28610625220305819</c:v>
                </c:pt>
                <c:pt idx="97">
                  <c:v>0.28631672034700428</c:v>
                </c:pt>
                <c:pt idx="98">
                  <c:v>0.26359666091676071</c:v>
                </c:pt>
                <c:pt idx="99">
                  <c:v>0.25865686935722382</c:v>
                </c:pt>
                <c:pt idx="100">
                  <c:v>0.23967197106597288</c:v>
                </c:pt>
                <c:pt idx="101">
                  <c:v>0.3526494180031009</c:v>
                </c:pt>
                <c:pt idx="102">
                  <c:v>0.36747920102989745</c:v>
                </c:pt>
                <c:pt idx="103">
                  <c:v>0.28939664662856129</c:v>
                </c:pt>
                <c:pt idx="104">
                  <c:v>0.31456203936074972</c:v>
                </c:pt>
                <c:pt idx="105">
                  <c:v>0.29811973123796953</c:v>
                </c:pt>
                <c:pt idx="106">
                  <c:v>0.26908385317164607</c:v>
                </c:pt>
                <c:pt idx="107">
                  <c:v>0.33301801887399163</c:v>
                </c:pt>
                <c:pt idx="108">
                  <c:v>0.29548875823622722</c:v>
                </c:pt>
                <c:pt idx="109">
                  <c:v>0.29594339403634584</c:v>
                </c:pt>
                <c:pt idx="110">
                  <c:v>0.36695306168610742</c:v>
                </c:pt>
                <c:pt idx="111">
                  <c:v>0.38831743852442868</c:v>
                </c:pt>
                <c:pt idx="112">
                  <c:v>0.38197532303232079</c:v>
                </c:pt>
                <c:pt idx="113">
                  <c:v>0.35708262414796471</c:v>
                </c:pt>
                <c:pt idx="114">
                  <c:v>0.36725513833282825</c:v>
                </c:pt>
                <c:pt idx="115">
                  <c:v>0.36683980156746171</c:v>
                </c:pt>
                <c:pt idx="116">
                  <c:v>0.33080111128826561</c:v>
                </c:pt>
                <c:pt idx="117">
                  <c:v>0.39345183264911537</c:v>
                </c:pt>
                <c:pt idx="118">
                  <c:v>0.3554190778456085</c:v>
                </c:pt>
                <c:pt idx="119">
                  <c:v>0.33881220061816947</c:v>
                </c:pt>
                <c:pt idx="120">
                  <c:v>0.39307962990112333</c:v>
                </c:pt>
                <c:pt idx="121">
                  <c:v>0.343053716176699</c:v>
                </c:pt>
                <c:pt idx="122">
                  <c:v>0.35949783317245232</c:v>
                </c:pt>
                <c:pt idx="123">
                  <c:v>0.39507397171695424</c:v>
                </c:pt>
                <c:pt idx="124">
                  <c:v>0.36388374597332312</c:v>
                </c:pt>
                <c:pt idx="125">
                  <c:v>0.41975925366256295</c:v>
                </c:pt>
                <c:pt idx="126">
                  <c:v>0.48325512186444342</c:v>
                </c:pt>
                <c:pt idx="127">
                  <c:v>0.46572645508124239</c:v>
                </c:pt>
                <c:pt idx="128">
                  <c:v>0.5318585896834428</c:v>
                </c:pt>
                <c:pt idx="129">
                  <c:v>0.52121484437218124</c:v>
                </c:pt>
                <c:pt idx="130">
                  <c:v>0.50459843783018998</c:v>
                </c:pt>
                <c:pt idx="131">
                  <c:v>0.43865998484368629</c:v>
                </c:pt>
                <c:pt idx="132">
                  <c:v>0.40150247312587334</c:v>
                </c:pt>
                <c:pt idx="133">
                  <c:v>0.45708982816915877</c:v>
                </c:pt>
                <c:pt idx="134">
                  <c:v>0.40382819004773018</c:v>
                </c:pt>
                <c:pt idx="135">
                  <c:v>0.39262295983439072</c:v>
                </c:pt>
                <c:pt idx="136">
                  <c:v>0.4062452203219778</c:v>
                </c:pt>
                <c:pt idx="137">
                  <c:v>0.43821655658024716</c:v>
                </c:pt>
                <c:pt idx="138">
                  <c:v>0.44231153945882096</c:v>
                </c:pt>
                <c:pt idx="139">
                  <c:v>0.41272968458126907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F1-4046-8C7F-A00E8692CEA5}"/>
            </c:ext>
          </c:extLst>
        </c:ser>
        <c:ser>
          <c:idx val="2"/>
          <c:order val="2"/>
          <c:tx>
            <c:strRef>
              <c:f>累積報酬!$B$14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累積報酬!$C$14:$EL$14</c:f>
              <c:numCache>
                <c:formatCode>General</c:formatCode>
                <c:ptCount val="140"/>
                <c:pt idx="0">
                  <c:v>-5.6853263530549307E-2</c:v>
                </c:pt>
                <c:pt idx="1">
                  <c:v>-1.521868015757695E-2</c:v>
                </c:pt>
                <c:pt idx="2">
                  <c:v>1.8175069132982322E-2</c:v>
                </c:pt>
                <c:pt idx="3">
                  <c:v>9.4699238374250996E-2</c:v>
                </c:pt>
                <c:pt idx="4">
                  <c:v>0.13385653895976951</c:v>
                </c:pt>
                <c:pt idx="5">
                  <c:v>0.21006754202460604</c:v>
                </c:pt>
                <c:pt idx="6">
                  <c:v>0.23977936635848091</c:v>
                </c:pt>
                <c:pt idx="7">
                  <c:v>0.3038705144046811</c:v>
                </c:pt>
                <c:pt idx="8">
                  <c:v>0.19909127927307252</c:v>
                </c:pt>
                <c:pt idx="9">
                  <c:v>0.14057771520310147</c:v>
                </c:pt>
                <c:pt idx="10">
                  <c:v>0.13226837970585648</c:v>
                </c:pt>
                <c:pt idx="11">
                  <c:v>0.21006351495992778</c:v>
                </c:pt>
                <c:pt idx="12">
                  <c:v>0.20307968398799345</c:v>
                </c:pt>
                <c:pt idx="13">
                  <c:v>0.1483997057189147</c:v>
                </c:pt>
                <c:pt idx="14">
                  <c:v>6.0790479745542608E-2</c:v>
                </c:pt>
                <c:pt idx="15">
                  <c:v>3.0461729903108262E-3</c:v>
                </c:pt>
                <c:pt idx="16">
                  <c:v>-7.9564861619782073E-2</c:v>
                </c:pt>
                <c:pt idx="17">
                  <c:v>-0.12320549833262473</c:v>
                </c:pt>
                <c:pt idx="18">
                  <c:v>-0.10453324699870392</c:v>
                </c:pt>
                <c:pt idx="19">
                  <c:v>-0.13876474679756154</c:v>
                </c:pt>
                <c:pt idx="20">
                  <c:v>-0.16563853631482256</c:v>
                </c:pt>
                <c:pt idx="21">
                  <c:v>-1.3488957475111252E-2</c:v>
                </c:pt>
                <c:pt idx="22">
                  <c:v>2.714917237760394E-2</c:v>
                </c:pt>
                <c:pt idx="23">
                  <c:v>6.7708085693001824E-2</c:v>
                </c:pt>
                <c:pt idx="24">
                  <c:v>5.3061132037474618E-2</c:v>
                </c:pt>
                <c:pt idx="25">
                  <c:v>-1.0250559631710371E-2</c:v>
                </c:pt>
                <c:pt idx="26">
                  <c:v>-2.6198872148521922E-2</c:v>
                </c:pt>
                <c:pt idx="27">
                  <c:v>-1.2454902957473412E-2</c:v>
                </c:pt>
                <c:pt idx="28">
                  <c:v>-0.10175259228538973</c:v>
                </c:pt>
                <c:pt idx="29">
                  <c:v>-0.17412849062264679</c:v>
                </c:pt>
                <c:pt idx="30">
                  <c:v>-0.18000775559017063</c:v>
                </c:pt>
                <c:pt idx="31">
                  <c:v>-0.23654430453603334</c:v>
                </c:pt>
                <c:pt idx="32">
                  <c:v>-0.16774740475610242</c:v>
                </c:pt>
                <c:pt idx="33">
                  <c:v>-0.13344144298765429</c:v>
                </c:pt>
                <c:pt idx="34">
                  <c:v>-7.4990320348935352E-2</c:v>
                </c:pt>
                <c:pt idx="35">
                  <c:v>-3.2974971971429803E-2</c:v>
                </c:pt>
                <c:pt idx="36">
                  <c:v>1.7780770749429367E-2</c:v>
                </c:pt>
                <c:pt idx="37">
                  <c:v>-8.6634802478412931E-2</c:v>
                </c:pt>
                <c:pt idx="38">
                  <c:v>-7.0178813654968072E-2</c:v>
                </c:pt>
                <c:pt idx="39">
                  <c:v>-0.12468054508974225</c:v>
                </c:pt>
                <c:pt idx="40">
                  <c:v>-0.1444906287909809</c:v>
                </c:pt>
                <c:pt idx="41">
                  <c:v>-7.8330408932878126E-2</c:v>
                </c:pt>
                <c:pt idx="42">
                  <c:v>-6.4852407377901572E-2</c:v>
                </c:pt>
                <c:pt idx="43">
                  <c:v>-5.0631498949130882E-2</c:v>
                </c:pt>
                <c:pt idx="44">
                  <c:v>-0.10901014568458711</c:v>
                </c:pt>
                <c:pt idx="45">
                  <c:v>-0.21972282000723953</c:v>
                </c:pt>
                <c:pt idx="46">
                  <c:v>-0.18191885285616005</c:v>
                </c:pt>
                <c:pt idx="47">
                  <c:v>-0.14114886932186163</c:v>
                </c:pt>
                <c:pt idx="48">
                  <c:v>-0.14212163681452986</c:v>
                </c:pt>
                <c:pt idx="49">
                  <c:v>-0.13678055931015126</c:v>
                </c:pt>
                <c:pt idx="50">
                  <c:v>-0.17354217541758371</c:v>
                </c:pt>
                <c:pt idx="51">
                  <c:v>-0.11459908563035011</c:v>
                </c:pt>
                <c:pt idx="52">
                  <c:v>-9.4075881574244735E-2</c:v>
                </c:pt>
                <c:pt idx="53">
                  <c:v>-6.6724956074829977E-2</c:v>
                </c:pt>
                <c:pt idx="54">
                  <c:v>-0.10012690000507565</c:v>
                </c:pt>
                <c:pt idx="55">
                  <c:v>-9.4500333425896504E-2</c:v>
                </c:pt>
                <c:pt idx="56">
                  <c:v>-1.2170765357711805E-2</c:v>
                </c:pt>
                <c:pt idx="57">
                  <c:v>6.6974005869299885E-2</c:v>
                </c:pt>
                <c:pt idx="58">
                  <c:v>3.6886588577300455E-2</c:v>
                </c:pt>
                <c:pt idx="59">
                  <c:v>6.6966169851814375E-2</c:v>
                </c:pt>
                <c:pt idx="60">
                  <c:v>8.8010496895456522E-2</c:v>
                </c:pt>
                <c:pt idx="61">
                  <c:v>0.13749041446051569</c:v>
                </c:pt>
                <c:pt idx="62">
                  <c:v>0.17208050909994552</c:v>
                </c:pt>
                <c:pt idx="63">
                  <c:v>0.19866464447936069</c:v>
                </c:pt>
                <c:pt idx="64">
                  <c:v>0.2228804604300571</c:v>
                </c:pt>
                <c:pt idx="65">
                  <c:v>0.23618404199359816</c:v>
                </c:pt>
                <c:pt idx="66">
                  <c:v>0.24364952098482959</c:v>
                </c:pt>
                <c:pt idx="67">
                  <c:v>0.20048297622863337</c:v>
                </c:pt>
                <c:pt idx="68">
                  <c:v>0.15762879382292708</c:v>
                </c:pt>
                <c:pt idx="69">
                  <c:v>0.19246256636570794</c:v>
                </c:pt>
                <c:pt idx="70">
                  <c:v>8.5067528452239735E-2</c:v>
                </c:pt>
                <c:pt idx="71">
                  <c:v>7.1404787289849267E-2</c:v>
                </c:pt>
                <c:pt idx="72">
                  <c:v>0.21658430063930628</c:v>
                </c:pt>
                <c:pt idx="73">
                  <c:v>0.27394434717378602</c:v>
                </c:pt>
                <c:pt idx="74">
                  <c:v>0.22445033659643546</c:v>
                </c:pt>
                <c:pt idx="75">
                  <c:v>0.17467816298866312</c:v>
                </c:pt>
                <c:pt idx="76">
                  <c:v>0.25340176035255468</c:v>
                </c:pt>
                <c:pt idx="77">
                  <c:v>0.14160751403244937</c:v>
                </c:pt>
                <c:pt idx="78">
                  <c:v>0.16157730598334608</c:v>
                </c:pt>
                <c:pt idx="79">
                  <c:v>0.2177141311452313</c:v>
                </c:pt>
                <c:pt idx="80">
                  <c:v>0.18863023834239992</c:v>
                </c:pt>
                <c:pt idx="81">
                  <c:v>0.26599188387966499</c:v>
                </c:pt>
                <c:pt idx="82">
                  <c:v>0.3531161606205801</c:v>
                </c:pt>
                <c:pt idx="83">
                  <c:v>0.41172946749215478</c:v>
                </c:pt>
                <c:pt idx="84">
                  <c:v>0.44296755111131797</c:v>
                </c:pt>
                <c:pt idx="85">
                  <c:v>0.43634674957315533</c:v>
                </c:pt>
                <c:pt idx="86">
                  <c:v>0.46775618251133794</c:v>
                </c:pt>
                <c:pt idx="87">
                  <c:v>0.67419988552249321</c:v>
                </c:pt>
                <c:pt idx="88">
                  <c:v>0.63767930096189329</c:v>
                </c:pt>
                <c:pt idx="89">
                  <c:v>0.59188619885344995</c:v>
                </c:pt>
                <c:pt idx="90">
                  <c:v>0.52059547138800266</c:v>
                </c:pt>
                <c:pt idx="91">
                  <c:v>0.44563074620940579</c:v>
                </c:pt>
                <c:pt idx="92">
                  <c:v>0.4763549003874068</c:v>
                </c:pt>
                <c:pt idx="93">
                  <c:v>0.42673429058707457</c:v>
                </c:pt>
                <c:pt idx="94">
                  <c:v>0.41456520389554152</c:v>
                </c:pt>
                <c:pt idx="95">
                  <c:v>0.48876913595130755</c:v>
                </c:pt>
                <c:pt idx="96">
                  <c:v>0.5748565015776782</c:v>
                </c:pt>
                <c:pt idx="97">
                  <c:v>0.59252944683013842</c:v>
                </c:pt>
                <c:pt idx="98">
                  <c:v>0.58306353214709628</c:v>
                </c:pt>
                <c:pt idx="99">
                  <c:v>0.5533212666026025</c:v>
                </c:pt>
                <c:pt idx="100">
                  <c:v>0.51903718616753602</c:v>
                </c:pt>
                <c:pt idx="101">
                  <c:v>0.6206900875821888</c:v>
                </c:pt>
                <c:pt idx="102">
                  <c:v>0.66808994181441039</c:v>
                </c:pt>
                <c:pt idx="103">
                  <c:v>0.58445106241759148</c:v>
                </c:pt>
                <c:pt idx="104">
                  <c:v>0.59687202881170598</c:v>
                </c:pt>
                <c:pt idx="105">
                  <c:v>0.63269253175363138</c:v>
                </c:pt>
                <c:pt idx="106">
                  <c:v>0.62053573115388283</c:v>
                </c:pt>
                <c:pt idx="107">
                  <c:v>0.78378846533734947</c:v>
                </c:pt>
                <c:pt idx="108">
                  <c:v>0.74004719122286344</c:v>
                </c:pt>
                <c:pt idx="109">
                  <c:v>0.73848277226869707</c:v>
                </c:pt>
                <c:pt idx="110">
                  <c:v>0.86740287149855</c:v>
                </c:pt>
                <c:pt idx="111">
                  <c:v>0.89795372297926301</c:v>
                </c:pt>
                <c:pt idx="112">
                  <c:v>0.89067854124132495</c:v>
                </c:pt>
                <c:pt idx="113">
                  <c:v>0.87926039356546992</c:v>
                </c:pt>
                <c:pt idx="114">
                  <c:v>0.89514004552438831</c:v>
                </c:pt>
                <c:pt idx="115">
                  <c:v>0.93735930063658612</c:v>
                </c:pt>
                <c:pt idx="116">
                  <c:v>0.85832674516334206</c:v>
                </c:pt>
                <c:pt idx="117">
                  <c:v>0.9189758593251639</c:v>
                </c:pt>
                <c:pt idx="118">
                  <c:v>0.82287472146122209</c:v>
                </c:pt>
                <c:pt idx="119">
                  <c:v>0.80073316434093744</c:v>
                </c:pt>
                <c:pt idx="120">
                  <c:v>0.85526441323293811</c:v>
                </c:pt>
                <c:pt idx="121">
                  <c:v>0.78545260136369888</c:v>
                </c:pt>
                <c:pt idx="122">
                  <c:v>0.73442539088556891</c:v>
                </c:pt>
                <c:pt idx="123">
                  <c:v>0.73911009802026495</c:v>
                </c:pt>
                <c:pt idx="124">
                  <c:v>0.67810424782324896</c:v>
                </c:pt>
                <c:pt idx="125">
                  <c:v>0.77424211698702372</c:v>
                </c:pt>
                <c:pt idx="126">
                  <c:v>0.83481285487928292</c:v>
                </c:pt>
                <c:pt idx="127">
                  <c:v>0.82157639996631437</c:v>
                </c:pt>
                <c:pt idx="128">
                  <c:v>0.87666027622173082</c:v>
                </c:pt>
                <c:pt idx="129">
                  <c:v>0.84281193610672922</c:v>
                </c:pt>
                <c:pt idx="130">
                  <c:v>0.84659764666665271</c:v>
                </c:pt>
                <c:pt idx="131">
                  <c:v>0.74766032067284371</c:v>
                </c:pt>
                <c:pt idx="132">
                  <c:v>0.73512532800310126</c:v>
                </c:pt>
                <c:pt idx="133">
                  <c:v>0.78579164855094163</c:v>
                </c:pt>
                <c:pt idx="134">
                  <c:v>0.65982683688145627</c:v>
                </c:pt>
                <c:pt idx="135">
                  <c:v>0.64814878363055739</c:v>
                </c:pt>
                <c:pt idx="136">
                  <c:v>0.65384415102401316</c:v>
                </c:pt>
                <c:pt idx="137">
                  <c:v>0.68037647750007013</c:v>
                </c:pt>
                <c:pt idx="138">
                  <c:v>0.67878039766186626</c:v>
                </c:pt>
                <c:pt idx="139">
                  <c:v>0.58458177841996917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F1-4046-8C7F-A00E8692CEA5}"/>
            </c:ext>
          </c:extLst>
        </c:ser>
        <c:ser>
          <c:idx val="3"/>
          <c:order val="3"/>
          <c:tx>
            <c:strRef>
              <c:f>累積報酬!$B$15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累積報酬!$C$15:$EL$15</c:f>
              <c:numCache>
                <c:formatCode>General</c:formatCode>
                <c:ptCount val="140"/>
                <c:pt idx="0">
                  <c:v>-9.5037535583778296E-2</c:v>
                </c:pt>
                <c:pt idx="1">
                  <c:v>-6.3006456012617479E-2</c:v>
                </c:pt>
                <c:pt idx="2">
                  <c:v>-0.11963291688764609</c:v>
                </c:pt>
                <c:pt idx="3">
                  <c:v>5.6563924512739019E-2</c:v>
                </c:pt>
                <c:pt idx="4">
                  <c:v>0.12029535378356009</c:v>
                </c:pt>
                <c:pt idx="5">
                  <c:v>0.20211100370723434</c:v>
                </c:pt>
                <c:pt idx="6">
                  <c:v>0.30998427707912601</c:v>
                </c:pt>
                <c:pt idx="7">
                  <c:v>0.44534293952226933</c:v>
                </c:pt>
                <c:pt idx="8">
                  <c:v>0.19559241794380045</c:v>
                </c:pt>
                <c:pt idx="9">
                  <c:v>9.2084295885045547E-2</c:v>
                </c:pt>
                <c:pt idx="10">
                  <c:v>-5.5017967429190739E-2</c:v>
                </c:pt>
                <c:pt idx="11">
                  <c:v>4.6657691027723366E-2</c:v>
                </c:pt>
                <c:pt idx="12">
                  <c:v>2.7761148027542877E-2</c:v>
                </c:pt>
                <c:pt idx="13">
                  <c:v>-3.9596812527653964E-2</c:v>
                </c:pt>
                <c:pt idx="14">
                  <c:v>-8.1969429145491768E-2</c:v>
                </c:pt>
                <c:pt idx="15">
                  <c:v>-8.3385825794958748E-2</c:v>
                </c:pt>
                <c:pt idx="16">
                  <c:v>-0.18690153913050184</c:v>
                </c:pt>
                <c:pt idx="17">
                  <c:v>-0.24510002589879032</c:v>
                </c:pt>
                <c:pt idx="18">
                  <c:v>-0.16098364237244847</c:v>
                </c:pt>
                <c:pt idx="19">
                  <c:v>-0.22158363806214715</c:v>
                </c:pt>
                <c:pt idx="20">
                  <c:v>-0.23702461575933859</c:v>
                </c:pt>
                <c:pt idx="21">
                  <c:v>-3.2183659891936695E-2</c:v>
                </c:pt>
                <c:pt idx="22">
                  <c:v>-2.5768588555146618E-2</c:v>
                </c:pt>
                <c:pt idx="23">
                  <c:v>5.4202429783036743E-2</c:v>
                </c:pt>
                <c:pt idx="24">
                  <c:v>3.0405580179831554E-2</c:v>
                </c:pt>
                <c:pt idx="25">
                  <c:v>-7.9257522550009646E-2</c:v>
                </c:pt>
                <c:pt idx="26">
                  <c:v>-0.1073120341580342</c:v>
                </c:pt>
                <c:pt idx="27">
                  <c:v>-0.15431939273505271</c:v>
                </c:pt>
                <c:pt idx="28">
                  <c:v>-0.24186522210106309</c:v>
                </c:pt>
                <c:pt idx="29">
                  <c:v>-0.28261377696087864</c:v>
                </c:pt>
                <c:pt idx="30">
                  <c:v>-0.27975214116575237</c:v>
                </c:pt>
                <c:pt idx="31">
                  <c:v>-0.27312351759881737</c:v>
                </c:pt>
                <c:pt idx="32">
                  <c:v>-0.21609797726405014</c:v>
                </c:pt>
                <c:pt idx="33">
                  <c:v>-0.22819529969997834</c:v>
                </c:pt>
                <c:pt idx="34">
                  <c:v>-0.17023135855055041</c:v>
                </c:pt>
                <c:pt idx="35">
                  <c:v>-0.14178774910035957</c:v>
                </c:pt>
                <c:pt idx="36">
                  <c:v>-0.10725445753399517</c:v>
                </c:pt>
                <c:pt idx="37">
                  <c:v>-0.22595842384644246</c:v>
                </c:pt>
                <c:pt idx="38">
                  <c:v>-0.27300530537877682</c:v>
                </c:pt>
                <c:pt idx="39">
                  <c:v>-0.31083964472358971</c:v>
                </c:pt>
                <c:pt idx="40">
                  <c:v>-0.35458951412694073</c:v>
                </c:pt>
                <c:pt idx="41">
                  <c:v>-0.24539938700891853</c:v>
                </c:pt>
                <c:pt idx="42">
                  <c:v>-0.18037058338966833</c:v>
                </c:pt>
                <c:pt idx="43">
                  <c:v>-0.18593971301035531</c:v>
                </c:pt>
                <c:pt idx="44">
                  <c:v>-0.23868337297587031</c:v>
                </c:pt>
                <c:pt idx="45">
                  <c:v>-0.32976718254133985</c:v>
                </c:pt>
                <c:pt idx="46">
                  <c:v>-0.23960910028168989</c:v>
                </c:pt>
                <c:pt idx="47">
                  <c:v>-0.12552940713484148</c:v>
                </c:pt>
                <c:pt idx="48">
                  <c:v>-0.13783750373578876</c:v>
                </c:pt>
                <c:pt idx="49">
                  <c:v>-0.1058232019548245</c:v>
                </c:pt>
                <c:pt idx="50">
                  <c:v>-0.12228114044828922</c:v>
                </c:pt>
                <c:pt idx="51">
                  <c:v>1.5252299217988291E-2</c:v>
                </c:pt>
                <c:pt idx="52">
                  <c:v>8.2793183018230423E-2</c:v>
                </c:pt>
                <c:pt idx="53">
                  <c:v>6.1959169681245672E-2</c:v>
                </c:pt>
                <c:pt idx="54">
                  <c:v>7.2366690183517449E-3</c:v>
                </c:pt>
                <c:pt idx="55">
                  <c:v>-5.0556064777202932E-2</c:v>
                </c:pt>
                <c:pt idx="56">
                  <c:v>-7.4756837339514312E-3</c:v>
                </c:pt>
                <c:pt idx="57">
                  <c:v>6.1184329464384256E-2</c:v>
                </c:pt>
                <c:pt idx="58">
                  <c:v>1.7098351672810208E-2</c:v>
                </c:pt>
                <c:pt idx="59">
                  <c:v>5.5253928774846701E-2</c:v>
                </c:pt>
                <c:pt idx="60">
                  <c:v>7.783853531914911E-2</c:v>
                </c:pt>
                <c:pt idx="61">
                  <c:v>0.14347499494299226</c:v>
                </c:pt>
                <c:pt idx="62">
                  <c:v>0.19354038173976532</c:v>
                </c:pt>
                <c:pt idx="63">
                  <c:v>0.2401215516402426</c:v>
                </c:pt>
                <c:pt idx="64">
                  <c:v>0.27151692511485687</c:v>
                </c:pt>
                <c:pt idx="65">
                  <c:v>0.29585535449148026</c:v>
                </c:pt>
                <c:pt idx="66">
                  <c:v>0.31155050763862574</c:v>
                </c:pt>
                <c:pt idx="67">
                  <c:v>0.2364935118260775</c:v>
                </c:pt>
                <c:pt idx="68">
                  <c:v>0.21664023401144214</c:v>
                </c:pt>
                <c:pt idx="69">
                  <c:v>0.29035065946549299</c:v>
                </c:pt>
                <c:pt idx="70">
                  <c:v>0.23699930849422324</c:v>
                </c:pt>
                <c:pt idx="71">
                  <c:v>0.20336051995051296</c:v>
                </c:pt>
                <c:pt idx="72">
                  <c:v>0.39763001599029868</c:v>
                </c:pt>
                <c:pt idx="73">
                  <c:v>0.38972047549208555</c:v>
                </c:pt>
                <c:pt idx="74">
                  <c:v>0.28581287758550988</c:v>
                </c:pt>
                <c:pt idx="75">
                  <c:v>0.19904011712777062</c:v>
                </c:pt>
                <c:pt idx="76">
                  <c:v>0.37860388273108125</c:v>
                </c:pt>
                <c:pt idx="77">
                  <c:v>0.31415211544239208</c:v>
                </c:pt>
                <c:pt idx="78">
                  <c:v>0.28362209889965495</c:v>
                </c:pt>
                <c:pt idx="79">
                  <c:v>0.37877847565996664</c:v>
                </c:pt>
                <c:pt idx="80">
                  <c:v>0.27376751916945885</c:v>
                </c:pt>
                <c:pt idx="81">
                  <c:v>0.35268798086423403</c:v>
                </c:pt>
                <c:pt idx="82">
                  <c:v>0.61183698148580157</c:v>
                </c:pt>
                <c:pt idx="83">
                  <c:v>0.67935676063373984</c:v>
                </c:pt>
                <c:pt idx="84">
                  <c:v>0.69126528809230836</c:v>
                </c:pt>
                <c:pt idx="85">
                  <c:v>0.64729318418879989</c:v>
                </c:pt>
                <c:pt idx="86">
                  <c:v>0.71573113705442826</c:v>
                </c:pt>
                <c:pt idx="87">
                  <c:v>1.0063322290389318</c:v>
                </c:pt>
                <c:pt idx="88">
                  <c:v>0.98017148852896219</c:v>
                </c:pt>
                <c:pt idx="89">
                  <c:v>0.89429935568124741</c:v>
                </c:pt>
                <c:pt idx="90">
                  <c:v>0.69920328397160203</c:v>
                </c:pt>
                <c:pt idx="91">
                  <c:v>0.69136416383414967</c:v>
                </c:pt>
                <c:pt idx="92">
                  <c:v>0.69425420994509957</c:v>
                </c:pt>
                <c:pt idx="93">
                  <c:v>0.65986592630510288</c:v>
                </c:pt>
                <c:pt idx="94">
                  <c:v>0.65086466627201967</c:v>
                </c:pt>
                <c:pt idx="95">
                  <c:v>0.67074272041517791</c:v>
                </c:pt>
                <c:pt idx="96">
                  <c:v>0.84157184106513072</c:v>
                </c:pt>
                <c:pt idx="97">
                  <c:v>0.87071826938718166</c:v>
                </c:pt>
                <c:pt idx="98">
                  <c:v>0.88199764905487377</c:v>
                </c:pt>
                <c:pt idx="99">
                  <c:v>0.84196826545080639</c:v>
                </c:pt>
                <c:pt idx="100">
                  <c:v>0.79930182045111631</c:v>
                </c:pt>
                <c:pt idx="101">
                  <c:v>0.94322166235115634</c:v>
                </c:pt>
                <c:pt idx="102">
                  <c:v>1.0118197300858069</c:v>
                </c:pt>
                <c:pt idx="103">
                  <c:v>0.97188733713736586</c:v>
                </c:pt>
                <c:pt idx="104">
                  <c:v>0.98948571355137116</c:v>
                </c:pt>
                <c:pt idx="105">
                  <c:v>1.1764071149774225</c:v>
                </c:pt>
                <c:pt idx="106">
                  <c:v>1.1185692590572229</c:v>
                </c:pt>
                <c:pt idx="107">
                  <c:v>1.4180048880244303</c:v>
                </c:pt>
                <c:pt idx="108">
                  <c:v>1.3778332547687944</c:v>
                </c:pt>
                <c:pt idx="109">
                  <c:v>1.3119094424895767</c:v>
                </c:pt>
                <c:pt idx="110">
                  <c:v>1.332100366916539</c:v>
                </c:pt>
                <c:pt idx="111">
                  <c:v>1.3502454775012558</c:v>
                </c:pt>
                <c:pt idx="112">
                  <c:v>1.4464739631467964</c:v>
                </c:pt>
                <c:pt idx="113">
                  <c:v>1.4805486102844756</c:v>
                </c:pt>
                <c:pt idx="114">
                  <c:v>1.4281385380146014</c:v>
                </c:pt>
                <c:pt idx="115">
                  <c:v>1.4401253622282311</c:v>
                </c:pt>
                <c:pt idx="116">
                  <c:v>1.3016783377720125</c:v>
                </c:pt>
                <c:pt idx="117">
                  <c:v>1.2882669117979346</c:v>
                </c:pt>
                <c:pt idx="118">
                  <c:v>1.1543347649629421</c:v>
                </c:pt>
                <c:pt idx="119">
                  <c:v>1.1375513770825327</c:v>
                </c:pt>
                <c:pt idx="120">
                  <c:v>1.2342183386964305</c:v>
                </c:pt>
                <c:pt idx="121">
                  <c:v>1.134260000372751</c:v>
                </c:pt>
                <c:pt idx="122">
                  <c:v>1.0937656829263087</c:v>
                </c:pt>
                <c:pt idx="123">
                  <c:v>1.1127503900404054</c:v>
                </c:pt>
                <c:pt idx="124">
                  <c:v>1.0727655423270588</c:v>
                </c:pt>
                <c:pt idx="125">
                  <c:v>1.1107699479487454</c:v>
                </c:pt>
                <c:pt idx="126">
                  <c:v>1.2282613782589096</c:v>
                </c:pt>
                <c:pt idx="127">
                  <c:v>1.1941790974238327</c:v>
                </c:pt>
                <c:pt idx="128">
                  <c:v>1.188267561033248</c:v>
                </c:pt>
                <c:pt idx="129">
                  <c:v>1.1576160257437902</c:v>
                </c:pt>
                <c:pt idx="130">
                  <c:v>1.1526288131866664</c:v>
                </c:pt>
                <c:pt idx="131">
                  <c:v>1.0104674188816791</c:v>
                </c:pt>
                <c:pt idx="132">
                  <c:v>1.0008498595847604</c:v>
                </c:pt>
                <c:pt idx="133">
                  <c:v>1.0363655931872924</c:v>
                </c:pt>
                <c:pt idx="134">
                  <c:v>0.77491685160835622</c:v>
                </c:pt>
                <c:pt idx="135">
                  <c:v>0.75156649837210199</c:v>
                </c:pt>
                <c:pt idx="136">
                  <c:v>0.78002199716986365</c:v>
                </c:pt>
                <c:pt idx="137">
                  <c:v>0.8376542412292447</c:v>
                </c:pt>
                <c:pt idx="138">
                  <c:v>0.93965297728596509</c:v>
                </c:pt>
                <c:pt idx="139">
                  <c:v>0.89888260304568468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F1-4046-8C7F-A00E8692CEA5}"/>
            </c:ext>
          </c:extLst>
        </c:ser>
        <c:ser>
          <c:idx val="4"/>
          <c:order val="4"/>
          <c:tx>
            <c:strRef>
              <c:f>累積報酬!$B$16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累積報酬!$C$16:$EL$16</c:f>
              <c:numCache>
                <c:formatCode>General</c:formatCode>
                <c:ptCount val="140"/>
                <c:pt idx="0">
                  <c:v>-9.71680377431344E-2</c:v>
                </c:pt>
                <c:pt idx="1">
                  <c:v>-8.8824306176499002E-2</c:v>
                </c:pt>
                <c:pt idx="2">
                  <c:v>-0.1632845506316119</c:v>
                </c:pt>
                <c:pt idx="3">
                  <c:v>3.7069991914719103E-3</c:v>
                </c:pt>
                <c:pt idx="4">
                  <c:v>7.4446526754584463E-2</c:v>
                </c:pt>
                <c:pt idx="5">
                  <c:v>0.15702781567857499</c:v>
                </c:pt>
                <c:pt idx="6">
                  <c:v>0.27306612124203067</c:v>
                </c:pt>
                <c:pt idx="7">
                  <c:v>0.42292689811514861</c:v>
                </c:pt>
                <c:pt idx="8">
                  <c:v>0.13504933778562633</c:v>
                </c:pt>
                <c:pt idx="9">
                  <c:v>4.2543177768514684E-2</c:v>
                </c:pt>
                <c:pt idx="10">
                  <c:v>-0.11631638538399811</c:v>
                </c:pt>
                <c:pt idx="11">
                  <c:v>-7.4329024330517107E-3</c:v>
                </c:pt>
                <c:pt idx="12">
                  <c:v>-3.6804850495191416E-2</c:v>
                </c:pt>
                <c:pt idx="13">
                  <c:v>-0.11645441260831452</c:v>
                </c:pt>
                <c:pt idx="14">
                  <c:v>-0.16447474316134486</c:v>
                </c:pt>
                <c:pt idx="15">
                  <c:v>-0.15589760103118455</c:v>
                </c:pt>
                <c:pt idx="16">
                  <c:v>-0.26448613038359087</c:v>
                </c:pt>
                <c:pt idx="17">
                  <c:v>-0.35871285653718371</c:v>
                </c:pt>
                <c:pt idx="18">
                  <c:v>-0.28672562564961052</c:v>
                </c:pt>
                <c:pt idx="19">
                  <c:v>-0.36202150787823739</c:v>
                </c:pt>
                <c:pt idx="20">
                  <c:v>-0.42476555059940135</c:v>
                </c:pt>
                <c:pt idx="21">
                  <c:v>-0.24135398800751015</c:v>
                </c:pt>
                <c:pt idx="22">
                  <c:v>-0.22439788456189261</c:v>
                </c:pt>
                <c:pt idx="23">
                  <c:v>-0.14366270231255304</c:v>
                </c:pt>
                <c:pt idx="24">
                  <c:v>-0.18285317779639912</c:v>
                </c:pt>
                <c:pt idx="25">
                  <c:v>-0.30384247919600982</c:v>
                </c:pt>
                <c:pt idx="26">
                  <c:v>-0.33300988068176213</c:v>
                </c:pt>
                <c:pt idx="27">
                  <c:v>-0.34489341465029866</c:v>
                </c:pt>
                <c:pt idx="28">
                  <c:v>-0.45660121229487083</c:v>
                </c:pt>
                <c:pt idx="29">
                  <c:v>-0.5036561442826728</c:v>
                </c:pt>
                <c:pt idx="30">
                  <c:v>-0.50631320073966257</c:v>
                </c:pt>
                <c:pt idx="31">
                  <c:v>-0.51871382959342061</c:v>
                </c:pt>
                <c:pt idx="32">
                  <c:v>-0.4647810260214239</c:v>
                </c:pt>
                <c:pt idx="33">
                  <c:v>-0.50050110893141608</c:v>
                </c:pt>
                <c:pt idx="34">
                  <c:v>-0.43607970809904401</c:v>
                </c:pt>
                <c:pt idx="35">
                  <c:v>-0.41130181010358374</c:v>
                </c:pt>
                <c:pt idx="36">
                  <c:v>-0.38271058362131366</c:v>
                </c:pt>
                <c:pt idx="37">
                  <c:v>-0.52011349752879643</c:v>
                </c:pt>
                <c:pt idx="38">
                  <c:v>-0.56453316987012414</c:v>
                </c:pt>
                <c:pt idx="39">
                  <c:v>-0.62748864587306652</c:v>
                </c:pt>
                <c:pt idx="40">
                  <c:v>-0.67288424074096043</c:v>
                </c:pt>
                <c:pt idx="41">
                  <c:v>-0.56223120665288695</c:v>
                </c:pt>
                <c:pt idx="42">
                  <c:v>-0.49651111480450927</c:v>
                </c:pt>
                <c:pt idx="43">
                  <c:v>-0.50147034952243363</c:v>
                </c:pt>
                <c:pt idx="44">
                  <c:v>-0.56622777351139952</c:v>
                </c:pt>
                <c:pt idx="45">
                  <c:v>-0.65568705825140539</c:v>
                </c:pt>
                <c:pt idx="46">
                  <c:v>-0.56085268863734838</c:v>
                </c:pt>
                <c:pt idx="47">
                  <c:v>-0.4472570917254004</c:v>
                </c:pt>
                <c:pt idx="48">
                  <c:v>-0.45842523658390594</c:v>
                </c:pt>
                <c:pt idx="49">
                  <c:v>-0.43180523750729644</c:v>
                </c:pt>
                <c:pt idx="50">
                  <c:v>-0.44390222331543822</c:v>
                </c:pt>
                <c:pt idx="51">
                  <c:v>-0.31092356655573022</c:v>
                </c:pt>
                <c:pt idx="52">
                  <c:v>-0.24553123601943039</c:v>
                </c:pt>
                <c:pt idx="53">
                  <c:v>-0.27057897303864753</c:v>
                </c:pt>
                <c:pt idx="54">
                  <c:v>-0.31784058265716714</c:v>
                </c:pt>
                <c:pt idx="55">
                  <c:v>-0.3768884393879906</c:v>
                </c:pt>
                <c:pt idx="56">
                  <c:v>-0.31995863702996175</c:v>
                </c:pt>
                <c:pt idx="57">
                  <c:v>-0.26074365811913958</c:v>
                </c:pt>
                <c:pt idx="58">
                  <c:v>-0.30109209264882542</c:v>
                </c:pt>
                <c:pt idx="59">
                  <c:v>-0.27207937350419792</c:v>
                </c:pt>
                <c:pt idx="60">
                  <c:v>-0.23559102230260495</c:v>
                </c:pt>
                <c:pt idx="61">
                  <c:v>-0.1635072484930723</c:v>
                </c:pt>
                <c:pt idx="62">
                  <c:v>-0.12001973154807223</c:v>
                </c:pt>
                <c:pt idx="63">
                  <c:v>-7.5178402102705238E-2</c:v>
                </c:pt>
                <c:pt idx="64">
                  <c:v>-4.9477323216449876E-2</c:v>
                </c:pt>
                <c:pt idx="65">
                  <c:v>-1.4557310394308624E-2</c:v>
                </c:pt>
                <c:pt idx="66">
                  <c:v>1.9687231914159269E-3</c:v>
                </c:pt>
                <c:pt idx="67">
                  <c:v>-5.8620574887658983E-2</c:v>
                </c:pt>
                <c:pt idx="68">
                  <c:v>-6.7893928305852683E-2</c:v>
                </c:pt>
                <c:pt idx="69">
                  <c:v>-8.0811475082901152E-3</c:v>
                </c:pt>
                <c:pt idx="70">
                  <c:v>-5.0566387226056587E-2</c:v>
                </c:pt>
                <c:pt idx="71">
                  <c:v>-7.6692558005420436E-2</c:v>
                </c:pt>
                <c:pt idx="72">
                  <c:v>0.13613808317028475</c:v>
                </c:pt>
                <c:pt idx="73">
                  <c:v>0.14423732677475423</c:v>
                </c:pt>
                <c:pt idx="74">
                  <c:v>4.3035109401344029E-2</c:v>
                </c:pt>
                <c:pt idx="75">
                  <c:v>-3.6899462501897962E-2</c:v>
                </c:pt>
                <c:pt idx="76">
                  <c:v>0.13455386100867273</c:v>
                </c:pt>
                <c:pt idx="77">
                  <c:v>6.9289164514641191E-2</c:v>
                </c:pt>
                <c:pt idx="78">
                  <c:v>8.1397724208630215E-3</c:v>
                </c:pt>
                <c:pt idx="79">
                  <c:v>0.11459411422508961</c:v>
                </c:pt>
                <c:pt idx="80">
                  <c:v>-6.2881376779895942E-3</c:v>
                </c:pt>
                <c:pt idx="81">
                  <c:v>7.6652198518761913E-2</c:v>
                </c:pt>
                <c:pt idx="82">
                  <c:v>0.320700110051516</c:v>
                </c:pt>
                <c:pt idx="83">
                  <c:v>0.36875461459722514</c:v>
                </c:pt>
                <c:pt idx="84">
                  <c:v>0.28920526258859836</c:v>
                </c:pt>
                <c:pt idx="85">
                  <c:v>0.23246208246746536</c:v>
                </c:pt>
                <c:pt idx="86">
                  <c:v>0.34114700896477346</c:v>
                </c:pt>
                <c:pt idx="87">
                  <c:v>0.65268980423920897</c:v>
                </c:pt>
                <c:pt idx="88">
                  <c:v>0.6314259144366029</c:v>
                </c:pt>
                <c:pt idx="89">
                  <c:v>0.57004603949927757</c:v>
                </c:pt>
                <c:pt idx="90">
                  <c:v>0.3598904387442966</c:v>
                </c:pt>
                <c:pt idx="91">
                  <c:v>0.34636740628296836</c:v>
                </c:pt>
                <c:pt idx="92">
                  <c:v>0.34284090530123712</c:v>
                </c:pt>
                <c:pt idx="93">
                  <c:v>0.31211671365660965</c:v>
                </c:pt>
                <c:pt idx="94">
                  <c:v>0.3021153136198505</c:v>
                </c:pt>
                <c:pt idx="95">
                  <c:v>0.33102459964119185</c:v>
                </c:pt>
                <c:pt idx="96">
                  <c:v>0.503920820857227</c:v>
                </c:pt>
                <c:pt idx="97">
                  <c:v>0.52422211543951591</c:v>
                </c:pt>
                <c:pt idx="98">
                  <c:v>0.53078102381777215</c:v>
                </c:pt>
                <c:pt idx="99">
                  <c:v>0.50385772036638321</c:v>
                </c:pt>
                <c:pt idx="100">
                  <c:v>0.45422008096155342</c:v>
                </c:pt>
                <c:pt idx="101">
                  <c:v>0.61407831964853998</c:v>
                </c:pt>
                <c:pt idx="102">
                  <c:v>0.70996686818939692</c:v>
                </c:pt>
                <c:pt idx="103">
                  <c:v>0.65260642363378973</c:v>
                </c:pt>
                <c:pt idx="104">
                  <c:v>0.6682015999112233</c:v>
                </c:pt>
                <c:pt idx="105">
                  <c:v>0.87786315719380947</c:v>
                </c:pt>
                <c:pt idx="106">
                  <c:v>0.83062320490768049</c:v>
                </c:pt>
                <c:pt idx="107">
                  <c:v>1.1525529550741944</c:v>
                </c:pt>
                <c:pt idx="108">
                  <c:v>1.1081035621318651</c:v>
                </c:pt>
                <c:pt idx="109">
                  <c:v>1.0600394320512683</c:v>
                </c:pt>
                <c:pt idx="110">
                  <c:v>1.1033425633191558</c:v>
                </c:pt>
                <c:pt idx="111">
                  <c:v>1.1221546249976722</c:v>
                </c:pt>
                <c:pt idx="112">
                  <c:v>1.2267124974900803</c:v>
                </c:pt>
                <c:pt idx="113">
                  <c:v>1.2633069793396272</c:v>
                </c:pt>
                <c:pt idx="114">
                  <c:v>1.2127159165031227</c:v>
                </c:pt>
                <c:pt idx="115">
                  <c:v>1.2349498832832981</c:v>
                </c:pt>
                <c:pt idx="116">
                  <c:v>1.0594601139315971</c:v>
                </c:pt>
                <c:pt idx="117">
                  <c:v>1.0646532714618122</c:v>
                </c:pt>
                <c:pt idx="118">
                  <c:v>0.92841118121180732</c:v>
                </c:pt>
                <c:pt idx="119">
                  <c:v>0.8964575123328159</c:v>
                </c:pt>
                <c:pt idx="120">
                  <c:v>1.0129040808804597</c:v>
                </c:pt>
                <c:pt idx="121">
                  <c:v>0.90019631024634783</c:v>
                </c:pt>
                <c:pt idx="122">
                  <c:v>0.88482098279136301</c:v>
                </c:pt>
                <c:pt idx="123">
                  <c:v>0.90399432305857352</c:v>
                </c:pt>
                <c:pt idx="124">
                  <c:v>0.88328329259494875</c:v>
                </c:pt>
                <c:pt idx="125">
                  <c:v>0.92750196759700176</c:v>
                </c:pt>
                <c:pt idx="126">
                  <c:v>1.0419722699180605</c:v>
                </c:pt>
                <c:pt idx="127">
                  <c:v>0.99579332908310247</c:v>
                </c:pt>
                <c:pt idx="128">
                  <c:v>0.99693589881304279</c:v>
                </c:pt>
                <c:pt idx="129">
                  <c:v>0.96624678941523989</c:v>
                </c:pt>
                <c:pt idx="130">
                  <c:v>0.95149554387916679</c:v>
                </c:pt>
                <c:pt idx="131">
                  <c:v>0.8040739759694947</c:v>
                </c:pt>
                <c:pt idx="132">
                  <c:v>0.79253636866785504</c:v>
                </c:pt>
                <c:pt idx="133">
                  <c:v>0.8214462551273114</c:v>
                </c:pt>
                <c:pt idx="134">
                  <c:v>0.54038176059998677</c:v>
                </c:pt>
                <c:pt idx="135">
                  <c:v>0.51984779866358277</c:v>
                </c:pt>
                <c:pt idx="136">
                  <c:v>0.5456595287693804</c:v>
                </c:pt>
                <c:pt idx="137">
                  <c:v>0.60108849470695247</c:v>
                </c:pt>
                <c:pt idx="138">
                  <c:v>0.7402706364150643</c:v>
                </c:pt>
                <c:pt idx="139">
                  <c:v>0.70668081191188825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F1-4046-8C7F-A00E8692CEA5}"/>
            </c:ext>
          </c:extLst>
        </c:ser>
        <c:ser>
          <c:idx val="5"/>
          <c:order val="5"/>
          <c:tx>
            <c:strRef>
              <c:f>累積報酬!$B$17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累積報酬!$C$17:$EL$17</c:f>
              <c:numCache>
                <c:formatCode>General</c:formatCode>
                <c:ptCount val="140"/>
                <c:pt idx="0">
                  <c:v>-0.10848541786298629</c:v>
                </c:pt>
                <c:pt idx="1">
                  <c:v>-0.1080759683840035</c:v>
                </c:pt>
                <c:pt idx="2">
                  <c:v>-0.16562737507843894</c:v>
                </c:pt>
                <c:pt idx="3">
                  <c:v>2.3270329127403067E-2</c:v>
                </c:pt>
                <c:pt idx="4">
                  <c:v>6.2670223829117896E-2</c:v>
                </c:pt>
                <c:pt idx="5">
                  <c:v>0.10262351905363554</c:v>
                </c:pt>
                <c:pt idx="6">
                  <c:v>0.22573089493602724</c:v>
                </c:pt>
                <c:pt idx="7">
                  <c:v>0.3853719059194578</c:v>
                </c:pt>
                <c:pt idx="8">
                  <c:v>0.10370662385935869</c:v>
                </c:pt>
                <c:pt idx="9">
                  <c:v>3.0474435818023768E-2</c:v>
                </c:pt>
                <c:pt idx="10">
                  <c:v>-0.15008196559462206</c:v>
                </c:pt>
                <c:pt idx="11">
                  <c:v>-3.3019068957616263E-2</c:v>
                </c:pt>
                <c:pt idx="12">
                  <c:v>-5.708636327654909E-2</c:v>
                </c:pt>
                <c:pt idx="13">
                  <c:v>-0.14428291231738627</c:v>
                </c:pt>
                <c:pt idx="14">
                  <c:v>-0.19450198921063694</c:v>
                </c:pt>
                <c:pt idx="15">
                  <c:v>-0.19471007939572191</c:v>
                </c:pt>
                <c:pt idx="16">
                  <c:v>-0.32793628975932171</c:v>
                </c:pt>
                <c:pt idx="17">
                  <c:v>-0.42181301721581499</c:v>
                </c:pt>
                <c:pt idx="18">
                  <c:v>-0.34820733519268177</c:v>
                </c:pt>
                <c:pt idx="19">
                  <c:v>-0.41966662302520841</c:v>
                </c:pt>
                <c:pt idx="20">
                  <c:v>-0.49624831970189565</c:v>
                </c:pt>
                <c:pt idx="21">
                  <c:v>-0.31999586433921323</c:v>
                </c:pt>
                <c:pt idx="22">
                  <c:v>-0.29255436477991492</c:v>
                </c:pt>
                <c:pt idx="23">
                  <c:v>-0.20672433828498993</c:v>
                </c:pt>
                <c:pt idx="24">
                  <c:v>-0.25257918927977063</c:v>
                </c:pt>
                <c:pt idx="25">
                  <c:v>-0.37338148106040092</c:v>
                </c:pt>
                <c:pt idx="26">
                  <c:v>-0.4128697422210299</c:v>
                </c:pt>
                <c:pt idx="27">
                  <c:v>-0.42510768972151175</c:v>
                </c:pt>
                <c:pt idx="28">
                  <c:v>-0.54920862587487052</c:v>
                </c:pt>
                <c:pt idx="29">
                  <c:v>-0.58179085263842589</c:v>
                </c:pt>
                <c:pt idx="30">
                  <c:v>-0.58305587588599739</c:v>
                </c:pt>
                <c:pt idx="31">
                  <c:v>-0.58511621815087533</c:v>
                </c:pt>
                <c:pt idx="32">
                  <c:v>-0.54787248835660707</c:v>
                </c:pt>
                <c:pt idx="33">
                  <c:v>-0.59043214421668022</c:v>
                </c:pt>
                <c:pt idx="34">
                  <c:v>-0.55861965821686033</c:v>
                </c:pt>
                <c:pt idx="35">
                  <c:v>-0.52444668084982538</c:v>
                </c:pt>
                <c:pt idx="36">
                  <c:v>-0.47991903691481586</c:v>
                </c:pt>
                <c:pt idx="37">
                  <c:v>-0.59495074444639529</c:v>
                </c:pt>
                <c:pt idx="38">
                  <c:v>-0.6237016681936467</c:v>
                </c:pt>
                <c:pt idx="39">
                  <c:v>-0.70890443881566756</c:v>
                </c:pt>
                <c:pt idx="40">
                  <c:v>-0.74474482680415088</c:v>
                </c:pt>
                <c:pt idx="41">
                  <c:v>-0.61863438116974379</c:v>
                </c:pt>
                <c:pt idx="42">
                  <c:v>-0.53253470811345383</c:v>
                </c:pt>
                <c:pt idx="43">
                  <c:v>-0.56099419684098595</c:v>
                </c:pt>
                <c:pt idx="44">
                  <c:v>-0.60534866004855903</c:v>
                </c:pt>
                <c:pt idx="45">
                  <c:v>-0.66205496490647986</c:v>
                </c:pt>
                <c:pt idx="46">
                  <c:v>-0.54805470560153524</c:v>
                </c:pt>
                <c:pt idx="47">
                  <c:v>-0.45204362279299259</c:v>
                </c:pt>
                <c:pt idx="48">
                  <c:v>-0.46280996271577152</c:v>
                </c:pt>
                <c:pt idx="49">
                  <c:v>-0.43669721009364004</c:v>
                </c:pt>
                <c:pt idx="50">
                  <c:v>-0.44639361328234867</c:v>
                </c:pt>
                <c:pt idx="51">
                  <c:v>-0.30407623794317418</c:v>
                </c:pt>
                <c:pt idx="52">
                  <c:v>-0.22215832028317656</c:v>
                </c:pt>
                <c:pt idx="53">
                  <c:v>-0.23799261001491284</c:v>
                </c:pt>
                <c:pt idx="54">
                  <c:v>-0.27459100259898861</c:v>
                </c:pt>
                <c:pt idx="55">
                  <c:v>-0.29794891247834548</c:v>
                </c:pt>
                <c:pt idx="56">
                  <c:v>-0.28445456321755147</c:v>
                </c:pt>
                <c:pt idx="57">
                  <c:v>-0.22035690770049748</c:v>
                </c:pt>
                <c:pt idx="58">
                  <c:v>-0.24480511661218873</c:v>
                </c:pt>
                <c:pt idx="59">
                  <c:v>-0.20498680143874837</c:v>
                </c:pt>
                <c:pt idx="60">
                  <c:v>-0.16421624716161309</c:v>
                </c:pt>
                <c:pt idx="61">
                  <c:v>-8.5928901667009977E-2</c:v>
                </c:pt>
                <c:pt idx="62">
                  <c:v>-1.6018479958695334E-2</c:v>
                </c:pt>
                <c:pt idx="63">
                  <c:v>4.0363571789189416E-2</c:v>
                </c:pt>
                <c:pt idx="64">
                  <c:v>5.0632201568586319E-2</c:v>
                </c:pt>
                <c:pt idx="65">
                  <c:v>8.6477043023720529E-2</c:v>
                </c:pt>
                <c:pt idx="66">
                  <c:v>0.12599056888504861</c:v>
                </c:pt>
                <c:pt idx="67">
                  <c:v>9.352189341121761E-2</c:v>
                </c:pt>
                <c:pt idx="68">
                  <c:v>8.2893392433491073E-2</c:v>
                </c:pt>
                <c:pt idx="69">
                  <c:v>0.13417543355142553</c:v>
                </c:pt>
                <c:pt idx="70">
                  <c:v>6.2284492086742249E-2</c:v>
                </c:pt>
                <c:pt idx="71">
                  <c:v>3.8507571959549014E-2</c:v>
                </c:pt>
                <c:pt idx="72">
                  <c:v>0.2727582324710649</c:v>
                </c:pt>
                <c:pt idx="73">
                  <c:v>0.27518870393449346</c:v>
                </c:pt>
                <c:pt idx="74">
                  <c:v>0.17034235602519607</c:v>
                </c:pt>
                <c:pt idx="75">
                  <c:v>8.2739182869248584E-2</c:v>
                </c:pt>
                <c:pt idx="76">
                  <c:v>0.21199222742411428</c:v>
                </c:pt>
                <c:pt idx="77">
                  <c:v>0.14565861410044001</c:v>
                </c:pt>
                <c:pt idx="78">
                  <c:v>8.1043536686557685E-2</c:v>
                </c:pt>
                <c:pt idx="79">
                  <c:v>0.1986973615253837</c:v>
                </c:pt>
                <c:pt idx="80">
                  <c:v>4.0418562278261488E-2</c:v>
                </c:pt>
                <c:pt idx="81">
                  <c:v>0.11581124636259379</c:v>
                </c:pt>
                <c:pt idx="82">
                  <c:v>0.2732725201923582</c:v>
                </c:pt>
                <c:pt idx="83">
                  <c:v>0.3561448999920272</c:v>
                </c:pt>
                <c:pt idx="84">
                  <c:v>0.28427812012507497</c:v>
                </c:pt>
                <c:pt idx="85">
                  <c:v>0.20265302125181517</c:v>
                </c:pt>
                <c:pt idx="86">
                  <c:v>0.32109315978677977</c:v>
                </c:pt>
                <c:pt idx="87">
                  <c:v>0.66138135510837692</c:v>
                </c:pt>
                <c:pt idx="88">
                  <c:v>0.6311259667062411</c:v>
                </c:pt>
                <c:pt idx="89">
                  <c:v>0.5595242328366159</c:v>
                </c:pt>
                <c:pt idx="90">
                  <c:v>0.34232913726621428</c:v>
                </c:pt>
                <c:pt idx="91">
                  <c:v>0.34349704849643353</c:v>
                </c:pt>
                <c:pt idx="92">
                  <c:v>0.33730324483276863</c:v>
                </c:pt>
                <c:pt idx="93">
                  <c:v>0.30801956411535275</c:v>
                </c:pt>
                <c:pt idx="94">
                  <c:v>0.27534956682622674</c:v>
                </c:pt>
                <c:pt idx="95">
                  <c:v>0.31516849997120422</c:v>
                </c:pt>
                <c:pt idx="96">
                  <c:v>0.45750707329827772</c:v>
                </c:pt>
                <c:pt idx="97">
                  <c:v>0.46951921396879304</c:v>
                </c:pt>
                <c:pt idx="98">
                  <c:v>0.4787494348808578</c:v>
                </c:pt>
                <c:pt idx="99">
                  <c:v>0.46471735952906995</c:v>
                </c:pt>
                <c:pt idx="100">
                  <c:v>0.40670667628963575</c:v>
                </c:pt>
                <c:pt idx="101">
                  <c:v>0.57027668379988372</c:v>
                </c:pt>
                <c:pt idx="102">
                  <c:v>0.6547503614966157</c:v>
                </c:pt>
                <c:pt idx="103">
                  <c:v>0.59621767871499554</c:v>
                </c:pt>
                <c:pt idx="104">
                  <c:v>0.62202001101749183</c:v>
                </c:pt>
                <c:pt idx="105">
                  <c:v>0.57348554410629937</c:v>
                </c:pt>
                <c:pt idx="106">
                  <c:v>0.50954677408289928</c:v>
                </c:pt>
                <c:pt idx="107">
                  <c:v>0.85766630250990272</c:v>
                </c:pt>
                <c:pt idx="108">
                  <c:v>0.80673842490068504</c:v>
                </c:pt>
                <c:pt idx="109">
                  <c:v>0.74191946434991052</c:v>
                </c:pt>
                <c:pt idx="110">
                  <c:v>0.80094942433819294</c:v>
                </c:pt>
                <c:pt idx="111">
                  <c:v>0.80154649182271676</c:v>
                </c:pt>
                <c:pt idx="112">
                  <c:v>0.91764033680269919</c:v>
                </c:pt>
                <c:pt idx="113">
                  <c:v>0.99127538510640323</c:v>
                </c:pt>
                <c:pt idx="114">
                  <c:v>0.90257308936179059</c:v>
                </c:pt>
                <c:pt idx="115">
                  <c:v>0.95711429742056364</c:v>
                </c:pt>
                <c:pt idx="116">
                  <c:v>0.77071519548775491</c:v>
                </c:pt>
                <c:pt idx="117">
                  <c:v>0.77926622400114476</c:v>
                </c:pt>
                <c:pt idx="118">
                  <c:v>0.63463403173962718</c:v>
                </c:pt>
                <c:pt idx="119">
                  <c:v>0.65029253231907058</c:v>
                </c:pt>
                <c:pt idx="120">
                  <c:v>0.80014000862650714</c:v>
                </c:pt>
                <c:pt idx="121">
                  <c:v>0.69264354413326401</c:v>
                </c:pt>
                <c:pt idx="122">
                  <c:v>0.64663565360595487</c:v>
                </c:pt>
                <c:pt idx="123">
                  <c:v>0.67564849700455831</c:v>
                </c:pt>
                <c:pt idx="124">
                  <c:v>0.67833399517706638</c:v>
                </c:pt>
                <c:pt idx="125">
                  <c:v>0.73528926725433574</c:v>
                </c:pt>
                <c:pt idx="126">
                  <c:v>0.87621954294430926</c:v>
                </c:pt>
                <c:pt idx="127">
                  <c:v>0.84236980942398887</c:v>
                </c:pt>
                <c:pt idx="128">
                  <c:v>0.87551750925373339</c:v>
                </c:pt>
                <c:pt idx="129">
                  <c:v>0.82434819455776953</c:v>
                </c:pt>
                <c:pt idx="130">
                  <c:v>0.83652496940028498</c:v>
                </c:pt>
                <c:pt idx="131">
                  <c:v>0.6721951025092775</c:v>
                </c:pt>
                <c:pt idx="132">
                  <c:v>0.64608216291523723</c:v>
                </c:pt>
                <c:pt idx="133">
                  <c:v>0.6605571792914694</c:v>
                </c:pt>
                <c:pt idx="134">
                  <c:v>0.36849557414875339</c:v>
                </c:pt>
                <c:pt idx="135">
                  <c:v>0.35274449092913313</c:v>
                </c:pt>
                <c:pt idx="136">
                  <c:v>0.37557375929735648</c:v>
                </c:pt>
                <c:pt idx="137">
                  <c:v>0.42036214315490966</c:v>
                </c:pt>
                <c:pt idx="138">
                  <c:v>0.54859646036502818</c:v>
                </c:pt>
                <c:pt idx="139">
                  <c:v>0.5562644487756806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F1-4046-8C7F-A00E8692CEA5}"/>
            </c:ext>
          </c:extLst>
        </c:ser>
        <c:ser>
          <c:idx val="6"/>
          <c:order val="6"/>
          <c:tx>
            <c:strRef>
              <c:f>累積報酬!$B$18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累積報酬!$C$18:$EL$18</c:f>
              <c:numCache>
                <c:formatCode>General</c:formatCode>
                <c:ptCount val="140"/>
                <c:pt idx="0">
                  <c:v>-5.264358642546442E-2</c:v>
                </c:pt>
                <c:pt idx="1">
                  <c:v>-3.182509065277811E-2</c:v>
                </c:pt>
                <c:pt idx="2">
                  <c:v>-0.10810115327278579</c:v>
                </c:pt>
                <c:pt idx="3">
                  <c:v>0.10502252473155581</c:v>
                </c:pt>
                <c:pt idx="4">
                  <c:v>0.15344342129956848</c:v>
                </c:pt>
                <c:pt idx="5">
                  <c:v>0.21549610534911157</c:v>
                </c:pt>
                <c:pt idx="6">
                  <c:v>0.37016537841492669</c:v>
                </c:pt>
                <c:pt idx="7">
                  <c:v>0.56336500554141555</c:v>
                </c:pt>
                <c:pt idx="8">
                  <c:v>0.24864219354970885</c:v>
                </c:pt>
                <c:pt idx="9">
                  <c:v>0.18793119718145349</c:v>
                </c:pt>
                <c:pt idx="10">
                  <c:v>6.7964735272488253E-4</c:v>
                </c:pt>
                <c:pt idx="11">
                  <c:v>0.12208860559089098</c:v>
                </c:pt>
                <c:pt idx="12">
                  <c:v>0.12157601643755991</c:v>
                </c:pt>
                <c:pt idx="13">
                  <c:v>1.4571249250398113E-2</c:v>
                </c:pt>
                <c:pt idx="14">
                  <c:v>-4.1495025878264626E-2</c:v>
                </c:pt>
                <c:pt idx="15">
                  <c:v>-6.3629866138592908E-2</c:v>
                </c:pt>
                <c:pt idx="16">
                  <c:v>-0.2220611823544909</c:v>
                </c:pt>
                <c:pt idx="17">
                  <c:v>-0.31055718158148582</c:v>
                </c:pt>
                <c:pt idx="18">
                  <c:v>-0.24684216128041669</c:v>
                </c:pt>
                <c:pt idx="19">
                  <c:v>-0.3150240892831988</c:v>
                </c:pt>
                <c:pt idx="20">
                  <c:v>-0.40405435461773342</c:v>
                </c:pt>
                <c:pt idx="21">
                  <c:v>-0.18040400213215912</c:v>
                </c:pt>
                <c:pt idx="22">
                  <c:v>-0.12461072022522644</c:v>
                </c:pt>
                <c:pt idx="23">
                  <c:v>-3.8606766714188237E-2</c:v>
                </c:pt>
                <c:pt idx="24">
                  <c:v>-7.8488651680762439E-2</c:v>
                </c:pt>
                <c:pt idx="25">
                  <c:v>-0.21619710178956503</c:v>
                </c:pt>
                <c:pt idx="26">
                  <c:v>-0.22821775894079685</c:v>
                </c:pt>
                <c:pt idx="27">
                  <c:v>-0.26656475285442127</c:v>
                </c:pt>
                <c:pt idx="28">
                  <c:v>-0.41044835046007866</c:v>
                </c:pt>
                <c:pt idx="29">
                  <c:v>-0.43651866643549309</c:v>
                </c:pt>
                <c:pt idx="30">
                  <c:v>-0.44443879122334334</c:v>
                </c:pt>
                <c:pt idx="31">
                  <c:v>-0.45205956265736369</c:v>
                </c:pt>
                <c:pt idx="32">
                  <c:v>-0.40651319284197629</c:v>
                </c:pt>
                <c:pt idx="33">
                  <c:v>-0.43710028968582487</c:v>
                </c:pt>
                <c:pt idx="34">
                  <c:v>-0.43928777065449898</c:v>
                </c:pt>
                <c:pt idx="35">
                  <c:v>-0.387916335469285</c:v>
                </c:pt>
                <c:pt idx="36">
                  <c:v>-0.35555169759224819</c:v>
                </c:pt>
                <c:pt idx="37">
                  <c:v>-0.48284019389345678</c:v>
                </c:pt>
                <c:pt idx="38">
                  <c:v>-0.51936716332743282</c:v>
                </c:pt>
                <c:pt idx="39">
                  <c:v>-0.60626028466031312</c:v>
                </c:pt>
                <c:pt idx="40">
                  <c:v>-0.6490904656928419</c:v>
                </c:pt>
                <c:pt idx="41">
                  <c:v>-0.53790316113230985</c:v>
                </c:pt>
                <c:pt idx="42">
                  <c:v>-0.50292230463025844</c:v>
                </c:pt>
                <c:pt idx="43">
                  <c:v>-0.53103601925838817</c:v>
                </c:pt>
                <c:pt idx="44">
                  <c:v>-0.58266151802772659</c:v>
                </c:pt>
                <c:pt idx="45">
                  <c:v>-0.61894984655498719</c:v>
                </c:pt>
                <c:pt idx="46">
                  <c:v>-0.50295149850221244</c:v>
                </c:pt>
                <c:pt idx="47">
                  <c:v>-0.36446763843542274</c:v>
                </c:pt>
                <c:pt idx="48">
                  <c:v>-0.29548213508679899</c:v>
                </c:pt>
                <c:pt idx="49">
                  <c:v>-0.25413249499171042</c:v>
                </c:pt>
                <c:pt idx="50">
                  <c:v>-0.23627146657433634</c:v>
                </c:pt>
                <c:pt idx="51">
                  <c:v>-8.5987479627358837E-2</c:v>
                </c:pt>
                <c:pt idx="52">
                  <c:v>-3.6986543298240943E-3</c:v>
                </c:pt>
                <c:pt idx="53">
                  <c:v>-1.3930686408773684E-2</c:v>
                </c:pt>
                <c:pt idx="54">
                  <c:v>-5.8708565307777724E-2</c:v>
                </c:pt>
                <c:pt idx="55">
                  <c:v>-0.10258972235670413</c:v>
                </c:pt>
                <c:pt idx="56">
                  <c:v>-8.519674223079729E-2</c:v>
                </c:pt>
                <c:pt idx="57">
                  <c:v>-3.0019095013760252E-2</c:v>
                </c:pt>
                <c:pt idx="58">
                  <c:v>-6.8258920113536584E-2</c:v>
                </c:pt>
                <c:pt idx="59">
                  <c:v>-3.6352064557559211E-2</c:v>
                </c:pt>
                <c:pt idx="60">
                  <c:v>3.8251075406700377E-3</c:v>
                </c:pt>
                <c:pt idx="61">
                  <c:v>9.1046594253339413E-2</c:v>
                </c:pt>
                <c:pt idx="62">
                  <c:v>0.14873612466408509</c:v>
                </c:pt>
                <c:pt idx="63">
                  <c:v>0.20612767840374568</c:v>
                </c:pt>
                <c:pt idx="64">
                  <c:v>0.22664414595511226</c:v>
                </c:pt>
                <c:pt idx="65">
                  <c:v>0.25181339908653522</c:v>
                </c:pt>
                <c:pt idx="66">
                  <c:v>0.26804278249870533</c:v>
                </c:pt>
                <c:pt idx="67">
                  <c:v>0.26824384128419476</c:v>
                </c:pt>
                <c:pt idx="68">
                  <c:v>0.24766244154127018</c:v>
                </c:pt>
                <c:pt idx="69">
                  <c:v>0.33836083696955893</c:v>
                </c:pt>
                <c:pt idx="70">
                  <c:v>0.24897703166835589</c:v>
                </c:pt>
                <c:pt idx="71">
                  <c:v>0.22115726237616451</c:v>
                </c:pt>
                <c:pt idx="72">
                  <c:v>0.46094857491020869</c:v>
                </c:pt>
                <c:pt idx="73">
                  <c:v>0.49195747596276879</c:v>
                </c:pt>
                <c:pt idx="74">
                  <c:v>0.40227565652490671</c:v>
                </c:pt>
                <c:pt idx="75">
                  <c:v>0.29246108539830012</c:v>
                </c:pt>
                <c:pt idx="76">
                  <c:v>0.45233002937082489</c:v>
                </c:pt>
                <c:pt idx="77">
                  <c:v>0.37360573892375676</c:v>
                </c:pt>
                <c:pt idx="78">
                  <c:v>0.29996297893971141</c:v>
                </c:pt>
                <c:pt idx="79">
                  <c:v>0.42294366597138133</c:v>
                </c:pt>
                <c:pt idx="80">
                  <c:v>0.28901105906179925</c:v>
                </c:pt>
                <c:pt idx="81">
                  <c:v>0.38132548222395718</c:v>
                </c:pt>
                <c:pt idx="82">
                  <c:v>0.5523208227975912</c:v>
                </c:pt>
                <c:pt idx="83">
                  <c:v>0.66043423407280666</c:v>
                </c:pt>
                <c:pt idx="84">
                  <c:v>0.61235280484583976</c:v>
                </c:pt>
                <c:pt idx="85">
                  <c:v>0.51341329850483164</c:v>
                </c:pt>
                <c:pt idx="86">
                  <c:v>0.59570859390754005</c:v>
                </c:pt>
                <c:pt idx="87">
                  <c:v>0.96345871045281795</c:v>
                </c:pt>
                <c:pt idx="88">
                  <c:v>0.94860308389759096</c:v>
                </c:pt>
                <c:pt idx="89">
                  <c:v>0.86537311908997316</c:v>
                </c:pt>
                <c:pt idx="90">
                  <c:v>0.6545709936185572</c:v>
                </c:pt>
                <c:pt idx="91">
                  <c:v>0.66988923007207257</c:v>
                </c:pt>
                <c:pt idx="92">
                  <c:v>0.67430671757933569</c:v>
                </c:pt>
                <c:pt idx="93">
                  <c:v>0.63613266194862983</c:v>
                </c:pt>
                <c:pt idx="94">
                  <c:v>0.59290790684964634</c:v>
                </c:pt>
                <c:pt idx="95">
                  <c:v>0.62369621880877724</c:v>
                </c:pt>
                <c:pt idx="96">
                  <c:v>0.76628606640007413</c:v>
                </c:pt>
                <c:pt idx="97">
                  <c:v>0.77951872910415609</c:v>
                </c:pt>
                <c:pt idx="98">
                  <c:v>0.81281327032272865</c:v>
                </c:pt>
                <c:pt idx="99">
                  <c:v>0.79630504614667141</c:v>
                </c:pt>
                <c:pt idx="100">
                  <c:v>0.7367195584903049</c:v>
                </c:pt>
                <c:pt idx="101">
                  <c:v>0.91141633474360328</c:v>
                </c:pt>
                <c:pt idx="102">
                  <c:v>0.98746375179349455</c:v>
                </c:pt>
                <c:pt idx="103">
                  <c:v>0.93191722133636445</c:v>
                </c:pt>
                <c:pt idx="104">
                  <c:v>0.94825613234615291</c:v>
                </c:pt>
                <c:pt idx="105">
                  <c:v>0.87672325806981166</c:v>
                </c:pt>
                <c:pt idx="106">
                  <c:v>0.82339046078750344</c:v>
                </c:pt>
                <c:pt idx="107">
                  <c:v>1.1853898694364111</c:v>
                </c:pt>
                <c:pt idx="108">
                  <c:v>1.1243252068341358</c:v>
                </c:pt>
                <c:pt idx="109">
                  <c:v>1.0617804980918228</c:v>
                </c:pt>
                <c:pt idx="110">
                  <c:v>1.1192179121303634</c:v>
                </c:pt>
                <c:pt idx="111">
                  <c:v>1.1191246343258783</c:v>
                </c:pt>
                <c:pt idx="112">
                  <c:v>1.245373235558993</c:v>
                </c:pt>
                <c:pt idx="113">
                  <c:v>1.308273325961159</c:v>
                </c:pt>
                <c:pt idx="114">
                  <c:v>1.2249629460130671</c:v>
                </c:pt>
                <c:pt idx="115">
                  <c:v>1.2476324506712395</c:v>
                </c:pt>
                <c:pt idx="116">
                  <c:v>1.032281974052061</c:v>
                </c:pt>
                <c:pt idx="117">
                  <c:v>1.0588696722836528</c:v>
                </c:pt>
                <c:pt idx="118">
                  <c:v>0.88469056571764615</c:v>
                </c:pt>
                <c:pt idx="119">
                  <c:v>0.88464189831018525</c:v>
                </c:pt>
                <c:pt idx="120">
                  <c:v>1.06154254419349</c:v>
                </c:pt>
                <c:pt idx="121">
                  <c:v>0.92911656573040835</c:v>
                </c:pt>
                <c:pt idx="122">
                  <c:v>0.85761069177604654</c:v>
                </c:pt>
                <c:pt idx="123">
                  <c:v>0.90377189946318781</c:v>
                </c:pt>
                <c:pt idx="124">
                  <c:v>0.9149769806973842</c:v>
                </c:pt>
                <c:pt idx="125">
                  <c:v>0.99348926512956648</c:v>
                </c:pt>
                <c:pt idx="126">
                  <c:v>1.1643201041026736</c:v>
                </c:pt>
                <c:pt idx="127">
                  <c:v>1.1631486288217407</c:v>
                </c:pt>
                <c:pt idx="128">
                  <c:v>1.1983913562345432</c:v>
                </c:pt>
                <c:pt idx="129">
                  <c:v>1.1673002405312538</c:v>
                </c:pt>
                <c:pt idx="130">
                  <c:v>1.1819270568185658</c:v>
                </c:pt>
                <c:pt idx="131">
                  <c:v>1.0207005697284026</c:v>
                </c:pt>
                <c:pt idx="132">
                  <c:v>1.0002931841190823</c:v>
                </c:pt>
                <c:pt idx="133">
                  <c:v>1.0210922650532288</c:v>
                </c:pt>
                <c:pt idx="134">
                  <c:v>0.69173555838758638</c:v>
                </c:pt>
                <c:pt idx="135">
                  <c:v>0.67474317142549778</c:v>
                </c:pt>
                <c:pt idx="136">
                  <c:v>0.6896947386929887</c:v>
                </c:pt>
                <c:pt idx="137">
                  <c:v>0.75237142381679067</c:v>
                </c:pt>
                <c:pt idx="138">
                  <c:v>0.88604137710512254</c:v>
                </c:pt>
                <c:pt idx="139">
                  <c:v>0.90515060992937524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F1-4046-8C7F-A00E8692CEA5}"/>
            </c:ext>
          </c:extLst>
        </c:ser>
        <c:ser>
          <c:idx val="7"/>
          <c:order val="7"/>
          <c:tx>
            <c:strRef>
              <c:f>累積報酬!$B$19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累積報酬!$C$19:$EL$19</c:f>
              <c:numCache>
                <c:formatCode>General</c:formatCode>
                <c:ptCount val="140"/>
                <c:pt idx="0">
                  <c:v>-6.3862070951592978E-2</c:v>
                </c:pt>
                <c:pt idx="1">
                  <c:v>-3.6758229727959169E-2</c:v>
                </c:pt>
                <c:pt idx="2">
                  <c:v>-8.7241596811314659E-2</c:v>
                </c:pt>
                <c:pt idx="3">
                  <c:v>0.18758706025892136</c:v>
                </c:pt>
                <c:pt idx="4">
                  <c:v>0.24188220272850872</c:v>
                </c:pt>
                <c:pt idx="5">
                  <c:v>0.32841599314068548</c:v>
                </c:pt>
                <c:pt idx="6">
                  <c:v>0.49733370729059856</c:v>
                </c:pt>
                <c:pt idx="7">
                  <c:v>0.70338901228434914</c:v>
                </c:pt>
                <c:pt idx="8">
                  <c:v>0.31463263957545762</c:v>
                </c:pt>
                <c:pt idx="9">
                  <c:v>0.2696071950352818</c:v>
                </c:pt>
                <c:pt idx="10">
                  <c:v>3.6700173280002912E-2</c:v>
                </c:pt>
                <c:pt idx="11">
                  <c:v>0.10686734508227792</c:v>
                </c:pt>
                <c:pt idx="12">
                  <c:v>0.15805726022402308</c:v>
                </c:pt>
                <c:pt idx="13">
                  <c:v>6.6117628766939884E-2</c:v>
                </c:pt>
                <c:pt idx="14">
                  <c:v>-1.4448469802889469E-3</c:v>
                </c:pt>
                <c:pt idx="15">
                  <c:v>-2.1709593359403687E-2</c:v>
                </c:pt>
                <c:pt idx="16">
                  <c:v>-0.1882801607884384</c:v>
                </c:pt>
                <c:pt idx="17">
                  <c:v>-0.25898652396393507</c:v>
                </c:pt>
                <c:pt idx="18">
                  <c:v>-0.19422839646618117</c:v>
                </c:pt>
                <c:pt idx="19">
                  <c:v>-0.27102197020002816</c:v>
                </c:pt>
                <c:pt idx="20">
                  <c:v>-0.38328506384644268</c:v>
                </c:pt>
                <c:pt idx="21">
                  <c:v>-0.15526103524551599</c:v>
                </c:pt>
                <c:pt idx="22">
                  <c:v>-7.4825900419462063E-2</c:v>
                </c:pt>
                <c:pt idx="23">
                  <c:v>-3.0305460703287865E-2</c:v>
                </c:pt>
                <c:pt idx="24">
                  <c:v>-8.3029642896659428E-2</c:v>
                </c:pt>
                <c:pt idx="25">
                  <c:v>-0.18120822482087556</c:v>
                </c:pt>
                <c:pt idx="26">
                  <c:v>-0.19213351931787676</c:v>
                </c:pt>
                <c:pt idx="27">
                  <c:v>-0.19459858629293897</c:v>
                </c:pt>
                <c:pt idx="28">
                  <c:v>-0.35185049849798067</c:v>
                </c:pt>
                <c:pt idx="29">
                  <c:v>-0.31283761677212518</c:v>
                </c:pt>
                <c:pt idx="30">
                  <c:v>-0.34246661078922591</c:v>
                </c:pt>
                <c:pt idx="31">
                  <c:v>-0.31291884274381787</c:v>
                </c:pt>
                <c:pt idx="32">
                  <c:v>-0.23573499556407512</c:v>
                </c:pt>
                <c:pt idx="33">
                  <c:v>-0.25070406576853022</c:v>
                </c:pt>
                <c:pt idx="34">
                  <c:v>-0.24315202326257751</c:v>
                </c:pt>
                <c:pt idx="35">
                  <c:v>-0.18375302207352673</c:v>
                </c:pt>
                <c:pt idx="36">
                  <c:v>-0.15116800531625643</c:v>
                </c:pt>
                <c:pt idx="37">
                  <c:v>-0.2684903437005175</c:v>
                </c:pt>
                <c:pt idx="38">
                  <c:v>-0.30636166942576715</c:v>
                </c:pt>
                <c:pt idx="39">
                  <c:v>-0.40208232007360573</c:v>
                </c:pt>
                <c:pt idx="40">
                  <c:v>-0.48067036520241557</c:v>
                </c:pt>
                <c:pt idx="41">
                  <c:v>-0.3539809986127771</c:v>
                </c:pt>
                <c:pt idx="42">
                  <c:v>-0.29695576646790067</c:v>
                </c:pt>
                <c:pt idx="43">
                  <c:v>-0.35691689561429363</c:v>
                </c:pt>
                <c:pt idx="44">
                  <c:v>-0.39964664658545834</c:v>
                </c:pt>
                <c:pt idx="45">
                  <c:v>-0.44054656524071067</c:v>
                </c:pt>
                <c:pt idx="46">
                  <c:v>-0.31172506515190446</c:v>
                </c:pt>
                <c:pt idx="47">
                  <c:v>-0.13110485910581285</c:v>
                </c:pt>
                <c:pt idx="48">
                  <c:v>-0.1818600957539879</c:v>
                </c:pt>
                <c:pt idx="49">
                  <c:v>-0.12698453172973692</c:v>
                </c:pt>
                <c:pt idx="50">
                  <c:v>-9.7385337103879019E-2</c:v>
                </c:pt>
                <c:pt idx="51">
                  <c:v>8.2384913942229784E-2</c:v>
                </c:pt>
                <c:pt idx="52">
                  <c:v>0.16511053515716492</c:v>
                </c:pt>
                <c:pt idx="53">
                  <c:v>0.14473817241966586</c:v>
                </c:pt>
                <c:pt idx="54">
                  <c:v>8.7754669776644173E-2</c:v>
                </c:pt>
                <c:pt idx="55">
                  <c:v>3.162381227024616E-2</c:v>
                </c:pt>
                <c:pt idx="56">
                  <c:v>5.5179245514866845E-2</c:v>
                </c:pt>
                <c:pt idx="57">
                  <c:v>9.7457478434503725E-2</c:v>
                </c:pt>
                <c:pt idx="58">
                  <c:v>3.4873514357113847E-2</c:v>
                </c:pt>
                <c:pt idx="59">
                  <c:v>4.5601021417713876E-2</c:v>
                </c:pt>
                <c:pt idx="60">
                  <c:v>0.13536788084506002</c:v>
                </c:pt>
                <c:pt idx="61">
                  <c:v>0.23201548650465126</c:v>
                </c:pt>
                <c:pt idx="62">
                  <c:v>0.32157734580719027</c:v>
                </c:pt>
                <c:pt idx="63">
                  <c:v>0.38820429783444299</c:v>
                </c:pt>
                <c:pt idx="64">
                  <c:v>0.40922414782329181</c:v>
                </c:pt>
                <c:pt idx="65">
                  <c:v>0.45225685602207877</c:v>
                </c:pt>
                <c:pt idx="66">
                  <c:v>0.48571447099192594</c:v>
                </c:pt>
                <c:pt idx="67">
                  <c:v>0.47802073017227659</c:v>
                </c:pt>
                <c:pt idx="68">
                  <c:v>0.47003554264796349</c:v>
                </c:pt>
                <c:pt idx="69">
                  <c:v>0.55407834438395642</c:v>
                </c:pt>
                <c:pt idx="70">
                  <c:v>0.45573462471185355</c:v>
                </c:pt>
                <c:pt idx="71">
                  <c:v>0.40623011131717396</c:v>
                </c:pt>
                <c:pt idx="72">
                  <c:v>0.68376090316884564</c:v>
                </c:pt>
                <c:pt idx="73">
                  <c:v>0.72100181746333036</c:v>
                </c:pt>
                <c:pt idx="74">
                  <c:v>0.58449211184427285</c:v>
                </c:pt>
                <c:pt idx="75">
                  <c:v>0.43975009001583087</c:v>
                </c:pt>
                <c:pt idx="76">
                  <c:v>0.51245896767643406</c:v>
                </c:pt>
                <c:pt idx="77">
                  <c:v>0.49866929687556033</c:v>
                </c:pt>
                <c:pt idx="78">
                  <c:v>0.41658074776751264</c:v>
                </c:pt>
                <c:pt idx="79">
                  <c:v>0.505115945217957</c:v>
                </c:pt>
                <c:pt idx="80">
                  <c:v>0.32586169738583248</c:v>
                </c:pt>
                <c:pt idx="81">
                  <c:v>0.38291097049274869</c:v>
                </c:pt>
                <c:pt idx="82">
                  <c:v>0.59534718562271616</c:v>
                </c:pt>
                <c:pt idx="83">
                  <c:v>0.72501799792965405</c:v>
                </c:pt>
                <c:pt idx="84">
                  <c:v>0.72045357570158608</c:v>
                </c:pt>
                <c:pt idx="85">
                  <c:v>0.62597580783433016</c:v>
                </c:pt>
                <c:pt idx="86">
                  <c:v>0.69298031150864114</c:v>
                </c:pt>
                <c:pt idx="87">
                  <c:v>1.0847178550896379</c:v>
                </c:pt>
                <c:pt idx="88">
                  <c:v>1.1190627122459267</c:v>
                </c:pt>
                <c:pt idx="89">
                  <c:v>1.0424074098567013</c:v>
                </c:pt>
                <c:pt idx="90">
                  <c:v>0.81889199008349622</c:v>
                </c:pt>
                <c:pt idx="91">
                  <c:v>0.82300500198053284</c:v>
                </c:pt>
                <c:pt idx="92">
                  <c:v>0.84560282088463801</c:v>
                </c:pt>
                <c:pt idx="93">
                  <c:v>0.8093550680651157</c:v>
                </c:pt>
                <c:pt idx="94">
                  <c:v>0.75429460324063879</c:v>
                </c:pt>
                <c:pt idx="95">
                  <c:v>0.79073639911727744</c:v>
                </c:pt>
                <c:pt idx="96">
                  <c:v>0.83494540738633827</c:v>
                </c:pt>
                <c:pt idx="97">
                  <c:v>0.85408416088774064</c:v>
                </c:pt>
                <c:pt idx="98">
                  <c:v>0.87914228944362871</c:v>
                </c:pt>
                <c:pt idx="99">
                  <c:v>0.86601618848799589</c:v>
                </c:pt>
                <c:pt idx="100">
                  <c:v>0.80242720177310911</c:v>
                </c:pt>
                <c:pt idx="101">
                  <c:v>0.92968190175528398</c:v>
                </c:pt>
                <c:pt idx="102">
                  <c:v>0.97458022093154417</c:v>
                </c:pt>
                <c:pt idx="103">
                  <c:v>0.91592760280056562</c:v>
                </c:pt>
                <c:pt idx="104">
                  <c:v>0.85733335399846744</c:v>
                </c:pt>
                <c:pt idx="105">
                  <c:v>0.7932473864157239</c:v>
                </c:pt>
                <c:pt idx="106">
                  <c:v>0.77087833355771085</c:v>
                </c:pt>
                <c:pt idx="107">
                  <c:v>0.97090537802604904</c:v>
                </c:pt>
                <c:pt idx="108">
                  <c:v>0.9041139246619263</c:v>
                </c:pt>
                <c:pt idx="109">
                  <c:v>0.84906813968617689</c:v>
                </c:pt>
                <c:pt idx="110">
                  <c:v>0.92509115396905994</c:v>
                </c:pt>
                <c:pt idx="111">
                  <c:v>0.94659563341591502</c:v>
                </c:pt>
                <c:pt idx="112">
                  <c:v>1.0191547668823915</c:v>
                </c:pt>
                <c:pt idx="113">
                  <c:v>1.0890250418036325</c:v>
                </c:pt>
                <c:pt idx="114">
                  <c:v>1.0461491486673804</c:v>
                </c:pt>
                <c:pt idx="115">
                  <c:v>1.0790728669463669</c:v>
                </c:pt>
                <c:pt idx="116">
                  <c:v>0.8591775486124007</c:v>
                </c:pt>
                <c:pt idx="117">
                  <c:v>0.89098591875317512</c:v>
                </c:pt>
                <c:pt idx="118">
                  <c:v>0.65746344945293422</c:v>
                </c:pt>
                <c:pt idx="119">
                  <c:v>0.66275834646393539</c:v>
                </c:pt>
                <c:pt idx="120">
                  <c:v>0.87479564875473992</c:v>
                </c:pt>
                <c:pt idx="121">
                  <c:v>0.72252379505793518</c:v>
                </c:pt>
                <c:pt idx="122">
                  <c:v>0.61399018436775643</c:v>
                </c:pt>
                <c:pt idx="123">
                  <c:v>0.66790208161131182</c:v>
                </c:pt>
                <c:pt idx="124">
                  <c:v>0.65334205454309635</c:v>
                </c:pt>
                <c:pt idx="125">
                  <c:v>0.74643649352774999</c:v>
                </c:pt>
                <c:pt idx="126">
                  <c:v>0.95014730636832467</c:v>
                </c:pt>
                <c:pt idx="127">
                  <c:v>0.92291507134739059</c:v>
                </c:pt>
                <c:pt idx="128">
                  <c:v>0.93137826604447405</c:v>
                </c:pt>
                <c:pt idx="129">
                  <c:v>0.92285252290063691</c:v>
                </c:pt>
                <c:pt idx="130">
                  <c:v>0.99223230359622461</c:v>
                </c:pt>
                <c:pt idx="131">
                  <c:v>0.79328975598994123</c:v>
                </c:pt>
                <c:pt idx="132">
                  <c:v>0.76288140132139859</c:v>
                </c:pt>
                <c:pt idx="133">
                  <c:v>0.74092720999328066</c:v>
                </c:pt>
                <c:pt idx="134">
                  <c:v>0.30048570956582638</c:v>
                </c:pt>
                <c:pt idx="135">
                  <c:v>0.31286671330927102</c:v>
                </c:pt>
                <c:pt idx="136">
                  <c:v>0.29217303128906669</c:v>
                </c:pt>
                <c:pt idx="137">
                  <c:v>0.34104318606337913</c:v>
                </c:pt>
                <c:pt idx="138">
                  <c:v>0.44658612383708951</c:v>
                </c:pt>
                <c:pt idx="139">
                  <c:v>0.44630253617996363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7F1-4046-8C7F-A00E8692CEA5}"/>
            </c:ext>
          </c:extLst>
        </c:ser>
        <c:ser>
          <c:idx val="8"/>
          <c:order val="8"/>
          <c:tx>
            <c:strRef>
              <c:f>累積報酬!$B$20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累積報酬!$C$20:$EL$20</c:f>
              <c:numCache>
                <c:formatCode>General</c:formatCode>
                <c:ptCount val="140"/>
                <c:pt idx="0">
                  <c:v>-7.7247532291167223E-2</c:v>
                </c:pt>
                <c:pt idx="1">
                  <c:v>-3.4182012073196794E-2</c:v>
                </c:pt>
                <c:pt idx="2">
                  <c:v>-9.0820521067593182E-2</c:v>
                </c:pt>
                <c:pt idx="3">
                  <c:v>0.15931273748339558</c:v>
                </c:pt>
                <c:pt idx="4">
                  <c:v>0.20533370795684852</c:v>
                </c:pt>
                <c:pt idx="5">
                  <c:v>0.33266656523786581</c:v>
                </c:pt>
                <c:pt idx="6">
                  <c:v>0.5118299794529666</c:v>
                </c:pt>
                <c:pt idx="7">
                  <c:v>0.74083572481739823</c:v>
                </c:pt>
                <c:pt idx="8">
                  <c:v>0.27650806860703064</c:v>
                </c:pt>
                <c:pt idx="9">
                  <c:v>0.21314135441130672</c:v>
                </c:pt>
                <c:pt idx="10">
                  <c:v>-6.4512812109537465E-2</c:v>
                </c:pt>
                <c:pt idx="11">
                  <c:v>7.1952602708553748E-3</c:v>
                </c:pt>
                <c:pt idx="12">
                  <c:v>4.9929285028645853E-2</c:v>
                </c:pt>
                <c:pt idx="13">
                  <c:v>2.6358991880175153E-4</c:v>
                </c:pt>
                <c:pt idx="14">
                  <c:v>-8.6176931691880246E-2</c:v>
                </c:pt>
                <c:pt idx="15">
                  <c:v>-0.13210772227583384</c:v>
                </c:pt>
                <c:pt idx="16">
                  <c:v>-0.28729034060357644</c:v>
                </c:pt>
                <c:pt idx="17">
                  <c:v>-0.37977858258151748</c:v>
                </c:pt>
                <c:pt idx="18">
                  <c:v>-0.33491758354193513</c:v>
                </c:pt>
                <c:pt idx="19">
                  <c:v>-0.40779786790540068</c:v>
                </c:pt>
                <c:pt idx="20">
                  <c:v>-0.57440635714854615</c:v>
                </c:pt>
                <c:pt idx="21">
                  <c:v>-0.38150404670706073</c:v>
                </c:pt>
                <c:pt idx="22">
                  <c:v>-0.3347537255270695</c:v>
                </c:pt>
                <c:pt idx="23">
                  <c:v>-0.30736769613946202</c:v>
                </c:pt>
                <c:pt idx="24">
                  <c:v>-0.37921875523277376</c:v>
                </c:pt>
                <c:pt idx="25">
                  <c:v>-0.46832521866560872</c:v>
                </c:pt>
                <c:pt idx="26">
                  <c:v>-0.47853352225068868</c:v>
                </c:pt>
                <c:pt idx="27">
                  <c:v>-0.51926829996999335</c:v>
                </c:pt>
                <c:pt idx="28">
                  <c:v>-0.70104261867149487</c:v>
                </c:pt>
                <c:pt idx="29">
                  <c:v>-0.64123845867075235</c:v>
                </c:pt>
                <c:pt idx="30">
                  <c:v>-0.74163806900724749</c:v>
                </c:pt>
                <c:pt idx="31">
                  <c:v>-0.69726069336313778</c:v>
                </c:pt>
                <c:pt idx="32">
                  <c:v>-0.60676172982053145</c:v>
                </c:pt>
                <c:pt idx="33">
                  <c:v>-0.62208352824095292</c:v>
                </c:pt>
                <c:pt idx="34">
                  <c:v>-0.63567864373695582</c:v>
                </c:pt>
                <c:pt idx="35">
                  <c:v>-0.56835020401742586</c:v>
                </c:pt>
                <c:pt idx="36">
                  <c:v>-0.53299896691565829</c:v>
                </c:pt>
                <c:pt idx="37">
                  <c:v>-0.65384043338885744</c:v>
                </c:pt>
                <c:pt idx="38">
                  <c:v>-0.68403823003223452</c:v>
                </c:pt>
                <c:pt idx="39">
                  <c:v>-0.77078346812512977</c:v>
                </c:pt>
                <c:pt idx="40">
                  <c:v>-0.86297079096639961</c:v>
                </c:pt>
                <c:pt idx="41">
                  <c:v>-0.70745029495388845</c:v>
                </c:pt>
                <c:pt idx="42">
                  <c:v>-0.6342039392655705</c:v>
                </c:pt>
                <c:pt idx="43">
                  <c:v>-0.68793738528364801</c:v>
                </c:pt>
                <c:pt idx="44">
                  <c:v>-0.73261090223897207</c:v>
                </c:pt>
                <c:pt idx="45">
                  <c:v>-0.75869722536961781</c:v>
                </c:pt>
                <c:pt idx="46">
                  <c:v>-0.60431612193185424</c:v>
                </c:pt>
                <c:pt idx="47">
                  <c:v>-0.42530217391118552</c:v>
                </c:pt>
                <c:pt idx="48">
                  <c:v>-0.4999295271149104</c:v>
                </c:pt>
                <c:pt idx="49">
                  <c:v>-0.44935344604272404</c:v>
                </c:pt>
                <c:pt idx="50">
                  <c:v>-0.4010259392262755</c:v>
                </c:pt>
                <c:pt idx="51">
                  <c:v>-0.2093416534812936</c:v>
                </c:pt>
                <c:pt idx="52">
                  <c:v>-0.16981925335664827</c:v>
                </c:pt>
                <c:pt idx="53">
                  <c:v>-0.18581746691366247</c:v>
                </c:pt>
                <c:pt idx="54">
                  <c:v>-0.26006125389483364</c:v>
                </c:pt>
                <c:pt idx="55">
                  <c:v>-0.32331136241416969</c:v>
                </c:pt>
                <c:pt idx="56">
                  <c:v>-0.336110441500859</c:v>
                </c:pt>
                <c:pt idx="57">
                  <c:v>-0.28023804980684885</c:v>
                </c:pt>
                <c:pt idx="58">
                  <c:v>-0.36928600763669617</c:v>
                </c:pt>
                <c:pt idx="59">
                  <c:v>-0.36045970491374996</c:v>
                </c:pt>
                <c:pt idx="60">
                  <c:v>-0.31575184597714956</c:v>
                </c:pt>
                <c:pt idx="61">
                  <c:v>-0.21743787275812207</c:v>
                </c:pt>
                <c:pt idx="62">
                  <c:v>-0.12066537268458008</c:v>
                </c:pt>
                <c:pt idx="63">
                  <c:v>-2.5238687012685349E-2</c:v>
                </c:pt>
                <c:pt idx="64">
                  <c:v>-1.6261241388608183E-3</c:v>
                </c:pt>
                <c:pt idx="65">
                  <c:v>4.9680623544960834E-2</c:v>
                </c:pt>
                <c:pt idx="66">
                  <c:v>9.2585570130459927E-2</c:v>
                </c:pt>
                <c:pt idx="67">
                  <c:v>8.7196412287346037E-2</c:v>
                </c:pt>
                <c:pt idx="68">
                  <c:v>6.2255550159852652E-2</c:v>
                </c:pt>
                <c:pt idx="69">
                  <c:v>0.16453180006428625</c:v>
                </c:pt>
                <c:pt idx="70">
                  <c:v>5.7875012717939253E-2</c:v>
                </c:pt>
                <c:pt idx="71">
                  <c:v>5.7163453903794556E-3</c:v>
                </c:pt>
                <c:pt idx="72">
                  <c:v>0.33376814180820147</c:v>
                </c:pt>
                <c:pt idx="73">
                  <c:v>0.35602555692982069</c:v>
                </c:pt>
                <c:pt idx="74">
                  <c:v>0.21615962768442629</c:v>
                </c:pt>
                <c:pt idx="75">
                  <c:v>3.1434540195074079E-2</c:v>
                </c:pt>
                <c:pt idx="76">
                  <c:v>0.11928643927758315</c:v>
                </c:pt>
                <c:pt idx="77">
                  <c:v>9.6922014708634263E-2</c:v>
                </c:pt>
                <c:pt idx="78">
                  <c:v>2.0406253149049258E-3</c:v>
                </c:pt>
                <c:pt idx="79">
                  <c:v>0.10203703178597814</c:v>
                </c:pt>
                <c:pt idx="80">
                  <c:v>-0.10089665715734875</c:v>
                </c:pt>
                <c:pt idx="81">
                  <c:v>-3.496579110249308E-2</c:v>
                </c:pt>
                <c:pt idx="82">
                  <c:v>0.21462821233219842</c:v>
                </c:pt>
                <c:pt idx="83">
                  <c:v>0.35377961307914862</c:v>
                </c:pt>
                <c:pt idx="84">
                  <c:v>0.35326583803770456</c:v>
                </c:pt>
                <c:pt idx="85">
                  <c:v>0.21113939300192475</c:v>
                </c:pt>
                <c:pt idx="86">
                  <c:v>0.27108782954048222</c:v>
                </c:pt>
                <c:pt idx="87">
                  <c:v>0.66184101634030479</c:v>
                </c:pt>
                <c:pt idx="88">
                  <c:v>0.69116061133145723</c:v>
                </c:pt>
                <c:pt idx="89">
                  <c:v>0.61246741536628502</c:v>
                </c:pt>
                <c:pt idx="90">
                  <c:v>0.32583415355408291</c:v>
                </c:pt>
                <c:pt idx="91">
                  <c:v>0.35449733469434352</c:v>
                </c:pt>
                <c:pt idx="92">
                  <c:v>0.3910019650938063</c:v>
                </c:pt>
                <c:pt idx="93">
                  <c:v>0.34589822737092668</c:v>
                </c:pt>
                <c:pt idx="94">
                  <c:v>0.31085747945740921</c:v>
                </c:pt>
                <c:pt idx="95">
                  <c:v>0.36876439282918994</c:v>
                </c:pt>
                <c:pt idx="96">
                  <c:v>0.37005405713532447</c:v>
                </c:pt>
                <c:pt idx="97">
                  <c:v>0.39812671963794055</c:v>
                </c:pt>
                <c:pt idx="98">
                  <c:v>0.41538231641110429</c:v>
                </c:pt>
                <c:pt idx="99">
                  <c:v>0.42118410523762201</c:v>
                </c:pt>
                <c:pt idx="100">
                  <c:v>0.33167145698720957</c:v>
                </c:pt>
                <c:pt idx="101">
                  <c:v>0.47538392767555676</c:v>
                </c:pt>
                <c:pt idx="102">
                  <c:v>0.49742590504061701</c:v>
                </c:pt>
                <c:pt idx="103">
                  <c:v>0.42045783526983299</c:v>
                </c:pt>
                <c:pt idx="104">
                  <c:v>0.38589670460959757</c:v>
                </c:pt>
                <c:pt idx="105">
                  <c:v>0.31708748817952392</c:v>
                </c:pt>
                <c:pt idx="106">
                  <c:v>0.32179302834031176</c:v>
                </c:pt>
                <c:pt idx="107">
                  <c:v>0.55162084132211475</c:v>
                </c:pt>
                <c:pt idx="108">
                  <c:v>0.47724926914019894</c:v>
                </c:pt>
                <c:pt idx="109">
                  <c:v>0.40171816613042444</c:v>
                </c:pt>
                <c:pt idx="110">
                  <c:v>0.52587889000364874</c:v>
                </c:pt>
                <c:pt idx="111">
                  <c:v>0.55093753142946511</c:v>
                </c:pt>
                <c:pt idx="112">
                  <c:v>0.58391210384847414</c:v>
                </c:pt>
                <c:pt idx="113">
                  <c:v>0.67663194574884911</c:v>
                </c:pt>
                <c:pt idx="114">
                  <c:v>0.60334313022565889</c:v>
                </c:pt>
                <c:pt idx="115">
                  <c:v>0.6483964549679605</c:v>
                </c:pt>
                <c:pt idx="116">
                  <c:v>0.38972959416541442</c:v>
                </c:pt>
                <c:pt idx="117">
                  <c:v>0.40780061542530655</c:v>
                </c:pt>
                <c:pt idx="118">
                  <c:v>0.15115776445227547</c:v>
                </c:pt>
                <c:pt idx="119">
                  <c:v>0.19201587396123837</c:v>
                </c:pt>
                <c:pt idx="120">
                  <c:v>0.43894707794379406</c:v>
                </c:pt>
                <c:pt idx="121">
                  <c:v>0.28253906962870923</c:v>
                </c:pt>
                <c:pt idx="122">
                  <c:v>0.29422564773428794</c:v>
                </c:pt>
                <c:pt idx="123">
                  <c:v>0.30357313131770763</c:v>
                </c:pt>
                <c:pt idx="124">
                  <c:v>0.26769059372175824</c:v>
                </c:pt>
                <c:pt idx="125">
                  <c:v>0.40104485651127675</c:v>
                </c:pt>
                <c:pt idx="126">
                  <c:v>0.55890166354248261</c:v>
                </c:pt>
                <c:pt idx="127">
                  <c:v>0.52983935146480099</c:v>
                </c:pt>
                <c:pt idx="128">
                  <c:v>0.51755841375642841</c:v>
                </c:pt>
                <c:pt idx="129">
                  <c:v>0.54748227098227642</c:v>
                </c:pt>
                <c:pt idx="130">
                  <c:v>0.59641491280693504</c:v>
                </c:pt>
                <c:pt idx="131">
                  <c:v>0.38940831860300484</c:v>
                </c:pt>
                <c:pt idx="132">
                  <c:v>0.35510049987932257</c:v>
                </c:pt>
                <c:pt idx="133">
                  <c:v>0.32817228503516999</c:v>
                </c:pt>
                <c:pt idx="134">
                  <c:v>-0.1253183965808658</c:v>
                </c:pt>
                <c:pt idx="135">
                  <c:v>-0.11654995555653597</c:v>
                </c:pt>
                <c:pt idx="136">
                  <c:v>-0.13287274041753255</c:v>
                </c:pt>
                <c:pt idx="137">
                  <c:v>-7.0854042448132204E-2</c:v>
                </c:pt>
                <c:pt idx="138">
                  <c:v>5.073138965391559E-2</c:v>
                </c:pt>
                <c:pt idx="139">
                  <c:v>3.1057672090079199E-2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F1-4046-8C7F-A00E8692CEA5}"/>
            </c:ext>
          </c:extLst>
        </c:ser>
        <c:ser>
          <c:idx val="9"/>
          <c:order val="9"/>
          <c:tx>
            <c:strRef>
              <c:f>累積報酬!$B$21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累積報酬!$C$21:$EL$21</c:f>
              <c:numCache>
                <c:formatCode>General</c:formatCode>
                <c:ptCount val="140"/>
                <c:pt idx="0">
                  <c:v>1.190207271587417E-2</c:v>
                </c:pt>
                <c:pt idx="1">
                  <c:v>4.9339726911951119E-2</c:v>
                </c:pt>
                <c:pt idx="2">
                  <c:v>-8.2982609159087117E-3</c:v>
                </c:pt>
                <c:pt idx="3">
                  <c:v>0.12061408680162639</c:v>
                </c:pt>
                <c:pt idx="4">
                  <c:v>7.2216824037396821E-2</c:v>
                </c:pt>
                <c:pt idx="5">
                  <c:v>0.15572602324050652</c:v>
                </c:pt>
                <c:pt idx="6">
                  <c:v>0.39504908541826056</c:v>
                </c:pt>
                <c:pt idx="7">
                  <c:v>0.68008448773966657</c:v>
                </c:pt>
                <c:pt idx="8">
                  <c:v>0.62897473367465684</c:v>
                </c:pt>
                <c:pt idx="9">
                  <c:v>0.55597209922925495</c:v>
                </c:pt>
                <c:pt idx="10">
                  <c:v>0.25906751125114813</c:v>
                </c:pt>
                <c:pt idx="11">
                  <c:v>0.3450574239092149</c:v>
                </c:pt>
                <c:pt idx="12">
                  <c:v>0.40391256402165254</c:v>
                </c:pt>
                <c:pt idx="13">
                  <c:v>0.33241835039535272</c:v>
                </c:pt>
                <c:pt idx="14">
                  <c:v>0.21137196416199694</c:v>
                </c:pt>
                <c:pt idx="15">
                  <c:v>0.12977485057001789</c:v>
                </c:pt>
                <c:pt idx="16">
                  <c:v>1.1845651200609042E-3</c:v>
                </c:pt>
                <c:pt idx="17">
                  <c:v>-0.1145343925136436</c:v>
                </c:pt>
                <c:pt idx="18">
                  <c:v>-9.8742380650934686E-2</c:v>
                </c:pt>
                <c:pt idx="19">
                  <c:v>-0.12724006669162927</c:v>
                </c:pt>
                <c:pt idx="20">
                  <c:v>-0.29029594651820617</c:v>
                </c:pt>
                <c:pt idx="21">
                  <c:v>-9.6458931396062958E-2</c:v>
                </c:pt>
                <c:pt idx="22">
                  <c:v>-7.935269199613007E-2</c:v>
                </c:pt>
                <c:pt idx="23">
                  <c:v>-5.6286078033848011E-2</c:v>
                </c:pt>
                <c:pt idx="24">
                  <c:v>-8.0425678163794229E-2</c:v>
                </c:pt>
                <c:pt idx="25">
                  <c:v>-0.18708078623371022</c:v>
                </c:pt>
                <c:pt idx="26">
                  <c:v>-0.25196554395187831</c:v>
                </c:pt>
                <c:pt idx="27">
                  <c:v>-0.32507996847299336</c:v>
                </c:pt>
                <c:pt idx="28">
                  <c:v>-0.50875218582024329</c:v>
                </c:pt>
                <c:pt idx="29">
                  <c:v>-0.43730588133351733</c:v>
                </c:pt>
                <c:pt idx="30">
                  <c:v>-0.52385087172774036</c:v>
                </c:pt>
                <c:pt idx="31">
                  <c:v>-0.50786816965750636</c:v>
                </c:pt>
                <c:pt idx="32">
                  <c:v>-0.42827396032421527</c:v>
                </c:pt>
                <c:pt idx="33">
                  <c:v>-0.43605599235522424</c:v>
                </c:pt>
                <c:pt idx="34">
                  <c:v>-0.46669942609265552</c:v>
                </c:pt>
                <c:pt idx="35">
                  <c:v>-0.3557372799312154</c:v>
                </c:pt>
                <c:pt idx="36">
                  <c:v>-0.30443534081531348</c:v>
                </c:pt>
                <c:pt idx="37">
                  <c:v>-0.41086647878511529</c:v>
                </c:pt>
                <c:pt idx="38">
                  <c:v>-0.48639063371461599</c:v>
                </c:pt>
                <c:pt idx="39">
                  <c:v>-0.59119880661621182</c:v>
                </c:pt>
                <c:pt idx="40">
                  <c:v>-0.66564265219574292</c:v>
                </c:pt>
                <c:pt idx="41">
                  <c:v>-0.45892032484597023</c:v>
                </c:pt>
                <c:pt idx="42">
                  <c:v>-0.34150300418737645</c:v>
                </c:pt>
                <c:pt idx="43">
                  <c:v>-0.38700769509919941</c:v>
                </c:pt>
                <c:pt idx="44">
                  <c:v>-0.3995344501261624</c:v>
                </c:pt>
                <c:pt idx="45">
                  <c:v>-0.41342471226353333</c:v>
                </c:pt>
                <c:pt idx="46">
                  <c:v>-0.23039035567380922</c:v>
                </c:pt>
                <c:pt idx="47">
                  <c:v>-7.3078991255246029E-2</c:v>
                </c:pt>
                <c:pt idx="48">
                  <c:v>-0.14172276078449009</c:v>
                </c:pt>
                <c:pt idx="49">
                  <c:v>-8.0254284034727549E-2</c:v>
                </c:pt>
                <c:pt idx="50">
                  <c:v>-3.2186725633086971E-2</c:v>
                </c:pt>
                <c:pt idx="51">
                  <c:v>0.22319548736576703</c:v>
                </c:pt>
                <c:pt idx="52">
                  <c:v>0.28309168816016544</c:v>
                </c:pt>
                <c:pt idx="53">
                  <c:v>0.29086285177366178</c:v>
                </c:pt>
                <c:pt idx="54">
                  <c:v>0.20555332610018176</c:v>
                </c:pt>
                <c:pt idx="55">
                  <c:v>0.13322186629365984</c:v>
                </c:pt>
                <c:pt idx="56">
                  <c:v>0.14646617776835125</c:v>
                </c:pt>
                <c:pt idx="57">
                  <c:v>0.18662888989362952</c:v>
                </c:pt>
                <c:pt idx="58">
                  <c:v>0.12757377649613871</c:v>
                </c:pt>
                <c:pt idx="59">
                  <c:v>0.14990498595836668</c:v>
                </c:pt>
                <c:pt idx="60">
                  <c:v>0.22262810070708067</c:v>
                </c:pt>
                <c:pt idx="61">
                  <c:v>0.33662647322630035</c:v>
                </c:pt>
                <c:pt idx="62">
                  <c:v>0.45736327459073223</c:v>
                </c:pt>
                <c:pt idx="63">
                  <c:v>0.58119221145139821</c:v>
                </c:pt>
                <c:pt idx="64">
                  <c:v>0.47457517090951418</c:v>
                </c:pt>
                <c:pt idx="65">
                  <c:v>0.55712729110488202</c:v>
                </c:pt>
                <c:pt idx="66">
                  <c:v>0.6151376360368499</c:v>
                </c:pt>
                <c:pt idx="67">
                  <c:v>0.63052066684212615</c:v>
                </c:pt>
                <c:pt idx="68">
                  <c:v>0.56518424093470687</c:v>
                </c:pt>
                <c:pt idx="69">
                  <c:v>0.67805877101666179</c:v>
                </c:pt>
                <c:pt idx="70">
                  <c:v>0.55059281670234705</c:v>
                </c:pt>
                <c:pt idx="71">
                  <c:v>0.55465931000881019</c:v>
                </c:pt>
                <c:pt idx="72">
                  <c:v>0.92483506235201762</c:v>
                </c:pt>
                <c:pt idx="73">
                  <c:v>0.97307296607605864</c:v>
                </c:pt>
                <c:pt idx="74">
                  <c:v>0.87940316126282836</c:v>
                </c:pt>
                <c:pt idx="75">
                  <c:v>0.62800138338024203</c:v>
                </c:pt>
                <c:pt idx="76">
                  <c:v>0.77767527680479021</c:v>
                </c:pt>
                <c:pt idx="77">
                  <c:v>0.74094949419717271</c:v>
                </c:pt>
                <c:pt idx="78">
                  <c:v>0.61136941515692045</c:v>
                </c:pt>
                <c:pt idx="79">
                  <c:v>0.72490404526744312</c:v>
                </c:pt>
                <c:pt idx="80">
                  <c:v>0.38475367138661914</c:v>
                </c:pt>
                <c:pt idx="81">
                  <c:v>0.43893611673536947</c:v>
                </c:pt>
                <c:pt idx="82">
                  <c:v>0.78006353002898088</c:v>
                </c:pt>
                <c:pt idx="83">
                  <c:v>0.78035960809742233</c:v>
                </c:pt>
                <c:pt idx="84">
                  <c:v>0.77279769495761663</c:v>
                </c:pt>
                <c:pt idx="85">
                  <c:v>0.53374998875275748</c:v>
                </c:pt>
                <c:pt idx="86">
                  <c:v>0.61612093859073025</c:v>
                </c:pt>
                <c:pt idx="87">
                  <c:v>1.0829025603331917</c:v>
                </c:pt>
                <c:pt idx="88">
                  <c:v>1.0916542877200166</c:v>
                </c:pt>
                <c:pt idx="89">
                  <c:v>0.98515906728354785</c:v>
                </c:pt>
                <c:pt idx="90">
                  <c:v>0.68789912896038707</c:v>
                </c:pt>
                <c:pt idx="91">
                  <c:v>0.7386642151789371</c:v>
                </c:pt>
                <c:pt idx="92">
                  <c:v>0.77994389749202864</c:v>
                </c:pt>
                <c:pt idx="93">
                  <c:v>0.73862400872609657</c:v>
                </c:pt>
                <c:pt idx="94">
                  <c:v>0.77048739182980508</c:v>
                </c:pt>
                <c:pt idx="95">
                  <c:v>0.83789419840187318</c:v>
                </c:pt>
                <c:pt idx="96">
                  <c:v>0.84599097960712322</c:v>
                </c:pt>
                <c:pt idx="97">
                  <c:v>0.9042487856028848</c:v>
                </c:pt>
                <c:pt idx="98">
                  <c:v>0.94231882898006547</c:v>
                </c:pt>
                <c:pt idx="99">
                  <c:v>0.9599161325202199</c:v>
                </c:pt>
                <c:pt idx="100">
                  <c:v>0.92057322351159598</c:v>
                </c:pt>
                <c:pt idx="101">
                  <c:v>1.0330608289822045</c:v>
                </c:pt>
                <c:pt idx="102">
                  <c:v>1.0513964808266487</c:v>
                </c:pt>
                <c:pt idx="103">
                  <c:v>0.97993526705265066</c:v>
                </c:pt>
                <c:pt idx="104">
                  <c:v>0.92748661703605284</c:v>
                </c:pt>
                <c:pt idx="105">
                  <c:v>0.84997393861804571</c:v>
                </c:pt>
                <c:pt idx="106">
                  <c:v>0.79170280817165906</c:v>
                </c:pt>
                <c:pt idx="107">
                  <c:v>1.0778336714946022</c:v>
                </c:pt>
                <c:pt idx="108">
                  <c:v>1.0277915472747898</c:v>
                </c:pt>
                <c:pt idx="109">
                  <c:v>1.0122496930907776</c:v>
                </c:pt>
                <c:pt idx="110">
                  <c:v>1.1641162619002361</c:v>
                </c:pt>
                <c:pt idx="111">
                  <c:v>1.1795007573413712</c:v>
                </c:pt>
                <c:pt idx="112">
                  <c:v>1.2134604669881428</c:v>
                </c:pt>
                <c:pt idx="113">
                  <c:v>1.3247015663272723</c:v>
                </c:pt>
                <c:pt idx="114">
                  <c:v>1.2084490662756011</c:v>
                </c:pt>
                <c:pt idx="115">
                  <c:v>1.2378774369096954</c:v>
                </c:pt>
                <c:pt idx="116">
                  <c:v>0.90541876035163105</c:v>
                </c:pt>
                <c:pt idx="117">
                  <c:v>0.91798798103464352</c:v>
                </c:pt>
                <c:pt idx="118">
                  <c:v>0.80843482935006794</c:v>
                </c:pt>
                <c:pt idx="119">
                  <c:v>0.86199181915676215</c:v>
                </c:pt>
                <c:pt idx="120">
                  <c:v>1.1139584338051112</c:v>
                </c:pt>
                <c:pt idx="121">
                  <c:v>1.0729322734502738</c:v>
                </c:pt>
                <c:pt idx="122">
                  <c:v>1.0686943356433678</c:v>
                </c:pt>
                <c:pt idx="123">
                  <c:v>1.1063830231504821</c:v>
                </c:pt>
                <c:pt idx="124">
                  <c:v>1.0453209660705642</c:v>
                </c:pt>
                <c:pt idx="125">
                  <c:v>1.1450455767710994</c:v>
                </c:pt>
                <c:pt idx="126">
                  <c:v>1.3798439962239146</c:v>
                </c:pt>
                <c:pt idx="127">
                  <c:v>1.3650958225000522</c:v>
                </c:pt>
                <c:pt idx="128">
                  <c:v>1.3842202485325248</c:v>
                </c:pt>
                <c:pt idx="129">
                  <c:v>1.4637928471820907</c:v>
                </c:pt>
                <c:pt idx="130">
                  <c:v>1.5234270659374147</c:v>
                </c:pt>
                <c:pt idx="131">
                  <c:v>1.4313185431680839</c:v>
                </c:pt>
                <c:pt idx="132">
                  <c:v>1.399411006272721</c:v>
                </c:pt>
                <c:pt idx="133">
                  <c:v>1.3476496557944329</c:v>
                </c:pt>
                <c:pt idx="134">
                  <c:v>0.77762628864229466</c:v>
                </c:pt>
                <c:pt idx="135">
                  <c:v>0.80405295825749101</c:v>
                </c:pt>
                <c:pt idx="136">
                  <c:v>0.80178108819831095</c:v>
                </c:pt>
                <c:pt idx="137">
                  <c:v>0.85314106129250389</c:v>
                </c:pt>
                <c:pt idx="138">
                  <c:v>0.90027482108679824</c:v>
                </c:pt>
                <c:pt idx="139">
                  <c:v>0.79485280993038598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7F1-4046-8C7F-A00E8692CEA5}"/>
            </c:ext>
          </c:extLst>
        </c:ser>
        <c:ser>
          <c:idx val="10"/>
          <c:order val="10"/>
          <c:tx>
            <c:strRef>
              <c:f>累積報酬!$B$22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累積報酬!$C$22:$EL$22</c:f>
              <c:numCache>
                <c:formatCode>General</c:formatCode>
                <c:ptCount val="140"/>
                <c:pt idx="0">
                  <c:v>1.083089340061978E-2</c:v>
                </c:pt>
                <c:pt idx="1">
                  <c:v>-1.9574731449324007E-3</c:v>
                </c:pt>
                <c:pt idx="2">
                  <c:v>-3.754463720140086E-2</c:v>
                </c:pt>
                <c:pt idx="3">
                  <c:v>5.9889358377585591E-2</c:v>
                </c:pt>
                <c:pt idx="4">
                  <c:v>1.8586314904609498E-2</c:v>
                </c:pt>
                <c:pt idx="5">
                  <c:v>8.7097008445108759E-2</c:v>
                </c:pt>
                <c:pt idx="6">
                  <c:v>0.34152991135555877</c:v>
                </c:pt>
                <c:pt idx="7">
                  <c:v>0.71762338269827874</c:v>
                </c:pt>
                <c:pt idx="8">
                  <c:v>0.66869622214003066</c:v>
                </c:pt>
                <c:pt idx="9">
                  <c:v>0.53974744926457474</c:v>
                </c:pt>
                <c:pt idx="10">
                  <c:v>0.35508466192162463</c:v>
                </c:pt>
                <c:pt idx="11">
                  <c:v>0.47023508165837147</c:v>
                </c:pt>
                <c:pt idx="12">
                  <c:v>0.55440153025202799</c:v>
                </c:pt>
                <c:pt idx="13">
                  <c:v>0.46377065582539367</c:v>
                </c:pt>
                <c:pt idx="14">
                  <c:v>0.34702952371689338</c:v>
                </c:pt>
                <c:pt idx="15">
                  <c:v>0.25835515777047913</c:v>
                </c:pt>
                <c:pt idx="16">
                  <c:v>8.870860221253854E-2</c:v>
                </c:pt>
                <c:pt idx="17">
                  <c:v>-4.7148547355072568E-2</c:v>
                </c:pt>
                <c:pt idx="18">
                  <c:v>-2.4650153453940199E-3</c:v>
                </c:pt>
                <c:pt idx="19">
                  <c:v>5.8800211887346902E-2</c:v>
                </c:pt>
                <c:pt idx="20">
                  <c:v>-9.7442441698807503E-2</c:v>
                </c:pt>
                <c:pt idx="21">
                  <c:v>6.0407609962061598E-2</c:v>
                </c:pt>
                <c:pt idx="22">
                  <c:v>6.6681840759541949E-2</c:v>
                </c:pt>
                <c:pt idx="23">
                  <c:v>0.10357709211924733</c:v>
                </c:pt>
                <c:pt idx="24">
                  <c:v>3.9354345901526658E-2</c:v>
                </c:pt>
                <c:pt idx="25">
                  <c:v>-6.9340757575648143E-2</c:v>
                </c:pt>
                <c:pt idx="26">
                  <c:v>-0.12897375724837409</c:v>
                </c:pt>
                <c:pt idx="27">
                  <c:v>-0.18696962834072015</c:v>
                </c:pt>
                <c:pt idx="28">
                  <c:v>-0.42480763893902945</c:v>
                </c:pt>
                <c:pt idx="29">
                  <c:v>-0.31906647944893962</c:v>
                </c:pt>
                <c:pt idx="30">
                  <c:v>-0.42753162602913991</c:v>
                </c:pt>
                <c:pt idx="31">
                  <c:v>-0.39981774451360202</c:v>
                </c:pt>
                <c:pt idx="32">
                  <c:v>-0.30567648385621599</c:v>
                </c:pt>
                <c:pt idx="33">
                  <c:v>-0.3415101861590859</c:v>
                </c:pt>
                <c:pt idx="34">
                  <c:v>-0.24022162541869019</c:v>
                </c:pt>
                <c:pt idx="35">
                  <c:v>-0.20338081913197473</c:v>
                </c:pt>
                <c:pt idx="36">
                  <c:v>-0.11929191566427116</c:v>
                </c:pt>
                <c:pt idx="37">
                  <c:v>-0.29649911939852486</c:v>
                </c:pt>
                <c:pt idx="38">
                  <c:v>-0.39533859628627849</c:v>
                </c:pt>
                <c:pt idx="39">
                  <c:v>-0.57989918564010567</c:v>
                </c:pt>
                <c:pt idx="40">
                  <c:v>-0.49722129893156153</c:v>
                </c:pt>
                <c:pt idx="41">
                  <c:v>-0.24968157688592382</c:v>
                </c:pt>
                <c:pt idx="42">
                  <c:v>-0.22751109477364317</c:v>
                </c:pt>
                <c:pt idx="43">
                  <c:v>-0.1991862365249992</c:v>
                </c:pt>
                <c:pt idx="44">
                  <c:v>-0.20528519291605207</c:v>
                </c:pt>
                <c:pt idx="45">
                  <c:v>-0.28448842158680826</c:v>
                </c:pt>
                <c:pt idx="46">
                  <c:v>-5.4995188340858064E-2</c:v>
                </c:pt>
                <c:pt idx="47">
                  <c:v>-0.10273302931233849</c:v>
                </c:pt>
                <c:pt idx="48">
                  <c:v>-0.14374821197273399</c:v>
                </c:pt>
                <c:pt idx="49">
                  <c:v>-7.9791751421547361E-2</c:v>
                </c:pt>
                <c:pt idx="50">
                  <c:v>-2.5372069573480344E-3</c:v>
                </c:pt>
                <c:pt idx="51">
                  <c:v>0.29939273758307494</c:v>
                </c:pt>
                <c:pt idx="52">
                  <c:v>0.18385101177038804</c:v>
                </c:pt>
                <c:pt idx="53">
                  <c:v>0.22251324515060114</c:v>
                </c:pt>
                <c:pt idx="54">
                  <c:v>9.4401950722942746E-2</c:v>
                </c:pt>
                <c:pt idx="55">
                  <c:v>2.6127256393024934E-2</c:v>
                </c:pt>
                <c:pt idx="56">
                  <c:v>7.2406768561410956E-2</c:v>
                </c:pt>
                <c:pt idx="57">
                  <c:v>8.2063234901342791E-2</c:v>
                </c:pt>
                <c:pt idx="58">
                  <c:v>9.9604029933936106E-2</c:v>
                </c:pt>
                <c:pt idx="59">
                  <c:v>0.14048174481274928</c:v>
                </c:pt>
                <c:pt idx="60">
                  <c:v>0.1887969858644136</c:v>
                </c:pt>
                <c:pt idx="61">
                  <c:v>0.38447574835529241</c:v>
                </c:pt>
                <c:pt idx="62">
                  <c:v>0.49255598472016182</c:v>
                </c:pt>
                <c:pt idx="63">
                  <c:v>0.590456313958172</c:v>
                </c:pt>
                <c:pt idx="64">
                  <c:v>0.49817860035803879</c:v>
                </c:pt>
                <c:pt idx="65">
                  <c:v>0.57824638476031864</c:v>
                </c:pt>
                <c:pt idx="66">
                  <c:v>0.65559836303206487</c:v>
                </c:pt>
                <c:pt idx="67">
                  <c:v>0.67642538301741917</c:v>
                </c:pt>
                <c:pt idx="68">
                  <c:v>0.64481918073818001</c:v>
                </c:pt>
                <c:pt idx="69">
                  <c:v>0.75224595480267409</c:v>
                </c:pt>
                <c:pt idx="70">
                  <c:v>0.59957854975470126</c:v>
                </c:pt>
                <c:pt idx="71">
                  <c:v>0.60008950612185474</c:v>
                </c:pt>
                <c:pt idx="72">
                  <c:v>1.1176230889726586</c:v>
                </c:pt>
                <c:pt idx="73">
                  <c:v>1.1896011072777264</c:v>
                </c:pt>
                <c:pt idx="74">
                  <c:v>1.1271343827481735</c:v>
                </c:pt>
                <c:pt idx="75">
                  <c:v>0.84750504390101888</c:v>
                </c:pt>
                <c:pt idx="76">
                  <c:v>1.1004797230890482</c:v>
                </c:pt>
                <c:pt idx="77">
                  <c:v>1.0566755489771444</c:v>
                </c:pt>
                <c:pt idx="78">
                  <c:v>0.86907981602338724</c:v>
                </c:pt>
                <c:pt idx="79">
                  <c:v>0.96781944365862027</c:v>
                </c:pt>
                <c:pt idx="80">
                  <c:v>0.51343952309839791</c:v>
                </c:pt>
                <c:pt idx="81">
                  <c:v>0.6159476264473599</c:v>
                </c:pt>
                <c:pt idx="82">
                  <c:v>0.91875674726313261</c:v>
                </c:pt>
                <c:pt idx="83">
                  <c:v>0.89232958475930302</c:v>
                </c:pt>
                <c:pt idx="84">
                  <c:v>0.85671622561561689</c:v>
                </c:pt>
                <c:pt idx="85">
                  <c:v>0.64804693454666196</c:v>
                </c:pt>
                <c:pt idx="86">
                  <c:v>0.64862404439971777</c:v>
                </c:pt>
                <c:pt idx="87">
                  <c:v>1.1440379292327365</c:v>
                </c:pt>
                <c:pt idx="88">
                  <c:v>1.1085667694670827</c:v>
                </c:pt>
                <c:pt idx="89">
                  <c:v>1.1393473528498581</c:v>
                </c:pt>
                <c:pt idx="90">
                  <c:v>0.73652850936369596</c:v>
                </c:pt>
                <c:pt idx="91">
                  <c:v>0.67402328499126229</c:v>
                </c:pt>
                <c:pt idx="92">
                  <c:v>0.712344959782932</c:v>
                </c:pt>
                <c:pt idx="93">
                  <c:v>0.66760535945969368</c:v>
                </c:pt>
                <c:pt idx="94">
                  <c:v>0.73584142645116668</c:v>
                </c:pt>
                <c:pt idx="95">
                  <c:v>0.83096229555844647</c:v>
                </c:pt>
                <c:pt idx="96">
                  <c:v>0.82522844501295756</c:v>
                </c:pt>
                <c:pt idx="97">
                  <c:v>0.90329159693504035</c:v>
                </c:pt>
                <c:pt idx="98">
                  <c:v>0.93325270624447554</c:v>
                </c:pt>
                <c:pt idx="99">
                  <c:v>0.97854791523592466</c:v>
                </c:pt>
                <c:pt idx="100">
                  <c:v>0.93558103579970164</c:v>
                </c:pt>
                <c:pt idx="101">
                  <c:v>1.1225598881290686</c:v>
                </c:pt>
                <c:pt idx="102">
                  <c:v>1.1450329862953106</c:v>
                </c:pt>
                <c:pt idx="103">
                  <c:v>1.0909913645847886</c:v>
                </c:pt>
                <c:pt idx="104">
                  <c:v>1.0669079046947849</c:v>
                </c:pt>
                <c:pt idx="105">
                  <c:v>1.0101867530899278</c:v>
                </c:pt>
                <c:pt idx="106">
                  <c:v>0.91137016264384763</c:v>
                </c:pt>
                <c:pt idx="107">
                  <c:v>1.3010377963379711</c:v>
                </c:pt>
                <c:pt idx="108">
                  <c:v>1.2262467645552648</c:v>
                </c:pt>
                <c:pt idx="109">
                  <c:v>1.333680374680611</c:v>
                </c:pt>
                <c:pt idx="110">
                  <c:v>1.5583698412948812</c:v>
                </c:pt>
                <c:pt idx="111">
                  <c:v>1.5197524705517851</c:v>
                </c:pt>
                <c:pt idx="112">
                  <c:v>1.5595455261207218</c:v>
                </c:pt>
                <c:pt idx="113">
                  <c:v>1.6844891331383829</c:v>
                </c:pt>
                <c:pt idx="114">
                  <c:v>1.6644928414650759</c:v>
                </c:pt>
                <c:pt idx="115">
                  <c:v>1.6746104421073373</c:v>
                </c:pt>
                <c:pt idx="116">
                  <c:v>1.5977854638132067</c:v>
                </c:pt>
                <c:pt idx="117">
                  <c:v>1.5589235423877223</c:v>
                </c:pt>
                <c:pt idx="118">
                  <c:v>1.4036616705892979</c:v>
                </c:pt>
                <c:pt idx="119">
                  <c:v>1.4748979702624336</c:v>
                </c:pt>
                <c:pt idx="120">
                  <c:v>1.7400324024984613</c:v>
                </c:pt>
                <c:pt idx="121">
                  <c:v>1.6290703961307464</c:v>
                </c:pt>
                <c:pt idx="122">
                  <c:v>1.5597568004848423</c:v>
                </c:pt>
                <c:pt idx="123">
                  <c:v>1.4672503801436667</c:v>
                </c:pt>
                <c:pt idx="124">
                  <c:v>1.4784417385489403</c:v>
                </c:pt>
                <c:pt idx="125">
                  <c:v>1.6557051111365999</c:v>
                </c:pt>
                <c:pt idx="126">
                  <c:v>1.8936654002839794</c:v>
                </c:pt>
                <c:pt idx="127">
                  <c:v>1.8958451219000998</c:v>
                </c:pt>
                <c:pt idx="128">
                  <c:v>2.0055086497115626</c:v>
                </c:pt>
                <c:pt idx="129">
                  <c:v>2.0939270959643363</c:v>
                </c:pt>
                <c:pt idx="130">
                  <c:v>2.1820125433907607</c:v>
                </c:pt>
                <c:pt idx="131">
                  <c:v>2.0544527544382865</c:v>
                </c:pt>
                <c:pt idx="132">
                  <c:v>2.0527824916356492</c:v>
                </c:pt>
                <c:pt idx="133">
                  <c:v>1.9935966731441495</c:v>
                </c:pt>
                <c:pt idx="134">
                  <c:v>1.2558894837940713</c:v>
                </c:pt>
                <c:pt idx="135">
                  <c:v>1.2680566913866935</c:v>
                </c:pt>
                <c:pt idx="136">
                  <c:v>1.2778934211329473</c:v>
                </c:pt>
                <c:pt idx="137">
                  <c:v>1.3211618784661086</c:v>
                </c:pt>
                <c:pt idx="138">
                  <c:v>1.2638999400205704</c:v>
                </c:pt>
                <c:pt idx="139">
                  <c:v>1.1207438627057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F1-4046-8C7F-A00E8692CEA5}"/>
            </c:ext>
          </c:extLst>
        </c:ser>
        <c:ser>
          <c:idx val="11"/>
          <c:order val="11"/>
          <c:tx>
            <c:strRef>
              <c:f>累積報酬!$B$23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累積報酬!$C$23:$EL$23</c:f>
              <c:numCache>
                <c:formatCode>General</c:formatCode>
                <c:ptCount val="140"/>
                <c:pt idx="0">
                  <c:v>3.1325684581971477E-2</c:v>
                </c:pt>
                <c:pt idx="1">
                  <c:v>8.3268587706682148E-2</c:v>
                </c:pt>
                <c:pt idx="2">
                  <c:v>5.9495488354493573E-2</c:v>
                </c:pt>
                <c:pt idx="3">
                  <c:v>0.20337890414027759</c:v>
                </c:pt>
                <c:pt idx="4">
                  <c:v>0.11146531842548477</c:v>
                </c:pt>
                <c:pt idx="5">
                  <c:v>9.3276847584000094E-2</c:v>
                </c:pt>
                <c:pt idx="6">
                  <c:v>0.34897971964957719</c:v>
                </c:pt>
                <c:pt idx="7">
                  <c:v>0.46101507062033698</c:v>
                </c:pt>
                <c:pt idx="8">
                  <c:v>0.29189785438199328</c:v>
                </c:pt>
                <c:pt idx="9">
                  <c:v>5.9453493339531094E-2</c:v>
                </c:pt>
                <c:pt idx="10">
                  <c:v>-8.7833474687965818E-2</c:v>
                </c:pt>
                <c:pt idx="11">
                  <c:v>5.9509531435665286E-2</c:v>
                </c:pt>
                <c:pt idx="12">
                  <c:v>5.720737968345458E-2</c:v>
                </c:pt>
                <c:pt idx="13">
                  <c:v>2.5258536489066799E-3</c:v>
                </c:pt>
                <c:pt idx="14">
                  <c:v>0.12282805907847499</c:v>
                </c:pt>
                <c:pt idx="15">
                  <c:v>6.0006081108713291E-2</c:v>
                </c:pt>
                <c:pt idx="16">
                  <c:v>-5.3718451718548804E-2</c:v>
                </c:pt>
                <c:pt idx="17">
                  <c:v>-9.3332640883376422E-2</c:v>
                </c:pt>
                <c:pt idx="18">
                  <c:v>0.10062722236698318</c:v>
                </c:pt>
                <c:pt idx="19">
                  <c:v>0.26591998809087092</c:v>
                </c:pt>
                <c:pt idx="20">
                  <c:v>0.12938508453094261</c:v>
                </c:pt>
                <c:pt idx="21">
                  <c:v>0.31116627032876554</c:v>
                </c:pt>
                <c:pt idx="22">
                  <c:v>0.39241233128653052</c:v>
                </c:pt>
                <c:pt idx="23">
                  <c:v>0.39086281874441969</c:v>
                </c:pt>
                <c:pt idx="24">
                  <c:v>0.28493110001959199</c:v>
                </c:pt>
                <c:pt idx="25">
                  <c:v>0.13595589605810868</c:v>
                </c:pt>
                <c:pt idx="26">
                  <c:v>-3.7364198739378324E-2</c:v>
                </c:pt>
                <c:pt idx="27">
                  <c:v>-5.4552002328999649E-2</c:v>
                </c:pt>
                <c:pt idx="28">
                  <c:v>-0.34959383023707863</c:v>
                </c:pt>
                <c:pt idx="29">
                  <c:v>-0.17638030819022804</c:v>
                </c:pt>
                <c:pt idx="30">
                  <c:v>-0.38698586201748453</c:v>
                </c:pt>
                <c:pt idx="31">
                  <c:v>-0.42426535238815422</c:v>
                </c:pt>
                <c:pt idx="32">
                  <c:v>-0.40103708576567226</c:v>
                </c:pt>
                <c:pt idx="33">
                  <c:v>-0.37744964547164811</c:v>
                </c:pt>
                <c:pt idx="34">
                  <c:v>-0.26333854612445712</c:v>
                </c:pt>
                <c:pt idx="35">
                  <c:v>-0.21257853511802613</c:v>
                </c:pt>
                <c:pt idx="36">
                  <c:v>-0.20480904611316086</c:v>
                </c:pt>
                <c:pt idx="37">
                  <c:v>-0.44712374547046158</c:v>
                </c:pt>
                <c:pt idx="38">
                  <c:v>-0.41498914720822822</c:v>
                </c:pt>
                <c:pt idx="39">
                  <c:v>-0.50790691372558205</c:v>
                </c:pt>
                <c:pt idx="40">
                  <c:v>-0.41848192146597141</c:v>
                </c:pt>
                <c:pt idx="41">
                  <c:v>-8.1737877620903732E-2</c:v>
                </c:pt>
                <c:pt idx="42">
                  <c:v>-1.8954033962978872E-2</c:v>
                </c:pt>
                <c:pt idx="43">
                  <c:v>-3.5905264778709811E-2</c:v>
                </c:pt>
                <c:pt idx="44">
                  <c:v>1.5149620567739414E-3</c:v>
                </c:pt>
                <c:pt idx="45">
                  <c:v>-0.14896154924049515</c:v>
                </c:pt>
                <c:pt idx="46">
                  <c:v>0.17746672346461934</c:v>
                </c:pt>
                <c:pt idx="47">
                  <c:v>0.1626539444560785</c:v>
                </c:pt>
                <c:pt idx="48">
                  <c:v>3.6525304725482099E-2</c:v>
                </c:pt>
                <c:pt idx="49">
                  <c:v>0.11459688124668915</c:v>
                </c:pt>
                <c:pt idx="50">
                  <c:v>0.10495010116658837</c:v>
                </c:pt>
                <c:pt idx="51">
                  <c:v>5.3900617063703249E-2</c:v>
                </c:pt>
                <c:pt idx="52">
                  <c:v>-0.24692763210936253</c:v>
                </c:pt>
                <c:pt idx="53">
                  <c:v>-0.18185081494370167</c:v>
                </c:pt>
                <c:pt idx="54">
                  <c:v>-0.35782559607304121</c:v>
                </c:pt>
                <c:pt idx="55">
                  <c:v>-0.4079365580946519</c:v>
                </c:pt>
                <c:pt idx="56">
                  <c:v>-0.33317508689789938</c:v>
                </c:pt>
                <c:pt idx="57">
                  <c:v>-0.38677195083288968</c:v>
                </c:pt>
                <c:pt idx="58">
                  <c:v>-0.46818883070444839</c:v>
                </c:pt>
                <c:pt idx="59">
                  <c:v>-0.40491648637250999</c:v>
                </c:pt>
                <c:pt idx="60">
                  <c:v>-0.3570671630713218</c:v>
                </c:pt>
                <c:pt idx="61">
                  <c:v>-0.1461071317076611</c:v>
                </c:pt>
                <c:pt idx="62">
                  <c:v>-0.17114459349937913</c:v>
                </c:pt>
                <c:pt idx="63">
                  <c:v>-0.16643622482396878</c:v>
                </c:pt>
                <c:pt idx="64">
                  <c:v>-0.35924265578691439</c:v>
                </c:pt>
                <c:pt idx="65">
                  <c:v>-0.21595311623306598</c:v>
                </c:pt>
                <c:pt idx="66">
                  <c:v>-0.11169365554934269</c:v>
                </c:pt>
                <c:pt idx="67">
                  <c:v>-8.729969322554218E-2</c:v>
                </c:pt>
                <c:pt idx="68">
                  <c:v>-0.13650741661202639</c:v>
                </c:pt>
                <c:pt idx="69">
                  <c:v>-2.1454728427317799E-2</c:v>
                </c:pt>
                <c:pt idx="70">
                  <c:v>-0.25308759860405639</c:v>
                </c:pt>
                <c:pt idx="71">
                  <c:v>-0.23606864772812852</c:v>
                </c:pt>
                <c:pt idx="72">
                  <c:v>0.51565587382805056</c:v>
                </c:pt>
                <c:pt idx="73">
                  <c:v>0.43585328323622685</c:v>
                </c:pt>
                <c:pt idx="74">
                  <c:v>0.34214201388668286</c:v>
                </c:pt>
                <c:pt idx="75">
                  <c:v>-1.0255853178339824E-2</c:v>
                </c:pt>
                <c:pt idx="76">
                  <c:v>0.486037979311083</c:v>
                </c:pt>
                <c:pt idx="77">
                  <c:v>0.42992364977201014</c:v>
                </c:pt>
                <c:pt idx="78">
                  <c:v>0.17777985786928363</c:v>
                </c:pt>
                <c:pt idx="79">
                  <c:v>0.2952481743502352</c:v>
                </c:pt>
                <c:pt idx="80">
                  <c:v>-0.26482140462548143</c:v>
                </c:pt>
                <c:pt idx="81">
                  <c:v>-9.7207023315155128E-2</c:v>
                </c:pt>
                <c:pt idx="82">
                  <c:v>0.40546023013172344</c:v>
                </c:pt>
                <c:pt idx="83">
                  <c:v>0.33241413220134886</c:v>
                </c:pt>
                <c:pt idx="84">
                  <c:v>0.26741646831245691</c:v>
                </c:pt>
                <c:pt idx="85">
                  <c:v>1.8807354658171904E-2</c:v>
                </c:pt>
                <c:pt idx="86">
                  <c:v>1.7240709259683497E-2</c:v>
                </c:pt>
                <c:pt idx="87">
                  <c:v>0.35777214259485662</c:v>
                </c:pt>
                <c:pt idx="88">
                  <c:v>0.30619981300385607</c:v>
                </c:pt>
                <c:pt idx="89">
                  <c:v>0.30880224201560535</c:v>
                </c:pt>
                <c:pt idx="90">
                  <c:v>-0.12811077692193085</c:v>
                </c:pt>
                <c:pt idx="91">
                  <c:v>-0.15887916058156226</c:v>
                </c:pt>
                <c:pt idx="92">
                  <c:v>-9.2079723905366728E-2</c:v>
                </c:pt>
                <c:pt idx="93">
                  <c:v>-9.370862165016601E-2</c:v>
                </c:pt>
                <c:pt idx="94">
                  <c:v>-9.899268786845003E-2</c:v>
                </c:pt>
                <c:pt idx="95">
                  <c:v>4.892271009773172E-3</c:v>
                </c:pt>
                <c:pt idx="96">
                  <c:v>2.1417526691945691E-2</c:v>
                </c:pt>
                <c:pt idx="97">
                  <c:v>6.5793897344901084E-2</c:v>
                </c:pt>
                <c:pt idx="98">
                  <c:v>6.5065928832617567E-2</c:v>
                </c:pt>
                <c:pt idx="99">
                  <c:v>0.11838613445993709</c:v>
                </c:pt>
                <c:pt idx="100">
                  <c:v>5.891640945316784E-2</c:v>
                </c:pt>
                <c:pt idx="101">
                  <c:v>0.12420907790655944</c:v>
                </c:pt>
                <c:pt idx="102">
                  <c:v>0.14922758890071544</c:v>
                </c:pt>
                <c:pt idx="103">
                  <c:v>0.13048052245749581</c:v>
                </c:pt>
                <c:pt idx="104">
                  <c:v>0.24463299535914079</c:v>
                </c:pt>
                <c:pt idx="105">
                  <c:v>0.22213440621548836</c:v>
                </c:pt>
                <c:pt idx="106">
                  <c:v>8.0689106355929352E-2</c:v>
                </c:pt>
                <c:pt idx="107">
                  <c:v>0.48948402691684967</c:v>
                </c:pt>
                <c:pt idx="108">
                  <c:v>0.45985852599695687</c:v>
                </c:pt>
                <c:pt idx="109">
                  <c:v>0.51527197330569929</c:v>
                </c:pt>
                <c:pt idx="110">
                  <c:v>0.60819628222264221</c:v>
                </c:pt>
                <c:pt idx="111">
                  <c:v>0.59727796549461132</c:v>
                </c:pt>
                <c:pt idx="112">
                  <c:v>0.8751111820534544</c:v>
                </c:pt>
                <c:pt idx="113">
                  <c:v>0.93812155145091813</c:v>
                </c:pt>
                <c:pt idx="114">
                  <c:v>0.95157482719722519</c:v>
                </c:pt>
                <c:pt idx="115">
                  <c:v>1.1275006403676779</c:v>
                </c:pt>
                <c:pt idx="116">
                  <c:v>1.0017684550211123</c:v>
                </c:pt>
                <c:pt idx="117">
                  <c:v>1.0627197667456054</c:v>
                </c:pt>
                <c:pt idx="118">
                  <c:v>0.93427532654871992</c:v>
                </c:pt>
                <c:pt idx="119">
                  <c:v>1.0367011217837212</c:v>
                </c:pt>
                <c:pt idx="120">
                  <c:v>1.2544369637351391</c:v>
                </c:pt>
                <c:pt idx="121">
                  <c:v>1.0973738416981984</c:v>
                </c:pt>
                <c:pt idx="122">
                  <c:v>1.1139337197395982</c:v>
                </c:pt>
                <c:pt idx="123">
                  <c:v>1.1220669733548725</c:v>
                </c:pt>
                <c:pt idx="124">
                  <c:v>1.1152103639404403</c:v>
                </c:pt>
                <c:pt idx="125">
                  <c:v>1.4346594595689028</c:v>
                </c:pt>
                <c:pt idx="126">
                  <c:v>1.6369435861058492</c:v>
                </c:pt>
                <c:pt idx="127">
                  <c:v>1.5763882110333078</c:v>
                </c:pt>
                <c:pt idx="128">
                  <c:v>1.6857195863097429</c:v>
                </c:pt>
                <c:pt idx="129">
                  <c:v>1.7795029664616511</c:v>
                </c:pt>
                <c:pt idx="130">
                  <c:v>1.8731474996221711</c:v>
                </c:pt>
                <c:pt idx="131">
                  <c:v>1.7568751322665301</c:v>
                </c:pt>
                <c:pt idx="132">
                  <c:v>1.7292441996035679</c:v>
                </c:pt>
                <c:pt idx="133">
                  <c:v>1.7002013467766768</c:v>
                </c:pt>
                <c:pt idx="134">
                  <c:v>1.6698469892793419</c:v>
                </c:pt>
                <c:pt idx="135">
                  <c:v>1.5706376176225614</c:v>
                </c:pt>
                <c:pt idx="136">
                  <c:v>1.5847404668886127</c:v>
                </c:pt>
                <c:pt idx="137">
                  <c:v>1.6230833917230241</c:v>
                </c:pt>
                <c:pt idx="138">
                  <c:v>1.4277707253896637</c:v>
                </c:pt>
                <c:pt idx="139">
                  <c:v>1.3064345843826972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7F1-4046-8C7F-A00E8692CEA5}"/>
            </c:ext>
          </c:extLst>
        </c:ser>
        <c:ser>
          <c:idx val="12"/>
          <c:order val="12"/>
          <c:tx>
            <c:strRef>
              <c:f>累積報酬!$B$24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累積報酬!$C$24:$EL$24</c:f>
              <c:numCache>
                <c:formatCode>General</c:formatCode>
                <c:ptCount val="140"/>
                <c:pt idx="0">
                  <c:v>2.776696731044102E-2</c:v>
                </c:pt>
                <c:pt idx="1">
                  <c:v>0.14396179956413482</c:v>
                </c:pt>
                <c:pt idx="2">
                  <c:v>7.2561469394837916E-2</c:v>
                </c:pt>
                <c:pt idx="3">
                  <c:v>0.29972101603158674</c:v>
                </c:pt>
                <c:pt idx="4">
                  <c:v>-0.2691363250918567</c:v>
                </c:pt>
                <c:pt idx="5">
                  <c:v>-0.23328052843690003</c:v>
                </c:pt>
                <c:pt idx="6">
                  <c:v>7.1057163340157714E-3</c:v>
                </c:pt>
                <c:pt idx="7">
                  <c:v>-4.7196439742932056E-2</c:v>
                </c:pt>
                <c:pt idx="8">
                  <c:v>-0.40685201181980202</c:v>
                </c:pt>
                <c:pt idx="9">
                  <c:v>-0.74061145629544867</c:v>
                </c:pt>
                <c:pt idx="10">
                  <c:v>-0.9583971293331901</c:v>
                </c:pt>
                <c:pt idx="11">
                  <c:v>-0.89781900941171555</c:v>
                </c:pt>
                <c:pt idx="12">
                  <c:v>-0.86117021867217181</c:v>
                </c:pt>
                <c:pt idx="13">
                  <c:v>-0.86290650753651899</c:v>
                </c:pt>
                <c:pt idx="14">
                  <c:v>-0.86005937193412174</c:v>
                </c:pt>
                <c:pt idx="15">
                  <c:v>-0.83223654804903358</c:v>
                </c:pt>
                <c:pt idx="16">
                  <c:v>-1.184751009109198</c:v>
                </c:pt>
                <c:pt idx="17">
                  <c:v>-1.1068126126113247</c:v>
                </c:pt>
                <c:pt idx="18">
                  <c:v>-0.82095632262992391</c:v>
                </c:pt>
                <c:pt idx="19">
                  <c:v>-0.70441600591307307</c:v>
                </c:pt>
                <c:pt idx="20">
                  <c:v>-1.3473495345187325</c:v>
                </c:pt>
                <c:pt idx="21">
                  <c:v>-1.3835074308799844</c:v>
                </c:pt>
                <c:pt idx="22">
                  <c:v>-1.2631899378154539</c:v>
                </c:pt>
                <c:pt idx="23">
                  <c:v>-1.2875844865650301</c:v>
                </c:pt>
                <c:pt idx="24">
                  <c:v>-1.3819440693788245</c:v>
                </c:pt>
                <c:pt idx="25">
                  <c:v>-1.5661954920476029</c:v>
                </c:pt>
                <c:pt idx="26">
                  <c:v>-1.8123644508323027</c:v>
                </c:pt>
                <c:pt idx="27">
                  <c:v>-2.2804346413481515</c:v>
                </c:pt>
                <c:pt idx="28">
                  <c:v>-2.2288145710893597</c:v>
                </c:pt>
                <c:pt idx="29">
                  <c:v>-2.0631107914428175</c:v>
                </c:pt>
                <c:pt idx="30">
                  <c:v>-2.5523272514474353</c:v>
                </c:pt>
                <c:pt idx="31">
                  <c:v>-2.4837134519860378</c:v>
                </c:pt>
                <c:pt idx="32">
                  <c:v>-2.4925217830844653</c:v>
                </c:pt>
                <c:pt idx="33">
                  <c:v>-2.4070865812936013</c:v>
                </c:pt>
                <c:pt idx="34">
                  <c:v>-2.3222026282254089</c:v>
                </c:pt>
                <c:pt idx="35">
                  <c:v>-2.235028926748774</c:v>
                </c:pt>
                <c:pt idx="36">
                  <c:v>-2.2539482081693007</c:v>
                </c:pt>
                <c:pt idx="37">
                  <c:v>-2.4751376733147321</c:v>
                </c:pt>
                <c:pt idx="38">
                  <c:v>-2.5578293891598456</c:v>
                </c:pt>
                <c:pt idx="39">
                  <c:v>-2.5806811046489422</c:v>
                </c:pt>
                <c:pt idx="40">
                  <c:v>-2.5336041318146965</c:v>
                </c:pt>
                <c:pt idx="41">
                  <c:v>-2.5239648752070893</c:v>
                </c:pt>
                <c:pt idx="42">
                  <c:v>-2.4644507476746815</c:v>
                </c:pt>
                <c:pt idx="43">
                  <c:v>-2.4703793572637376</c:v>
                </c:pt>
                <c:pt idx="44">
                  <c:v>-2.5144746771289621</c:v>
                </c:pt>
                <c:pt idx="45">
                  <c:v>-2.7621593373592894</c:v>
                </c:pt>
                <c:pt idx="46">
                  <c:v>-2.6418564139524414</c:v>
                </c:pt>
                <c:pt idx="47">
                  <c:v>-2.530365077036226</c:v>
                </c:pt>
                <c:pt idx="48">
                  <c:v>-2.6483804559096664</c:v>
                </c:pt>
                <c:pt idx="49">
                  <c:v>-2.5297567308384901</c:v>
                </c:pt>
                <c:pt idx="50">
                  <c:v>-2.4759619987538568</c:v>
                </c:pt>
                <c:pt idx="51">
                  <c:v>-2.5621210321491916</c:v>
                </c:pt>
                <c:pt idx="52">
                  <c:v>-3.3653370451935691</c:v>
                </c:pt>
                <c:pt idx="53">
                  <c:v>-3.3467060111067055</c:v>
                </c:pt>
                <c:pt idx="54">
                  <c:v>-3.536195006664971</c:v>
                </c:pt>
                <c:pt idx="55">
                  <c:v>-3.6162069569375053</c:v>
                </c:pt>
                <c:pt idx="56">
                  <c:v>-3.5893709910711942</c:v>
                </c:pt>
                <c:pt idx="57">
                  <c:v>-3.5989404420873448</c:v>
                </c:pt>
                <c:pt idx="58">
                  <c:v>-3.7391543708459896</c:v>
                </c:pt>
                <c:pt idx="59">
                  <c:v>-3.7425026866008739</c:v>
                </c:pt>
                <c:pt idx="60">
                  <c:v>-3.7076750394281</c:v>
                </c:pt>
                <c:pt idx="61">
                  <c:v>-3.3905107455033834</c:v>
                </c:pt>
                <c:pt idx="62">
                  <c:v>-3.3790377263856461</c:v>
                </c:pt>
                <c:pt idx="63">
                  <c:v>-3.3721883845400713</c:v>
                </c:pt>
                <c:pt idx="64">
                  <c:v>-3.5332980756357131</c:v>
                </c:pt>
                <c:pt idx="65">
                  <c:v>-3.4099468945063913</c:v>
                </c:pt>
                <c:pt idx="66">
                  <c:v>-3.4741165278365065</c:v>
                </c:pt>
                <c:pt idx="67">
                  <c:v>-3.4317603045330887</c:v>
                </c:pt>
                <c:pt idx="68">
                  <c:v>-3.4330450220175455</c:v>
                </c:pt>
                <c:pt idx="69">
                  <c:v>-3.3167743259633582</c:v>
                </c:pt>
                <c:pt idx="70">
                  <c:v>-3.3255228182782037</c:v>
                </c:pt>
                <c:pt idx="71">
                  <c:v>-3.1222186664477531</c:v>
                </c:pt>
                <c:pt idx="72">
                  <c:v>-2.0132065964103911</c:v>
                </c:pt>
                <c:pt idx="73">
                  <c:v>-2.0806413177943814</c:v>
                </c:pt>
                <c:pt idx="74">
                  <c:v>-1.9621152217566933</c:v>
                </c:pt>
                <c:pt idx="75">
                  <c:v>-2.7760732484992152</c:v>
                </c:pt>
                <c:pt idx="76">
                  <c:v>-2.6907211097119821</c:v>
                </c:pt>
                <c:pt idx="77">
                  <c:v>-2.7436384167641519</c:v>
                </c:pt>
                <c:pt idx="78">
                  <c:v>-2.7530516352637755</c:v>
                </c:pt>
                <c:pt idx="79">
                  <c:v>-2.7346082845130066</c:v>
                </c:pt>
                <c:pt idx="80">
                  <c:v>-2.8082841864849817</c:v>
                </c:pt>
                <c:pt idx="81">
                  <c:v>-2.691468791852389</c:v>
                </c:pt>
                <c:pt idx="82">
                  <c:v>-2.4541909569924636</c:v>
                </c:pt>
                <c:pt idx="83">
                  <c:v>-2.5554658847717739</c:v>
                </c:pt>
                <c:pt idx="84">
                  <c:v>-2.602538509476779</c:v>
                </c:pt>
                <c:pt idx="85">
                  <c:v>-3.0112968901038548</c:v>
                </c:pt>
                <c:pt idx="86">
                  <c:v>-3.0227028465529231</c:v>
                </c:pt>
                <c:pt idx="87">
                  <c:v>-2.3665015358531831</c:v>
                </c:pt>
                <c:pt idx="88">
                  <c:v>-2.6014610757178112</c:v>
                </c:pt>
                <c:pt idx="89">
                  <c:v>-2.6920097326929944</c:v>
                </c:pt>
                <c:pt idx="90">
                  <c:v>-3.4077387414183549</c:v>
                </c:pt>
                <c:pt idx="91">
                  <c:v>-3.4457536406091656</c:v>
                </c:pt>
                <c:pt idx="92">
                  <c:v>-3.179100104393866</c:v>
                </c:pt>
                <c:pt idx="93">
                  <c:v>-3.2012263841878474</c:v>
                </c:pt>
                <c:pt idx="94">
                  <c:v>-3.3605747434681033</c:v>
                </c:pt>
                <c:pt idx="95">
                  <c:v>-2.9776285488432617</c:v>
                </c:pt>
                <c:pt idx="96">
                  <c:v>-3.1240841924487195</c:v>
                </c:pt>
                <c:pt idx="97">
                  <c:v>-3.0209778712082689</c:v>
                </c:pt>
                <c:pt idx="98">
                  <c:v>-2.9811529999153383</c:v>
                </c:pt>
                <c:pt idx="99">
                  <c:v>-3.0568341454546539</c:v>
                </c:pt>
                <c:pt idx="100">
                  <c:v>-3.0183180143924226</c:v>
                </c:pt>
                <c:pt idx="101">
                  <c:v>-2.8824200003000757</c:v>
                </c:pt>
                <c:pt idx="102">
                  <c:v>-2.8484404152076226</c:v>
                </c:pt>
                <c:pt idx="103">
                  <c:v>-2.8319385493586262</c:v>
                </c:pt>
                <c:pt idx="104">
                  <c:v>-2.6374849510674085</c:v>
                </c:pt>
                <c:pt idx="105">
                  <c:v>-2.6398518160776745</c:v>
                </c:pt>
                <c:pt idx="106">
                  <c:v>-2.8640700585216496</c:v>
                </c:pt>
                <c:pt idx="107">
                  <c:v>-2.3384850523771519</c:v>
                </c:pt>
                <c:pt idx="108">
                  <c:v>-2.4580303387772844</c:v>
                </c:pt>
                <c:pt idx="109">
                  <c:v>-2.3586633582773451</c:v>
                </c:pt>
                <c:pt idx="110">
                  <c:v>-2.2166486164719617</c:v>
                </c:pt>
                <c:pt idx="111">
                  <c:v>-2.3491372269812012</c:v>
                </c:pt>
                <c:pt idx="112">
                  <c:v>-2.0096280163507574</c:v>
                </c:pt>
                <c:pt idx="113">
                  <c:v>-1.7965235900648762</c:v>
                </c:pt>
                <c:pt idx="114">
                  <c:v>-1.8779331336984471</c:v>
                </c:pt>
                <c:pt idx="115">
                  <c:v>-1.7409726790613684</c:v>
                </c:pt>
                <c:pt idx="116">
                  <c:v>-1.8982604994498466</c:v>
                </c:pt>
                <c:pt idx="117">
                  <c:v>-1.9169935073352959</c:v>
                </c:pt>
                <c:pt idx="118">
                  <c:v>-2.0468159396700378</c:v>
                </c:pt>
                <c:pt idx="119">
                  <c:v>-2.0234242083965088</c:v>
                </c:pt>
                <c:pt idx="120">
                  <c:v>-1.5035955285388996</c:v>
                </c:pt>
                <c:pt idx="121">
                  <c:v>-1.6081741923905131</c:v>
                </c:pt>
                <c:pt idx="122">
                  <c:v>-1.6912673940914658</c:v>
                </c:pt>
                <c:pt idx="123">
                  <c:v>-1.59322055928884</c:v>
                </c:pt>
                <c:pt idx="124">
                  <c:v>-1.835497255583455</c:v>
                </c:pt>
                <c:pt idx="125">
                  <c:v>-1.5495677717005565</c:v>
                </c:pt>
                <c:pt idx="126">
                  <c:v>-1.5528076483090996</c:v>
                </c:pt>
                <c:pt idx="127">
                  <c:v>-1.6032768307122163</c:v>
                </c:pt>
                <c:pt idx="128">
                  <c:v>-1.5259259084848804</c:v>
                </c:pt>
                <c:pt idx="129">
                  <c:v>-1.4963437321195865</c:v>
                </c:pt>
                <c:pt idx="130">
                  <c:v>-1.3527002585598773</c:v>
                </c:pt>
                <c:pt idx="131">
                  <c:v>-1.4674493600624796</c:v>
                </c:pt>
                <c:pt idx="132">
                  <c:v>-1.5749300172968976</c:v>
                </c:pt>
                <c:pt idx="133">
                  <c:v>-1.5076533402529293</c:v>
                </c:pt>
                <c:pt idx="134">
                  <c:v>-1.4372020158680283</c:v>
                </c:pt>
                <c:pt idx="135">
                  <c:v>-1.6425875945605422</c:v>
                </c:pt>
                <c:pt idx="136">
                  <c:v>-1.5308433135391093</c:v>
                </c:pt>
                <c:pt idx="137">
                  <c:v>-1.5375692956147866</c:v>
                </c:pt>
                <c:pt idx="138">
                  <c:v>-1.5768028464683592</c:v>
                </c:pt>
                <c:pt idx="139">
                  <c:v>-1.5698972350278004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7F1-4046-8C7F-A00E8692CEA5}"/>
            </c:ext>
          </c:extLst>
        </c:ser>
        <c:ser>
          <c:idx val="13"/>
          <c:order val="13"/>
          <c:tx>
            <c:strRef>
              <c:f>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累積報酬!$C$25:$EL$25</c:f>
              <c:numCache>
                <c:formatCode>General</c:formatCode>
                <c:ptCount val="140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  <c:pt idx="134">
                  <c:v>0.87683593248961955</c:v>
                </c:pt>
                <c:pt idx="135">
                  <c:v>0.85431558037554889</c:v>
                </c:pt>
                <c:pt idx="136">
                  <c:v>0.90782558744632169</c:v>
                </c:pt>
                <c:pt idx="137">
                  <c:v>0.94951285328388979</c:v>
                </c:pt>
                <c:pt idx="138">
                  <c:v>1.005708467398301</c:v>
                </c:pt>
                <c:pt idx="139">
                  <c:v>1.0346197866834097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7F1-4046-8C7F-A00E8692C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724271"/>
        <c:axId val="1592723023"/>
      </c:lineChart>
      <c:catAx>
        <c:axId val="159272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3023"/>
        <c:crosses val="autoZero"/>
        <c:auto val="1"/>
        <c:lblAlgn val="ctr"/>
        <c:lblOffset val="100"/>
        <c:noMultiLvlLbl val="0"/>
      </c:catAx>
      <c:valAx>
        <c:axId val="159272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427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64"/>
  <sheetViews>
    <sheetView topLeftCell="DU8" zoomScale="130" zoomScaleNormal="130" workbookViewId="0">
      <selection activeCell="EM12" sqref="EM12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0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5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5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5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5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5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5" x14ac:dyDescent="0.3">
      <c r="A10" s="20" t="s">
        <v>147</v>
      </c>
      <c r="B10" s="21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8">
        <v>10</v>
      </c>
      <c r="B12" s="18">
        <f t="shared" ref="B12:B24" si="10">ROUND($D$10/A12,0)</f>
        <v>105</v>
      </c>
      <c r="C12" s="3">
        <v>9.819950192441125E-2</v>
      </c>
      <c r="D12" s="3">
        <v>0.1028237995655711</v>
      </c>
      <c r="E12" s="3">
        <v>3.8261781428851373E-2</v>
      </c>
      <c r="F12" s="3">
        <v>7.3451094401049653E-3</v>
      </c>
      <c r="G12" s="3">
        <v>3.2772759918979898E-2</v>
      </c>
      <c r="H12" s="3">
        <v>4.3063012145177312E-2</v>
      </c>
      <c r="I12" s="3">
        <v>4.6611964090252929E-2</v>
      </c>
      <c r="J12" s="3">
        <v>5.6681659589527762E-2</v>
      </c>
      <c r="K12" s="3">
        <v>2.8025432629048191E-2</v>
      </c>
      <c r="L12" s="3">
        <v>3.4533577347064658E-2</v>
      </c>
      <c r="M12" s="3">
        <v>3.4064795266103093E-2</v>
      </c>
      <c r="N12" s="3">
        <v>6.2468604784639691E-2</v>
      </c>
      <c r="O12" s="3">
        <v>2.6262838934360731E-2</v>
      </c>
      <c r="P12" s="3">
        <v>1.6299964333453789E-2</v>
      </c>
      <c r="Q12" s="3">
        <v>1.7014637248506749E-2</v>
      </c>
      <c r="R12" s="3">
        <v>1.725127340853927E-3</v>
      </c>
      <c r="S12" s="3">
        <v>4.0481855983298447E-2</v>
      </c>
      <c r="T12" s="3">
        <v>4.7307127974092249E-2</v>
      </c>
      <c r="U12" s="3">
        <v>2.0802966490777591E-2</v>
      </c>
      <c r="V12" s="3">
        <v>4.4981645440653792E-2</v>
      </c>
      <c r="W12" s="3">
        <v>5.8599398969786803E-2</v>
      </c>
      <c r="X12" s="3">
        <v>0.12042309580878641</v>
      </c>
      <c r="Y12" s="3">
        <v>3.247838058625762E-2</v>
      </c>
      <c r="Z12" s="3">
        <v>5.753009607811399E-2</v>
      </c>
      <c r="AA12" s="3">
        <v>3.1866296841282657E-2</v>
      </c>
      <c r="AB12" s="3">
        <v>3.110179415238612E-2</v>
      </c>
      <c r="AC12" s="3">
        <v>3.7252425944235897E-2</v>
      </c>
      <c r="AD12" s="3">
        <v>9.1325010216066101E-3</v>
      </c>
      <c r="AE12" s="3">
        <v>4.4953943786551237E-2</v>
      </c>
      <c r="AF12" s="3">
        <v>5.0075683715259417E-2</v>
      </c>
      <c r="AG12" s="3">
        <v>3.765715262583455E-2</v>
      </c>
      <c r="AH12" s="3">
        <v>1.7150195399946711E-2</v>
      </c>
      <c r="AI12" s="3">
        <v>7.7407002463763114E-3</v>
      </c>
      <c r="AJ12" s="3">
        <v>1.8902487346677922E-2</v>
      </c>
      <c r="AK12" s="3">
        <v>4.1114693252788923E-2</v>
      </c>
      <c r="AL12" s="3">
        <v>3.6103996712563403E-2</v>
      </c>
      <c r="AM12" s="3">
        <v>2.5435995419533428E-2</v>
      </c>
      <c r="AN12" s="3">
        <v>5.9852191203249902E-2</v>
      </c>
      <c r="AO12" s="3">
        <v>2.8904675764925891E-2</v>
      </c>
      <c r="AP12" s="3">
        <v>2.153954826191519E-2</v>
      </c>
      <c r="AQ12" s="3">
        <v>1.4732133756920059E-2</v>
      </c>
      <c r="AR12" s="3">
        <v>3.0774646879580859E-2</v>
      </c>
      <c r="AS12" s="3">
        <v>2.9038603307229179E-2</v>
      </c>
      <c r="AT12" s="3">
        <v>7.1815369298134549E-2</v>
      </c>
      <c r="AU12" s="3">
        <v>6.3509530041740314E-2</v>
      </c>
      <c r="AV12" s="3">
        <v>5.9343044862035801E-2</v>
      </c>
      <c r="AW12" s="3">
        <v>1.101788823573518E-2</v>
      </c>
      <c r="AX12" s="3">
        <v>5.579031389003495E-2</v>
      </c>
      <c r="AY12" s="3">
        <v>2.0705389634312239E-2</v>
      </c>
      <c r="AZ12" s="3">
        <v>5.6338485107914289E-2</v>
      </c>
      <c r="BA12" s="3">
        <v>7.0623312091338597E-2</v>
      </c>
      <c r="BB12" s="3">
        <v>3.7731301437770592E-2</v>
      </c>
      <c r="BC12" s="3">
        <v>3.7833203905467132E-3</v>
      </c>
      <c r="BD12" s="3">
        <v>5.068041266858643E-2</v>
      </c>
      <c r="BE12" s="3">
        <v>2.762067662305558E-2</v>
      </c>
      <c r="BF12" s="3">
        <v>4.5781102257072909E-2</v>
      </c>
      <c r="BG12" s="3">
        <v>5.1073240104640191E-2</v>
      </c>
      <c r="BH12" s="3">
        <v>3.4422220615853399E-2</v>
      </c>
      <c r="BI12" s="3">
        <v>5.8150960934774433E-2</v>
      </c>
      <c r="BJ12" s="3">
        <v>3.618000748439431E-2</v>
      </c>
      <c r="BK12" s="3">
        <v>1.7434305485757699E-2</v>
      </c>
      <c r="BL12" s="3">
        <v>2.712414577953173E-2</v>
      </c>
      <c r="BM12" s="3">
        <v>4.030159961880006E-2</v>
      </c>
      <c r="BN12" s="3">
        <v>3.0037922779194801E-2</v>
      </c>
      <c r="BO12" s="3">
        <v>2.4587825224843561E-2</v>
      </c>
      <c r="BP12" s="3">
        <v>2.4810168456218851E-2</v>
      </c>
      <c r="BQ12" s="3">
        <v>5.6548259598195923E-3</v>
      </c>
      <c r="BR12" s="3">
        <v>5.9753167010173969E-2</v>
      </c>
      <c r="BS12" s="3">
        <v>2.9803010278608589E-2</v>
      </c>
      <c r="BT12" s="3">
        <v>2.1305859567472531E-2</v>
      </c>
      <c r="BU12" s="3">
        <v>3.5413040825291738E-2</v>
      </c>
      <c r="BV12" s="3">
        <v>3.4554758136680172E-2</v>
      </c>
      <c r="BW12" s="3">
        <v>3.8348648089827499E-2</v>
      </c>
      <c r="BX12" s="3">
        <v>1.819898621954286E-2</v>
      </c>
      <c r="BY12" s="3">
        <v>5.1109522839207937E-2</v>
      </c>
      <c r="BZ12" s="3">
        <v>4.0874328213040517E-2</v>
      </c>
      <c r="CA12" s="3">
        <v>3.3013411038820183E-2</v>
      </c>
      <c r="CB12" s="3">
        <v>5.6271326942508179E-2</v>
      </c>
      <c r="CC12" s="3">
        <v>1.9545734350855711E-2</v>
      </c>
      <c r="CD12" s="3">
        <v>0.1013115192695928</v>
      </c>
      <c r="CE12" s="3">
        <v>0.14141654933334241</v>
      </c>
      <c r="CF12" s="3">
        <v>3.2181788455636733E-2</v>
      </c>
      <c r="CG12" s="3">
        <v>4.9661345934379403E-2</v>
      </c>
      <c r="CH12" s="3">
        <v>6.7832672140520189E-2</v>
      </c>
      <c r="CI12" s="3">
        <v>3.0588249323561779E-2</v>
      </c>
      <c r="CJ12" s="3">
        <v>5.8035853225111463E-2</v>
      </c>
      <c r="CK12" s="3">
        <v>6.0243583687149653E-2</v>
      </c>
      <c r="CL12" s="3">
        <v>0.15371706302118329</v>
      </c>
      <c r="CM12" s="3">
        <v>6.4430829727690653E-2</v>
      </c>
      <c r="CN12" s="3">
        <v>9.7750475063557968E-2</v>
      </c>
      <c r="CO12" s="3">
        <v>6.832087101801862E-2</v>
      </c>
      <c r="CP12" s="3">
        <v>4.6051239911292612E-2</v>
      </c>
      <c r="CQ12" s="3">
        <v>5.7210856477400672E-2</v>
      </c>
      <c r="CR12" s="3">
        <v>4.7945989568147183E-2</v>
      </c>
      <c r="CS12" s="3">
        <v>5.2591903544904721E-3</v>
      </c>
      <c r="CT12" s="3">
        <v>3.1936084663007618E-2</v>
      </c>
      <c r="CU12" s="3">
        <v>7.6750601305556526E-2</v>
      </c>
      <c r="CV12" s="3">
        <v>6.8454072713461059E-2</v>
      </c>
      <c r="CW12" s="3">
        <v>2.5947070250701171E-2</v>
      </c>
      <c r="CX12" s="3">
        <v>7.0272156267845637E-2</v>
      </c>
      <c r="CY12" s="3">
        <v>2.6011705475452819E-2</v>
      </c>
      <c r="CZ12" s="3">
        <v>8.8361067051985778E-2</v>
      </c>
      <c r="DA12" s="3">
        <v>3.0372587723068022E-2</v>
      </c>
      <c r="DB12" s="3">
        <v>7.6905201867884826E-2</v>
      </c>
      <c r="DC12" s="3">
        <v>3.0502687371468249E-2</v>
      </c>
      <c r="DD12" s="3">
        <v>5.9350421706332757E-2</v>
      </c>
      <c r="DE12" s="3">
        <v>1.9852691090063181E-2</v>
      </c>
      <c r="DF12" s="3">
        <v>4.89042761722863E-2</v>
      </c>
      <c r="DG12" s="3">
        <v>4.3686975841222428E-2</v>
      </c>
      <c r="DH12" s="3">
        <v>3.2463432215984377E-2</v>
      </c>
      <c r="DI12" s="3">
        <v>5.3725325267119428E-2</v>
      </c>
      <c r="DJ12" s="3">
        <v>2.1108184890481701E-2</v>
      </c>
      <c r="DK12" s="3">
        <v>3.4140900507271331E-2</v>
      </c>
      <c r="DL12" s="3">
        <v>2.6113586563583091E-2</v>
      </c>
      <c r="DM12" s="3">
        <v>2.1984777876655929E-2</v>
      </c>
      <c r="DN12" s="3">
        <v>3.0259151157478199E-2</v>
      </c>
      <c r="DO12" s="3">
        <v>2.337564400492867E-2</v>
      </c>
      <c r="DP12" s="3">
        <v>6.7273186907755675E-2</v>
      </c>
      <c r="DQ12" s="3">
        <v>6.1902356426025963E-2</v>
      </c>
      <c r="DR12" s="3">
        <v>2.1610691704086211E-2</v>
      </c>
      <c r="DS12" s="3">
        <v>8.0446065147505547E-2</v>
      </c>
      <c r="DT12" s="3">
        <v>2.6928946729697392E-2</v>
      </c>
      <c r="DU12" s="3">
        <v>5.0063195807060347E-2</v>
      </c>
      <c r="DV12" s="3">
        <v>5.2446977379795617E-2</v>
      </c>
      <c r="DW12" s="3">
        <v>5.7897224242072588E-2</v>
      </c>
      <c r="DX12" s="3">
        <v>4.5674414206060603E-2</v>
      </c>
      <c r="DY12" s="3">
        <v>4.8289115064510529E-2</v>
      </c>
      <c r="DZ12" s="3">
        <v>1.3599532274000301E-2</v>
      </c>
      <c r="EA12" s="3">
        <v>0.1168507405688024</v>
      </c>
      <c r="EB12" s="3">
        <v>2.8071677153619259E-2</v>
      </c>
      <c r="EC12" s="3">
        <v>2.6194942478787241E-2</v>
      </c>
      <c r="ED12" s="3">
        <v>6.1427254421337493E-2</v>
      </c>
      <c r="EE12" s="3">
        <v>2.8166727241797949E-2</v>
      </c>
      <c r="EF12" s="3">
        <v>2.1832482433882229E-2</v>
      </c>
      <c r="EG12" s="3">
        <v>9.7829677873400939E-2</v>
      </c>
      <c r="EH12" s="3">
        <v>2.2258682538773271E-2</v>
      </c>
      <c r="EI12" s="3">
        <v>8.9612566733749469E-3</v>
      </c>
      <c r="EJ12" s="3">
        <v>6.8011013813901997E-2</v>
      </c>
      <c r="EK12" s="3">
        <v>5.0118013209412449E-2</v>
      </c>
      <c r="EL12" s="3">
        <v>4.901788119357646E-2</v>
      </c>
      <c r="EM12">
        <f t="shared" ref="EM12:EM25" si="11">AVERAGE(C12:EL12)</f>
        <v>4.3800762110255888E-2</v>
      </c>
      <c r="EN12">
        <f t="shared" ref="EN12:EN25" si="12">STDEV(C12:EL12)</f>
        <v>2.6386340338935301E-2</v>
      </c>
      <c r="EO12">
        <f t="shared" ref="EO12:EO25" si="13">EM12/EN12</f>
        <v>1.6599786687972078</v>
      </c>
    </row>
    <row r="13" spans="1:145" x14ac:dyDescent="0.3">
      <c r="A13" s="18">
        <v>20</v>
      </c>
      <c r="B13" s="18">
        <f t="shared" si="10"/>
        <v>53</v>
      </c>
      <c r="C13" s="3">
        <v>0.12107776166471761</v>
      </c>
      <c r="D13" s="3">
        <v>8.3505281944260726E-2</v>
      </c>
      <c r="E13" s="3">
        <v>4.9219108515422091E-2</v>
      </c>
      <c r="F13" s="3">
        <v>3.7987155428196459E-2</v>
      </c>
      <c r="G13" s="3">
        <v>1.6784223847264679E-2</v>
      </c>
      <c r="H13" s="3">
        <v>2.925126379166074E-2</v>
      </c>
      <c r="I13" s="3">
        <v>4.943610168148227E-2</v>
      </c>
      <c r="J13" s="3">
        <v>5.9989715914165423E-2</v>
      </c>
      <c r="K13" s="3">
        <v>1.7789948863865229E-2</v>
      </c>
      <c r="L13" s="3">
        <v>1.8673571245246851E-2</v>
      </c>
      <c r="M13" s="3">
        <v>1.4532356499670031E-2</v>
      </c>
      <c r="N13" s="3">
        <v>8.3003656986312194E-2</v>
      </c>
      <c r="O13" s="3">
        <v>1.683525059847514E-2</v>
      </c>
      <c r="P13" s="3">
        <v>2.0395862291808679E-2</v>
      </c>
      <c r="Q13" s="3">
        <v>1.0565631227250049E-2</v>
      </c>
      <c r="R13" s="3">
        <v>-3.330400307077389E-3</v>
      </c>
      <c r="S13" s="3">
        <v>6.7239971359634526E-2</v>
      </c>
      <c r="T13" s="3">
        <v>7.0405105572706045E-2</v>
      </c>
      <c r="U13" s="3">
        <v>1.461799562874341E-2</v>
      </c>
      <c r="V13" s="3">
        <v>3.5925228194693667E-2</v>
      </c>
      <c r="W13" s="3">
        <v>7.9691017471193656E-2</v>
      </c>
      <c r="X13" s="3">
        <v>0.1392784985278113</v>
      </c>
      <c r="Y13" s="3">
        <v>4.1377915347424278E-2</v>
      </c>
      <c r="Z13" s="3">
        <v>7.0580147632667553E-2</v>
      </c>
      <c r="AA13" s="3">
        <v>5.0692982307539547E-2</v>
      </c>
      <c r="AB13" s="3">
        <v>4.5772412504608451E-2</v>
      </c>
      <c r="AC13" s="3">
        <v>2.7060179699185449E-2</v>
      </c>
      <c r="AD13" s="3">
        <v>-3.0083609458916309E-3</v>
      </c>
      <c r="AE13" s="3">
        <v>6.591872630119848E-2</v>
      </c>
      <c r="AF13" s="3">
        <v>6.7638221601691306E-2</v>
      </c>
      <c r="AG13" s="3">
        <v>4.3719681480949388E-2</v>
      </c>
      <c r="AH13" s="3">
        <v>2.11394893613715E-3</v>
      </c>
      <c r="AI13" s="3">
        <v>1.9590206925445809E-2</v>
      </c>
      <c r="AJ13" s="3">
        <v>-9.9915601526937205E-3</v>
      </c>
      <c r="AK13" s="3">
        <v>6.3693124550481303E-2</v>
      </c>
      <c r="AL13" s="3">
        <v>3.4676361246245388E-2</v>
      </c>
      <c r="AM13" s="3">
        <v>2.8672215639817301E-2</v>
      </c>
      <c r="AN13" s="3">
        <v>9.6939841924799333E-2</v>
      </c>
      <c r="AO13" s="3">
        <v>3.1449631640308673E-2</v>
      </c>
      <c r="AP13" s="3">
        <v>4.5398469090540697E-2</v>
      </c>
      <c r="AQ13" s="3">
        <v>1.5937379863784452E-2</v>
      </c>
      <c r="AR13" s="3">
        <v>3.3598562231580288E-2</v>
      </c>
      <c r="AS13" s="3">
        <v>3.4877568004709689E-2</v>
      </c>
      <c r="AT13" s="3">
        <v>9.4929151988845523E-2</v>
      </c>
      <c r="AU13" s="3">
        <v>7.3018129783138763E-2</v>
      </c>
      <c r="AV13" s="3">
        <v>9.6710763821907048E-2</v>
      </c>
      <c r="AW13" s="3">
        <v>1.626612204698662E-2</v>
      </c>
      <c r="AX13" s="3">
        <v>5.210077315508603E-2</v>
      </c>
      <c r="AY13" s="3">
        <v>8.9780822180368768E-3</v>
      </c>
      <c r="AZ13" s="3">
        <v>6.5669863324838457E-2</v>
      </c>
      <c r="BA13" s="3">
        <v>7.3179702345927675E-2</v>
      </c>
      <c r="BB13" s="3">
        <v>1.6680252757459539E-2</v>
      </c>
      <c r="BC13" s="3">
        <v>6.1704012924434642E-3</v>
      </c>
      <c r="BD13" s="3">
        <v>3.7273885501137201E-2</v>
      </c>
      <c r="BE13" s="3">
        <v>3.6756945291437193E-2</v>
      </c>
      <c r="BF13" s="3">
        <v>0.1052809874119202</v>
      </c>
      <c r="BG13" s="3">
        <v>8.5439587783109561E-2</v>
      </c>
      <c r="BH13" s="3">
        <v>4.1179773134603408E-2</v>
      </c>
      <c r="BI13" s="3">
        <v>5.6277194494778103E-2</v>
      </c>
      <c r="BJ13" s="3">
        <v>4.6151925827285258E-2</v>
      </c>
      <c r="BK13" s="3">
        <v>3.2887619306840143E-2</v>
      </c>
      <c r="BL13" s="3">
        <v>3.8941058780349737E-2</v>
      </c>
      <c r="BM13" s="3">
        <v>4.6612515564975428E-2</v>
      </c>
      <c r="BN13" s="3">
        <v>2.7466362871216281E-2</v>
      </c>
      <c r="BO13" s="3">
        <v>4.1090334773843627E-2</v>
      </c>
      <c r="BP13" s="3">
        <v>2.022167930850018E-2</v>
      </c>
      <c r="BQ13" s="3">
        <v>2.067169344822321E-2</v>
      </c>
      <c r="BR13" s="3">
        <v>7.9435373591734554E-2</v>
      </c>
      <c r="BS13" s="3">
        <v>3.4048716358733452E-2</v>
      </c>
      <c r="BT13" s="3">
        <v>1.2182761544491581E-2</v>
      </c>
      <c r="BU13" s="3">
        <v>6.0633378589253037E-2</v>
      </c>
      <c r="BV13" s="3">
        <v>4.9478740935611401E-2</v>
      </c>
      <c r="BW13" s="3">
        <v>5.995489125618865E-2</v>
      </c>
      <c r="BX13" s="3">
        <v>2.4517821999621419E-2</v>
      </c>
      <c r="BY13" s="3">
        <v>4.8846200088265852E-2</v>
      </c>
      <c r="BZ13" s="3">
        <v>6.7196131197939102E-2</v>
      </c>
      <c r="CA13" s="3">
        <v>2.6303578185823209E-2</v>
      </c>
      <c r="CB13" s="3">
        <v>0.1109042348135552</v>
      </c>
      <c r="CC13" s="3">
        <v>-1.0716720914463599E-3</v>
      </c>
      <c r="CD13" s="3">
        <v>0.1022527774540459</v>
      </c>
      <c r="CE13" s="3">
        <v>0.18420231782972071</v>
      </c>
      <c r="CF13" s="3">
        <v>4.7483484975403521E-2</v>
      </c>
      <c r="CG13" s="3">
        <v>4.9202652743660917E-2</v>
      </c>
      <c r="CH13" s="3">
        <v>4.9554743070930649E-2</v>
      </c>
      <c r="CI13" s="3">
        <v>5.0093246397575307E-2</v>
      </c>
      <c r="CJ13" s="3">
        <v>6.9084695061927937E-2</v>
      </c>
      <c r="CK13" s="3">
        <v>6.5517118371520411E-2</v>
      </c>
      <c r="CL13" s="3">
        <v>0.1607960949578546</v>
      </c>
      <c r="CM13" s="3">
        <v>8.2791769490888206E-2</v>
      </c>
      <c r="CN13" s="3">
        <v>0.1136584212325862</v>
      </c>
      <c r="CO13" s="3">
        <v>7.9115499032430023E-2</v>
      </c>
      <c r="CP13" s="3">
        <v>6.6793736060457659E-2</v>
      </c>
      <c r="CQ13" s="3">
        <v>5.6641732139420711E-2</v>
      </c>
      <c r="CR13" s="3">
        <v>7.1519219412671517E-2</v>
      </c>
      <c r="CS13" s="3">
        <v>9.8166212820124388E-3</v>
      </c>
      <c r="CT13" s="3">
        <v>2.897168250597796E-2</v>
      </c>
      <c r="CU13" s="3">
        <v>0.11178805156709901</v>
      </c>
      <c r="CV13" s="3">
        <v>7.6907356213282624E-2</v>
      </c>
      <c r="CW13" s="3">
        <v>3.3795594047858958E-2</v>
      </c>
      <c r="CX13" s="3">
        <v>7.9685442390190903E-2</v>
      </c>
      <c r="CY13" s="3">
        <v>5.6233685908411518E-2</v>
      </c>
      <c r="CZ13" s="3">
        <v>8.0348889372885493E-2</v>
      </c>
      <c r="DA13" s="3">
        <v>1.482978302679655E-2</v>
      </c>
      <c r="DB13" s="3">
        <v>7.8082554401336171E-2</v>
      </c>
      <c r="DC13" s="3">
        <v>2.516539273218844E-2</v>
      </c>
      <c r="DD13" s="3">
        <v>7.1693271991635873E-2</v>
      </c>
      <c r="DE13" s="3">
        <v>1.463266600119131E-2</v>
      </c>
      <c r="DF13" s="3">
        <v>6.3934165702345558E-2</v>
      </c>
      <c r="DG13" s="3">
        <v>3.7529260637764378E-2</v>
      </c>
      <c r="DH13" s="3">
        <v>3.9090407329143158E-2</v>
      </c>
      <c r="DI13" s="3">
        <v>7.1009667649761563E-2</v>
      </c>
      <c r="DJ13" s="3">
        <v>6.0368666565386231E-3</v>
      </c>
      <c r="DK13" s="3">
        <v>2.0804992587120239E-2</v>
      </c>
      <c r="DL13" s="3">
        <v>3.1928366927177848E-2</v>
      </c>
      <c r="DM13" s="3">
        <v>8.0990213384564986E-3</v>
      </c>
      <c r="DN13" s="3">
        <v>-4.1533676536651548E-4</v>
      </c>
      <c r="DO13" s="3">
        <v>4.1067716545564847E-2</v>
      </c>
      <c r="DP13" s="3">
        <v>7.5241348251073523E-2</v>
      </c>
      <c r="DQ13" s="3">
        <v>6.1220595722963858E-2</v>
      </c>
      <c r="DR13" s="3">
        <v>2.0233316508843229E-2</v>
      </c>
      <c r="DS13" s="3">
        <v>7.130596464068821E-2</v>
      </c>
      <c r="DT13" s="3">
        <v>2.7375112753663122E-2</v>
      </c>
      <c r="DU13" s="3">
        <v>1.231375026893985E-2</v>
      </c>
      <c r="DV13" s="3">
        <v>7.239771502328593E-2</v>
      </c>
      <c r="DW13" s="3">
        <v>5.8892837092881692E-2</v>
      </c>
      <c r="DX13" s="3">
        <v>6.0352982619674728E-2</v>
      </c>
      <c r="DY13" s="3">
        <v>8.7275153477772885E-2</v>
      </c>
      <c r="DZ13" s="3">
        <v>1.7528666783201009E-2</v>
      </c>
      <c r="EA13" s="3">
        <v>0.12694826755309729</v>
      </c>
      <c r="EB13" s="3">
        <v>5.7080533181651807E-2</v>
      </c>
      <c r="EC13" s="3">
        <v>4.0940281642171762E-2</v>
      </c>
      <c r="ED13" s="3">
        <v>6.5938452986503679E-2</v>
      </c>
      <c r="EE13" s="3">
        <v>3.7157511717812938E-2</v>
      </c>
      <c r="EF13" s="3">
        <v>3.5981928125412302E-2</v>
      </c>
      <c r="EG13" s="3">
        <v>0.1515491861230315</v>
      </c>
      <c r="EH13" s="3">
        <v>-3.4030752874321599E-3</v>
      </c>
      <c r="EI13" s="3">
        <v>1.362226048758707E-2</v>
      </c>
      <c r="EJ13" s="3">
        <v>9.1234959608413865E-2</v>
      </c>
      <c r="EK13" s="3">
        <v>4.3586137420909263E-2</v>
      </c>
      <c r="EL13" s="3">
        <v>6.6108718697781149E-2</v>
      </c>
      <c r="EM13">
        <f t="shared" si="11"/>
        <v>5.066137970829352E-2</v>
      </c>
      <c r="EN13">
        <f t="shared" si="12"/>
        <v>3.4735323932311747E-2</v>
      </c>
      <c r="EO13">
        <f t="shared" si="13"/>
        <v>1.4584974018672363</v>
      </c>
    </row>
    <row r="14" spans="1:145" x14ac:dyDescent="0.3">
      <c r="A14" s="18">
        <v>50</v>
      </c>
      <c r="B14" s="18">
        <f t="shared" si="10"/>
        <v>21</v>
      </c>
      <c r="C14" s="3">
        <v>0.13220513330973041</v>
      </c>
      <c r="D14" s="3">
        <v>0.1158127989469112</v>
      </c>
      <c r="E14" s="3">
        <v>8.3639426142282008E-2</v>
      </c>
      <c r="F14" s="3">
        <v>4.7441583885534683E-2</v>
      </c>
      <c r="G14" s="3">
        <v>7.5085370632261769E-2</v>
      </c>
      <c r="H14" s="3">
        <v>7.6211003064836511E-2</v>
      </c>
      <c r="I14" s="3">
        <v>8.2313590722530278E-2</v>
      </c>
      <c r="J14" s="3">
        <v>6.4091148046200197E-2</v>
      </c>
      <c r="K14" s="3">
        <v>3.8115639066763518E-2</v>
      </c>
      <c r="L14" s="3">
        <v>3.6882666974438871E-2</v>
      </c>
      <c r="M14" s="3">
        <v>-2.2751694019537928E-3</v>
      </c>
      <c r="N14" s="3">
        <v>0.14590390450682059</v>
      </c>
      <c r="O14" s="3">
        <v>-6.9838309719343333E-3</v>
      </c>
      <c r="P14" s="3">
        <v>5.5715035022466962E-2</v>
      </c>
      <c r="Q14" s="3">
        <v>3.5876749581343018E-3</v>
      </c>
      <c r="R14" s="3">
        <v>-3.2911964443531959E-3</v>
      </c>
      <c r="S14" s="3">
        <v>0.1395841093461111</v>
      </c>
      <c r="T14" s="3">
        <v>4.3640636712842663E-2</v>
      </c>
      <c r="U14" s="3">
        <v>-1.8672251333920802E-2</v>
      </c>
      <c r="V14" s="3">
        <v>1.9356687910394469E-2</v>
      </c>
      <c r="W14" s="3">
        <v>0.1010800071578183</v>
      </c>
      <c r="X14" s="3">
        <v>0.15214957883971131</v>
      </c>
      <c r="Y14" s="3">
        <v>4.4544401368763753E-2</v>
      </c>
      <c r="Z14" s="3">
        <v>5.0537711983128723E-2</v>
      </c>
      <c r="AA14" s="3">
        <v>9.6850949783866311E-2</v>
      </c>
      <c r="AB14" s="3">
        <v>6.9227714312762256E-2</v>
      </c>
      <c r="AC14" s="3">
        <v>-2.250786095635868E-3</v>
      </c>
      <c r="AD14" s="3">
        <v>6.9530090273623004E-3</v>
      </c>
      <c r="AE14" s="3">
        <v>0.1082963843164074</v>
      </c>
      <c r="AF14" s="3">
        <v>7.6843366101025087E-2</v>
      </c>
      <c r="AG14" s="3">
        <v>2.8655986331801591E-2</v>
      </c>
      <c r="AH14" s="3">
        <v>-1.011933001720745E-2</v>
      </c>
      <c r="AI14" s="3">
        <v>-2.7402985925398929E-2</v>
      </c>
      <c r="AJ14" s="3">
        <v>7.7624249253961733E-3</v>
      </c>
      <c r="AK14" s="3">
        <v>5.8451122638718933E-2</v>
      </c>
      <c r="AL14" s="3">
        <v>4.2015348377505549E-2</v>
      </c>
      <c r="AM14" s="3">
        <v>5.075574272085917E-2</v>
      </c>
      <c r="AN14" s="3">
        <v>0.1044155732278423</v>
      </c>
      <c r="AO14" s="3">
        <v>3.2604667782996637E-2</v>
      </c>
      <c r="AP14" s="3">
        <v>5.4501731434774173E-2</v>
      </c>
      <c r="AQ14" s="3">
        <v>1.9665685276977232E-2</v>
      </c>
      <c r="AR14" s="3">
        <v>6.2379456489060667E-2</v>
      </c>
      <c r="AS14" s="3">
        <v>-1.3478001554976559E-2</v>
      </c>
      <c r="AT14" s="3">
        <v>0.13781441350398549</v>
      </c>
      <c r="AU14" s="3">
        <v>0.10970669075879751</v>
      </c>
      <c r="AV14" s="3">
        <v>0.1107126743226524</v>
      </c>
      <c r="AW14" s="3">
        <v>6.5259550482450884E-2</v>
      </c>
      <c r="AX14" s="3">
        <v>4.0769983534298428E-2</v>
      </c>
      <c r="AY14" s="3">
        <v>1.71930441054381E-2</v>
      </c>
      <c r="AZ14" s="3">
        <v>5.3410775043785819E-3</v>
      </c>
      <c r="BA14" s="3">
        <v>9.1311504612641051E-2</v>
      </c>
      <c r="BB14" s="3">
        <v>7.7818593633148289E-2</v>
      </c>
      <c r="BC14" s="3">
        <v>2.052320405610537E-2</v>
      </c>
      <c r="BD14" s="3">
        <v>2.7350925499414751E-2</v>
      </c>
      <c r="BE14" s="3">
        <v>7.1812117572027559E-2</v>
      </c>
      <c r="BF14" s="3">
        <v>0.1572912263866483</v>
      </c>
      <c r="BG14" s="3">
        <v>0.12707302591464789</v>
      </c>
      <c r="BH14" s="3">
        <v>6.4711625059727329E-2</v>
      </c>
      <c r="BI14" s="3">
        <v>3.008741729199943E-2</v>
      </c>
      <c r="BJ14" s="3">
        <v>2.4895583118334039E-2</v>
      </c>
      <c r="BK14" s="3">
        <v>-2.104432704364215E-2</v>
      </c>
      <c r="BL14" s="3">
        <v>3.2503785982039207E-2</v>
      </c>
      <c r="BM14" s="3">
        <v>3.292116482344528E-2</v>
      </c>
      <c r="BN14" s="3">
        <v>1.120590310238251E-2</v>
      </c>
      <c r="BO14" s="3">
        <v>2.4215815950696402E-2</v>
      </c>
      <c r="BP14" s="3">
        <v>-4.8228295466902868E-2</v>
      </c>
      <c r="BQ14" s="3">
        <v>7.4654789912314279E-3</v>
      </c>
      <c r="BR14" s="3">
        <v>7.9846846103030542E-2</v>
      </c>
      <c r="BS14" s="3">
        <v>2.961161518074365E-2</v>
      </c>
      <c r="BT14" s="3">
        <v>-1.6902937130368952E-2</v>
      </c>
      <c r="BU14" s="3">
        <v>0.1073950379134682</v>
      </c>
      <c r="BV14" s="3">
        <v>8.1081006290671873E-2</v>
      </c>
      <c r="BW14" s="3">
        <v>9.4813186193525342E-2</v>
      </c>
      <c r="BX14" s="3">
        <v>-3.9873386003625496E-3</v>
      </c>
      <c r="BY14" s="3">
        <v>9.8203765625875183E-2</v>
      </c>
      <c r="BZ14" s="3">
        <v>8.1435134160571701E-2</v>
      </c>
      <c r="CA14" s="3">
        <v>-1.530081439883035E-2</v>
      </c>
      <c r="CB14" s="3">
        <v>0.1117942463201053</v>
      </c>
      <c r="CC14" s="3">
        <v>9.4556515578385625E-3</v>
      </c>
      <c r="CD14" s="3">
        <v>8.7991279560385216E-2</v>
      </c>
      <c r="CE14" s="3">
        <v>0.20666802382430291</v>
      </c>
      <c r="CF14" s="3">
        <v>7.7361645537265072E-2</v>
      </c>
      <c r="CG14" s="3">
        <v>6.5160968394517182E-2</v>
      </c>
      <c r="CH14" s="3">
        <v>5.8613306871574657E-2</v>
      </c>
      <c r="CI14" s="3">
        <v>0.113844214471976</v>
      </c>
      <c r="CJ14" s="3">
        <v>6.1437989896404657E-2</v>
      </c>
      <c r="CK14" s="3">
        <v>5.3942692127080083E-2</v>
      </c>
      <c r="CL14" s="3">
        <v>0.20644370301115531</v>
      </c>
      <c r="CM14" s="3">
        <v>9.007073006534988E-2</v>
      </c>
      <c r="CN14" s="3">
        <v>0.21436197134711521</v>
      </c>
      <c r="CO14" s="3">
        <v>0.17790311701942119</v>
      </c>
      <c r="CP14" s="3">
        <v>6.1247190558246081E-2</v>
      </c>
      <c r="CQ14" s="3">
        <v>1.6983985983403772E-2</v>
      </c>
      <c r="CR14" s="3">
        <v>4.9620609800332199E-2</v>
      </c>
      <c r="CS14" s="3">
        <v>1.216908669153303E-2</v>
      </c>
      <c r="CT14" s="3">
        <v>7.4203932055766031E-2</v>
      </c>
      <c r="CU14" s="3">
        <v>0.13049331926284929</v>
      </c>
      <c r="CV14" s="3">
        <v>0.13473974763177771</v>
      </c>
      <c r="CW14" s="3">
        <v>4.1207943299450843E-2</v>
      </c>
      <c r="CX14" s="3">
        <v>7.88806266203783E-2</v>
      </c>
      <c r="CY14" s="3">
        <v>0.1096716237662924</v>
      </c>
      <c r="CZ14" s="3">
        <v>6.7028483584619769E-2</v>
      </c>
      <c r="DA14" s="3">
        <v>4.7399854232221567E-2</v>
      </c>
      <c r="DB14" s="3">
        <v>8.363887939681891E-2</v>
      </c>
      <c r="DC14" s="3">
        <v>1.2420966394114521E-2</v>
      </c>
      <c r="DD14" s="3">
        <v>9.873476841909308E-2</v>
      </c>
      <c r="DE14" s="3">
        <v>5.9073402295605579E-2</v>
      </c>
      <c r="DF14" s="3">
        <v>0.16325273418346661</v>
      </c>
      <c r="DG14" s="3">
        <v>4.3741274114486028E-2</v>
      </c>
      <c r="DH14" s="3">
        <v>6.2926025887418816E-2</v>
      </c>
      <c r="DI14" s="3">
        <v>0.1289200992298529</v>
      </c>
      <c r="DJ14" s="3">
        <v>1.377716786830015E-2</v>
      </c>
      <c r="DK14" s="3">
        <v>3.5525438533042929E-2</v>
      </c>
      <c r="DL14" s="3">
        <v>3.9872633242987357E-2</v>
      </c>
      <c r="DM14" s="3">
        <v>1.911646502345786E-2</v>
      </c>
      <c r="DN14" s="3">
        <v>4.221925511219779E-2</v>
      </c>
      <c r="DO14" s="3">
        <v>6.749155499135967E-2</v>
      </c>
      <c r="DP14" s="3">
        <v>8.2099872748817915E-2</v>
      </c>
      <c r="DQ14" s="3">
        <v>3.2645533016168099E-2</v>
      </c>
      <c r="DR14" s="3">
        <v>5.3613768849205268E-2</v>
      </c>
      <c r="DS14" s="3">
        <v>5.3892648625682042E-2</v>
      </c>
      <c r="DT14" s="3">
        <v>1.512528510044751E-2</v>
      </c>
      <c r="DU14" s="3">
        <v>5.4849650188722218E-2</v>
      </c>
      <c r="DV14" s="3">
        <v>0.1049533206338409</v>
      </c>
      <c r="DW14" s="3">
        <v>7.6295079753436107E-2</v>
      </c>
      <c r="DX14" s="3">
        <v>7.1555654240635189E-2</v>
      </c>
      <c r="DY14" s="3">
        <v>0.14810313433672609</v>
      </c>
      <c r="DZ14" s="3">
        <v>1.3236454912968539E-2</v>
      </c>
      <c r="EA14" s="3">
        <v>6.8284483222967818E-2</v>
      </c>
      <c r="EB14" s="3">
        <v>8.4619816663084185E-2</v>
      </c>
      <c r="EC14" s="3">
        <v>1.747393549534236E-2</v>
      </c>
      <c r="ED14" s="3">
        <v>9.8937325993809042E-2</v>
      </c>
      <c r="EE14" s="3">
        <v>1.253499266974247E-2</v>
      </c>
      <c r="EF14" s="3">
        <v>5.9075572986686441E-2</v>
      </c>
      <c r="EG14" s="3">
        <v>0.21599686931788431</v>
      </c>
      <c r="EH14" s="3">
        <v>5.7072128080830412E-3</v>
      </c>
      <c r="EI14" s="3">
        <v>5.69536739345574E-3</v>
      </c>
      <c r="EJ14" s="3">
        <v>7.5260903055654749E-2</v>
      </c>
      <c r="EK14" s="3">
        <v>3.5700625683798178E-2</v>
      </c>
      <c r="EL14" s="3">
        <v>0.1002255065812902</v>
      </c>
      <c r="EM14">
        <f t="shared" si="11"/>
        <v>6.2235721622113847E-2</v>
      </c>
      <c r="EN14">
        <f t="shared" si="12"/>
        <v>5.1599468875852338E-2</v>
      </c>
      <c r="EO14">
        <f t="shared" si="13"/>
        <v>1.2061310509193843</v>
      </c>
    </row>
    <row r="15" spans="1:145" x14ac:dyDescent="0.3">
      <c r="A15" s="18">
        <v>110</v>
      </c>
      <c r="B15" s="18">
        <f t="shared" si="10"/>
        <v>10</v>
      </c>
      <c r="C15" s="3">
        <v>0.24155842264248281</v>
      </c>
      <c r="D15" s="3">
        <v>0.17378891286628589</v>
      </c>
      <c r="E15" s="3">
        <v>7.4569663037060918E-2</v>
      </c>
      <c r="F15" s="3">
        <v>8.1782026576160557E-2</v>
      </c>
      <c r="G15" s="3">
        <v>2.53577976603564E-3</v>
      </c>
      <c r="H15" s="3">
        <v>8.1815649923674238E-2</v>
      </c>
      <c r="I15" s="3">
        <v>0.12829638481240971</v>
      </c>
      <c r="J15" s="3">
        <v>0.13535866244314329</v>
      </c>
      <c r="K15" s="3">
        <v>3.1508098267589248E-2</v>
      </c>
      <c r="L15" s="3">
        <v>-2.275336258570668E-2</v>
      </c>
      <c r="M15" s="3">
        <v>5.629585886769306E-2</v>
      </c>
      <c r="N15" s="3">
        <v>0.24738804550209831</v>
      </c>
      <c r="O15" s="3">
        <v>-1.8896543000180489E-2</v>
      </c>
      <c r="P15" s="3">
        <v>6.9494413104580779E-2</v>
      </c>
      <c r="Q15" s="3">
        <v>-3.067761739322834E-2</v>
      </c>
      <c r="R15" s="3">
        <v>-5.307967748589041E-2</v>
      </c>
      <c r="S15" s="3">
        <v>0.1802361447281137</v>
      </c>
      <c r="T15" s="3">
        <v>5.8198486768288482E-2</v>
      </c>
      <c r="U15" s="3">
        <v>-8.4116383526341848E-2</v>
      </c>
      <c r="V15" s="3">
        <v>-1.7093662598340231E-2</v>
      </c>
      <c r="W15" s="3">
        <v>6.2669825920648098E-2</v>
      </c>
      <c r="X15" s="3">
        <v>0.20484095586740189</v>
      </c>
      <c r="Y15" s="3">
        <v>2.1717268120404979E-2</v>
      </c>
      <c r="Z15" s="3">
        <v>3.9621349909404961E-2</v>
      </c>
      <c r="AA15" s="3">
        <v>0.12890890101030661</v>
      </c>
      <c r="AB15" s="3">
        <v>7.4371814458625951E-2</v>
      </c>
      <c r="AC15" s="3">
        <v>4.8008146218288833E-2</v>
      </c>
      <c r="AD15" s="3">
        <v>1.3590293030502449E-2</v>
      </c>
      <c r="AE15" s="3">
        <v>0.17602316758642261</v>
      </c>
      <c r="AF15" s="3">
        <v>0.13248670478170749</v>
      </c>
      <c r="AG15" s="3">
        <v>2.4048005905984979E-2</v>
      </c>
      <c r="AH15" s="3">
        <v>-3.7104176384313403E-2</v>
      </c>
      <c r="AI15" s="3">
        <v>-1.8572527895701438E-2</v>
      </c>
      <c r="AJ15" s="3">
        <v>9.7728322028750314E-3</v>
      </c>
      <c r="AK15" s="3">
        <v>5.7963941149427933E-2</v>
      </c>
      <c r="AL15" s="3">
        <v>2.8443609450190841E-2</v>
      </c>
      <c r="AM15" s="3">
        <v>3.4533291566364407E-2</v>
      </c>
      <c r="AN15" s="3">
        <v>0.1187039663124473</v>
      </c>
      <c r="AO15" s="3">
        <v>4.3798347087138943E-2</v>
      </c>
      <c r="AP15" s="3">
        <v>3.7834339344812867E-2</v>
      </c>
      <c r="AQ15" s="3">
        <v>-3.8102468754567922E-2</v>
      </c>
      <c r="AR15" s="3">
        <v>4.8320119900194088E-2</v>
      </c>
      <c r="AS15" s="3">
        <v>-6.5028803619250217E-2</v>
      </c>
      <c r="AT15" s="3">
        <v>0.2078389578691365</v>
      </c>
      <c r="AU15" s="3">
        <v>0.13494561595533039</v>
      </c>
      <c r="AV15" s="3">
        <v>9.1083809565469548E-2</v>
      </c>
      <c r="AW15" s="3">
        <v>9.7211153158427099E-2</v>
      </c>
      <c r="AX15" s="3">
        <v>0.1140796931468484</v>
      </c>
      <c r="AY15" s="3">
        <v>3.013510847869931E-2</v>
      </c>
      <c r="AZ15" s="3">
        <v>3.2014301780964267E-2</v>
      </c>
      <c r="BA15" s="3">
        <v>0.16145099279938191</v>
      </c>
      <c r="BB15" s="3">
        <v>0.13503031263351001</v>
      </c>
      <c r="BC15" s="3">
        <v>6.7540883800242132E-2</v>
      </c>
      <c r="BD15" s="3">
        <v>-2.0834013336984751E-2</v>
      </c>
      <c r="BE15" s="3">
        <v>6.3332838845437306E-2</v>
      </c>
      <c r="BF15" s="3">
        <v>0.22710040348729599</v>
      </c>
      <c r="BG15" s="3">
        <v>0.10639437066419689</v>
      </c>
      <c r="BH15" s="3">
        <v>9.516212770205057E-2</v>
      </c>
      <c r="BI15" s="3">
        <v>4.4085977791574048E-2</v>
      </c>
      <c r="BJ15" s="3">
        <v>0.1065767689112363</v>
      </c>
      <c r="BK15" s="3">
        <v>-2.2584606544302409E-2</v>
      </c>
      <c r="BL15" s="3">
        <v>7.5891715934744086E-2</v>
      </c>
      <c r="BM15" s="3">
        <v>5.4492831913828248E-2</v>
      </c>
      <c r="BN15" s="3">
        <v>-3.5670619746206479E-2</v>
      </c>
      <c r="BO15" s="3">
        <v>3.139537347461429E-2</v>
      </c>
      <c r="BP15" s="3">
        <v>-9.8443455406784119E-2</v>
      </c>
      <c r="BQ15" s="3">
        <v>1.5695153147145501E-2</v>
      </c>
      <c r="BR15" s="3">
        <v>0.1100428438946212</v>
      </c>
      <c r="BS15" s="3">
        <v>3.9787779996983269E-3</v>
      </c>
      <c r="BT15" s="3">
        <v>1.2059676380787429E-2</v>
      </c>
      <c r="BU15" s="3">
        <v>5.3351350971269758E-2</v>
      </c>
      <c r="BV15" s="3">
        <v>6.3848422770407032E-2</v>
      </c>
      <c r="BW15" s="3">
        <v>0.31543556227856839</v>
      </c>
      <c r="BX15" s="3">
        <v>4.3155483784047023E-2</v>
      </c>
      <c r="BY15" s="3">
        <v>0.1170215036470855</v>
      </c>
      <c r="BZ15" s="3">
        <v>7.6955719669705741E-2</v>
      </c>
      <c r="CA15" s="3">
        <v>6.0851495681845842E-3</v>
      </c>
      <c r="CB15" s="3">
        <v>6.4451767288689149E-2</v>
      </c>
      <c r="CC15" s="3">
        <v>0.1078272568632148</v>
      </c>
      <c r="CD15" s="3">
        <v>0.1195227044223882</v>
      </c>
      <c r="CE15" s="3">
        <v>0.1205633706551868</v>
      </c>
      <c r="CF15" s="3">
        <v>7.8920461694775179E-2</v>
      </c>
      <c r="CG15" s="3">
        <v>0.10390932025663881</v>
      </c>
      <c r="CH15" s="3">
        <v>6.751977914793833E-2</v>
      </c>
      <c r="CI15" s="3">
        <v>3.7144945320355012E-2</v>
      </c>
      <c r="CJ15" s="3">
        <v>5.4874450130501198E-2</v>
      </c>
      <c r="CK15" s="3">
        <v>0.1434218267067412</v>
      </c>
      <c r="CL15" s="3">
        <v>0.29060109198450368</v>
      </c>
      <c r="CM15" s="3">
        <v>5.3281164851576093E-2</v>
      </c>
      <c r="CN15" s="3">
        <v>0.16864261290779009</v>
      </c>
      <c r="CO15" s="3">
        <v>0.1646968048922553</v>
      </c>
      <c r="CP15" s="3">
        <v>0.10300282803262339</v>
      </c>
      <c r="CQ15" s="3">
        <v>6.4482894299108936E-3</v>
      </c>
      <c r="CR15" s="3">
        <v>3.4388283639996638E-2</v>
      </c>
      <c r="CS15" s="3">
        <v>9.0012600330832485E-3</v>
      </c>
      <c r="CT15" s="3">
        <v>1.987805414315829E-2</v>
      </c>
      <c r="CU15" s="3">
        <v>0.16039605454608519</v>
      </c>
      <c r="CV15" s="3">
        <v>0.15883627528963709</v>
      </c>
      <c r="CW15" s="3">
        <v>3.1169210624073362E-2</v>
      </c>
      <c r="CX15" s="3">
        <v>6.2601100394391443E-2</v>
      </c>
      <c r="CY15" s="3">
        <v>6.8157689880564143E-2</v>
      </c>
      <c r="CZ15" s="3">
        <v>9.092379279398248E-2</v>
      </c>
      <c r="DA15" s="3">
        <v>6.8598067734650631E-2</v>
      </c>
      <c r="DB15" s="3">
        <v>3.9932392948441107E-2</v>
      </c>
      <c r="DC15" s="3">
        <v>1.7598376414005291E-2</v>
      </c>
      <c r="DD15" s="3">
        <v>6.6996804109661759E-2</v>
      </c>
      <c r="DE15" s="3">
        <v>7.737662039230872E-2</v>
      </c>
      <c r="DF15" s="3">
        <v>0.29943562896720732</v>
      </c>
      <c r="DG15" s="3">
        <v>4.017163325563592E-2</v>
      </c>
      <c r="DH15" s="3">
        <v>0.13218755394970341</v>
      </c>
      <c r="DI15" s="3">
        <v>2.0190924426962249E-2</v>
      </c>
      <c r="DJ15" s="3">
        <v>2.886359519681039E-2</v>
      </c>
      <c r="DK15" s="3">
        <v>8.3677801123215767E-2</v>
      </c>
      <c r="DL15" s="3">
        <v>4.517439390109889E-2</v>
      </c>
      <c r="DM15" s="3">
        <v>1.298329715564042E-2</v>
      </c>
      <c r="DN15" s="3">
        <v>1.1986824213629709E-2</v>
      </c>
      <c r="DO15" s="3">
        <v>4.2035732338063979E-2</v>
      </c>
      <c r="DP15" s="3">
        <v>0.14986804968749359</v>
      </c>
      <c r="DQ15" s="3">
        <v>2.5991770469525759E-2</v>
      </c>
      <c r="DR15" s="3">
        <v>2.5698175054819961E-2</v>
      </c>
      <c r="DS15" s="3">
        <v>5.2192902897275149E-2</v>
      </c>
      <c r="DT15" s="3">
        <v>2.2455456644572162E-2</v>
      </c>
      <c r="DU15" s="3">
        <v>8.3734456304266458E-2</v>
      </c>
      <c r="DV15" s="3">
        <v>0.14862276126668611</v>
      </c>
      <c r="DW15" s="3">
        <v>8.2263342124061778E-3</v>
      </c>
      <c r="DX15" s="3">
        <v>8.4800177087463693E-2</v>
      </c>
      <c r="DY15" s="3">
        <v>0.23875531521233009</v>
      </c>
      <c r="DZ15" s="3">
        <v>3.4082280835076868E-2</v>
      </c>
      <c r="EA15" s="3">
        <v>-3.746967587548293E-2</v>
      </c>
      <c r="EB15" s="3">
        <v>0.11336525352108941</v>
      </c>
      <c r="EC15" s="3">
        <v>8.2959084084229057E-2</v>
      </c>
      <c r="ED15" s="3">
        <v>0.14216139430498731</v>
      </c>
      <c r="EE15" s="3">
        <v>9.617559296918831E-3</v>
      </c>
      <c r="EF15" s="3">
        <v>4.4912949178721878E-2</v>
      </c>
      <c r="EG15" s="3">
        <v>0.34471480336630661</v>
      </c>
      <c r="EH15" s="3">
        <v>-1.495506519468544E-2</v>
      </c>
      <c r="EI15" s="3">
        <v>2.8455498797761641E-2</v>
      </c>
      <c r="EJ15" s="3">
        <v>8.3064682503916965E-2</v>
      </c>
      <c r="EK15" s="3">
        <v>3.4906710498600252E-2</v>
      </c>
      <c r="EL15" s="3">
        <v>9.7763680816827778E-2</v>
      </c>
      <c r="EM15">
        <f t="shared" si="11"/>
        <v>7.2215949927883452E-2</v>
      </c>
      <c r="EN15">
        <f t="shared" si="12"/>
        <v>7.7490328003250161E-2</v>
      </c>
      <c r="EO15">
        <f t="shared" si="13"/>
        <v>0.93193501419757208</v>
      </c>
    </row>
    <row r="16" spans="1:145" x14ac:dyDescent="0.3">
      <c r="A16" s="18">
        <v>120</v>
      </c>
      <c r="B16" s="18">
        <f t="shared" si="10"/>
        <v>9</v>
      </c>
      <c r="C16" s="3">
        <v>0.26072770983563209</v>
      </c>
      <c r="D16" s="3">
        <v>0.18425850840958</v>
      </c>
      <c r="E16" s="3">
        <v>7.4485661362278494E-2</v>
      </c>
      <c r="F16" s="3">
        <v>5.3057197033406472E-2</v>
      </c>
      <c r="G16" s="3">
        <v>8.8348382115517612E-2</v>
      </c>
      <c r="H16" s="3">
        <v>8.2581288923990526E-2</v>
      </c>
      <c r="I16" s="3">
        <v>0.1386283480312914</v>
      </c>
      <c r="J16" s="3">
        <v>0.14986077687311791</v>
      </c>
      <c r="K16" s="3">
        <v>2.9838911503494391E-2</v>
      </c>
      <c r="L16" s="3">
        <v>-2.4637175268582522E-2</v>
      </c>
      <c r="M16" s="3">
        <v>5.3926091998967099E-2</v>
      </c>
      <c r="N16" s="3">
        <v>0.2829158103387982</v>
      </c>
      <c r="O16" s="3">
        <v>-2.9371948062139708E-2</v>
      </c>
      <c r="P16" s="3">
        <v>7.1716708093754036E-2</v>
      </c>
      <c r="Q16" s="3">
        <v>-2.67626793103036E-3</v>
      </c>
      <c r="R16" s="3">
        <v>-6.2293902562806293E-2</v>
      </c>
      <c r="S16" s="3">
        <v>0.1962294625411693</v>
      </c>
      <c r="T16" s="3">
        <v>9.4226726153592844E-2</v>
      </c>
      <c r="U16" s="3">
        <v>-7.1987230887573209E-2</v>
      </c>
      <c r="V16" s="3">
        <v>-5.2208373203866537E-4</v>
      </c>
      <c r="W16" s="3">
        <v>4.8227745791451053E-2</v>
      </c>
      <c r="X16" s="3">
        <v>0.1834115625918912</v>
      </c>
      <c r="Y16" s="3">
        <v>2.6871903231725329E-2</v>
      </c>
      <c r="Z16" s="3">
        <v>2.624555249195001E-2</v>
      </c>
      <c r="AA16" s="3">
        <v>0.12915152114136599</v>
      </c>
      <c r="AB16" s="3">
        <v>8.3679343533461917E-2</v>
      </c>
      <c r="AC16" s="3">
        <v>5.9916161965010872E-2</v>
      </c>
      <c r="AD16" s="3">
        <v>1.8883824250896551E-2</v>
      </c>
      <c r="AE16" s="3">
        <v>0.19437017354429709</v>
      </c>
      <c r="AF16" s="3">
        <v>0.14270118361213019</v>
      </c>
      <c r="AG16" s="3">
        <v>3.0984762906759462E-2</v>
      </c>
      <c r="AH16" s="3">
        <v>-3.1765400449440553E-2</v>
      </c>
      <c r="AI16" s="3">
        <v>-2.515121444953191E-2</v>
      </c>
      <c r="AJ16" s="3">
        <v>-3.0488408940729989E-2</v>
      </c>
      <c r="AK16" s="3">
        <v>6.4421400832372078E-2</v>
      </c>
      <c r="AL16" s="3">
        <v>2.4777897995460239E-2</v>
      </c>
      <c r="AM16" s="3">
        <v>2.85912264822701E-2</v>
      </c>
      <c r="AN16" s="3">
        <v>0.1374029139074828</v>
      </c>
      <c r="AO16" s="3">
        <v>6.3928703055241967E-2</v>
      </c>
      <c r="AP16" s="3">
        <v>6.2955476002942351E-2</v>
      </c>
      <c r="AQ16" s="3">
        <v>-5.1655017148793933E-2</v>
      </c>
      <c r="AR16" s="3">
        <v>0.1027702416988721</v>
      </c>
      <c r="AS16" s="3">
        <v>-6.572009184837771E-2</v>
      </c>
      <c r="AT16" s="3">
        <v>0.2213208370440905</v>
      </c>
      <c r="AU16" s="3">
        <v>0.1387006490225984</v>
      </c>
      <c r="AV16" s="3">
        <v>8.9459284740005834E-2</v>
      </c>
      <c r="AW16" s="3">
        <v>0.11317970127020199</v>
      </c>
      <c r="AX16" s="3">
        <v>0.113595596911948</v>
      </c>
      <c r="AY16" s="3">
        <v>4.0307501135221191E-2</v>
      </c>
      <c r="AZ16" s="3">
        <v>2.6619999076609491E-2</v>
      </c>
      <c r="BA16" s="3">
        <v>0.15831022824999111</v>
      </c>
      <c r="BB16" s="3">
        <v>0.18136460604182511</v>
      </c>
      <c r="BC16" s="3">
        <v>6.5392330536299823E-2</v>
      </c>
      <c r="BD16" s="3">
        <v>-2.5047737019217121E-2</v>
      </c>
      <c r="BE16" s="3">
        <v>5.5749584759779952E-2</v>
      </c>
      <c r="BF16" s="3">
        <v>0.1359041050233428</v>
      </c>
      <c r="BG16" s="3">
        <v>0.1036799156161899</v>
      </c>
      <c r="BH16" s="3">
        <v>0.12147275210746999</v>
      </c>
      <c r="BI16" s="3">
        <v>4.0348434529685812E-2</v>
      </c>
      <c r="BJ16" s="3">
        <v>0.1163424196621526</v>
      </c>
      <c r="BK16" s="3">
        <v>-3.6488351201592967E-2</v>
      </c>
      <c r="BL16" s="3">
        <v>6.939639853734389E-2</v>
      </c>
      <c r="BM16" s="3">
        <v>4.4461594183894608E-2</v>
      </c>
      <c r="BN16" s="3">
        <v>-2.1653837446908231E-2</v>
      </c>
      <c r="BO16" s="3">
        <v>2.5701078886255359E-2</v>
      </c>
      <c r="BP16" s="3">
        <v>-4.4135395130594127E-2</v>
      </c>
      <c r="BQ16" s="3">
        <v>1.6526033585724551E-2</v>
      </c>
      <c r="BR16" s="3">
        <v>0.1131436380022295</v>
      </c>
      <c r="BS16" s="3">
        <v>-7.9012391770569186E-3</v>
      </c>
      <c r="BT16" s="3">
        <v>1.279770120612397E-2</v>
      </c>
      <c r="BU16" s="3">
        <v>4.2485239717766472E-2</v>
      </c>
      <c r="BV16" s="3">
        <v>3.7578374096590053E-2</v>
      </c>
      <c r="BW16" s="3">
        <v>0.33664394139979642</v>
      </c>
      <c r="BX16" s="3">
        <v>4.6677909449918273E-2</v>
      </c>
      <c r="BY16" s="3">
        <v>0.13162601291712861</v>
      </c>
      <c r="BZ16" s="3">
        <v>0.10500367639692169</v>
      </c>
      <c r="CA16" s="3">
        <v>2.2142699591408251E-2</v>
      </c>
      <c r="CB16" s="3">
        <v>6.5264696494031535E-2</v>
      </c>
      <c r="CC16" s="3">
        <v>0.1182501596229092</v>
      </c>
      <c r="CD16" s="3">
        <v>0.1157092147383794</v>
      </c>
      <c r="CE16" s="3">
        <v>6.9763241231413919E-2</v>
      </c>
      <c r="CF16" s="3">
        <v>8.2940336196751507E-2</v>
      </c>
      <c r="CG16" s="3">
        <v>0.1159768192729449</v>
      </c>
      <c r="CH16" s="3">
        <v>4.8054504545709149E-2</v>
      </c>
      <c r="CI16" s="3">
        <v>4.9089741250033729E-2</v>
      </c>
      <c r="CJ16" s="3">
        <v>3.0955416585505519E-2</v>
      </c>
      <c r="CK16" s="3">
        <v>0.1414699025513512</v>
      </c>
      <c r="CL16" s="3">
        <v>0.31154279527443551</v>
      </c>
      <c r="CM16" s="3">
        <v>5.2124070767656142E-2</v>
      </c>
      <c r="CN16" s="3">
        <v>0.1717638137861249</v>
      </c>
      <c r="CO16" s="3">
        <v>0.18300397309504651</v>
      </c>
      <c r="CP16" s="3">
        <v>0.1127396316857244</v>
      </c>
      <c r="CQ16" s="3">
        <v>7.5659968624205126E-2</v>
      </c>
      <c r="CR16" s="3">
        <v>3.0724191644627481E-2</v>
      </c>
      <c r="CS16" s="3">
        <v>1.0001400036759169E-2</v>
      </c>
      <c r="CT16" s="3">
        <v>2.8909286021341341E-2</v>
      </c>
      <c r="CU16" s="3">
        <v>0.15928631311606539</v>
      </c>
      <c r="CV16" s="3">
        <v>0.13244233189943641</v>
      </c>
      <c r="CW16" s="3">
        <v>5.5800521046015572E-2</v>
      </c>
      <c r="CX16" s="3">
        <v>5.808372813074774E-2</v>
      </c>
      <c r="CY16" s="3">
        <v>7.8936117015922208E-2</v>
      </c>
      <c r="CZ16" s="3">
        <v>0.1187113778136329</v>
      </c>
      <c r="DA16" s="3">
        <v>9.5888548540856988E-2</v>
      </c>
      <c r="DB16" s="3">
        <v>5.7360444555607203E-2</v>
      </c>
      <c r="DC16" s="3">
        <v>1.559517627743354E-2</v>
      </c>
      <c r="DD16" s="3">
        <v>8.1763272406890575E-2</v>
      </c>
      <c r="DE16" s="3">
        <v>5.2450110678124301E-2</v>
      </c>
      <c r="DF16" s="3">
        <v>0.32192975016651382</v>
      </c>
      <c r="DG16" s="3">
        <v>4.4449392942329309E-2</v>
      </c>
      <c r="DH16" s="3">
        <v>0.15270632460183189</v>
      </c>
      <c r="DI16" s="3">
        <v>4.330313126788761E-2</v>
      </c>
      <c r="DJ16" s="3">
        <v>3.8300463436286243E-2</v>
      </c>
      <c r="DK16" s="3">
        <v>8.32605938990571E-2</v>
      </c>
      <c r="DL16" s="3">
        <v>9.6269308724760989E-3</v>
      </c>
      <c r="DM16" s="3">
        <v>-3.6759747118981653E-2</v>
      </c>
      <c r="DN16" s="3">
        <v>2.2233966780175519E-2</v>
      </c>
      <c r="DO16" s="3">
        <v>5.5376440467518988E-2</v>
      </c>
      <c r="DP16" s="3">
        <v>0.14636799775100909</v>
      </c>
      <c r="DQ16" s="3">
        <v>2.4838895613820289E-2</v>
      </c>
      <c r="DR16" s="3">
        <v>3.7831496932614089E-2</v>
      </c>
      <c r="DS16" s="3">
        <v>5.2113582797309703E-2</v>
      </c>
      <c r="DT16" s="3">
        <v>5.8933335493967523E-2</v>
      </c>
      <c r="DU16" s="3">
        <v>8.5341215157011804E-2</v>
      </c>
      <c r="DV16" s="3">
        <v>0.1513881297237159</v>
      </c>
      <c r="DW16" s="3">
        <v>3.7742997455560673E-2</v>
      </c>
      <c r="DX16" s="3">
        <v>6.4285000618603108E-2</v>
      </c>
      <c r="DY16" s="3">
        <v>0.2450991639084793</v>
      </c>
      <c r="DZ16" s="3">
        <v>4.6178940834958021E-2</v>
      </c>
      <c r="EA16" s="3">
        <v>1.5304943003097531E-2</v>
      </c>
      <c r="EB16" s="3">
        <v>0.11109853543951929</v>
      </c>
      <c r="EC16" s="3">
        <v>8.2284542230439295E-2</v>
      </c>
      <c r="ED16" s="3">
        <v>0.14742156790967209</v>
      </c>
      <c r="EE16" s="3">
        <v>1.153760730163971E-2</v>
      </c>
      <c r="EF16" s="3">
        <v>6.0242639972929821E-2</v>
      </c>
      <c r="EG16" s="3">
        <v>0.39578695837248468</v>
      </c>
      <c r="EH16" s="3">
        <v>-2.327538990876241E-2</v>
      </c>
      <c r="EI16" s="3">
        <v>2.5811730105797591E-2</v>
      </c>
      <c r="EJ16" s="3">
        <v>7.7611135061907699E-2</v>
      </c>
      <c r="EK16" s="3">
        <v>3.6273530087149439E-2</v>
      </c>
      <c r="EL16" s="3">
        <v>9.4527384412567597E-2</v>
      </c>
      <c r="EM16">
        <f t="shared" si="11"/>
        <v>7.7314031522775314E-2</v>
      </c>
      <c r="EN16">
        <f t="shared" si="12"/>
        <v>8.0606755410126088E-2</v>
      </c>
      <c r="EO16">
        <f t="shared" si="13"/>
        <v>0.95915077004901839</v>
      </c>
    </row>
    <row r="17" spans="1:145" x14ac:dyDescent="0.3">
      <c r="A17" s="18">
        <v>130</v>
      </c>
      <c r="B17" s="18">
        <f t="shared" si="10"/>
        <v>8</v>
      </c>
      <c r="C17" s="3">
        <v>0.2378970514581851</v>
      </c>
      <c r="D17" s="3">
        <v>0.18133129259318301</v>
      </c>
      <c r="E17" s="3">
        <v>7.6702626423688205E-2</v>
      </c>
      <c r="F17" s="3">
        <v>5.6491026831464307E-2</v>
      </c>
      <c r="G17" s="3">
        <v>8.8781681840671589E-2</v>
      </c>
      <c r="H17" s="3">
        <v>3.995329522451764E-2</v>
      </c>
      <c r="I17" s="3">
        <v>0.15376841472222169</v>
      </c>
      <c r="J17" s="3">
        <v>0.15964101098343059</v>
      </c>
      <c r="K17" s="3">
        <v>1.6624607727713681E-2</v>
      </c>
      <c r="L17" s="3">
        <v>-7.4515064329326126E-3</v>
      </c>
      <c r="M17" s="3">
        <v>5.5237105233283269E-2</v>
      </c>
      <c r="N17" s="3">
        <v>0.31927896038533282</v>
      </c>
      <c r="O17" s="3">
        <v>-2.4067294318932831E-2</v>
      </c>
      <c r="P17" s="3">
        <v>7.783143223487253E-2</v>
      </c>
      <c r="Q17" s="3">
        <v>7.9022644963883896E-3</v>
      </c>
      <c r="R17" s="3">
        <v>-6.8471776238508975E-2</v>
      </c>
      <c r="S17" s="3">
        <v>0.24596559854622521</v>
      </c>
      <c r="T17" s="3">
        <v>9.3876727456493281E-2</v>
      </c>
      <c r="U17" s="3">
        <v>-7.3605682023133237E-2</v>
      </c>
      <c r="V17" s="3">
        <v>1.01987591307414E-2</v>
      </c>
      <c r="W17" s="3">
        <v>4.5379487880241792E-2</v>
      </c>
      <c r="X17" s="3">
        <v>0.17625245536268239</v>
      </c>
      <c r="Y17" s="3">
        <v>3.3272863783535243E-2</v>
      </c>
      <c r="Z17" s="3">
        <v>3.4849785722522841E-2</v>
      </c>
      <c r="AA17" s="3">
        <v>0.15968294389123941</v>
      </c>
      <c r="AB17" s="3">
        <v>8.5885231039272217E-2</v>
      </c>
      <c r="AC17" s="3">
        <v>5.6501261430751952E-2</v>
      </c>
      <c r="AD17" s="3">
        <v>-2.9598498033897209E-2</v>
      </c>
      <c r="AE17" s="3">
        <v>0.17483924961177291</v>
      </c>
      <c r="AF17" s="3">
        <v>0.1816171367597203</v>
      </c>
      <c r="AG17" s="3">
        <v>6.6435099043148163E-2</v>
      </c>
      <c r="AH17" s="3">
        <v>-4.943754228054096E-2</v>
      </c>
      <c r="AI17" s="3">
        <v>-1.184896128361165E-3</v>
      </c>
      <c r="AJ17" s="3">
        <v>-4.2250026986231329E-2</v>
      </c>
      <c r="AK17" s="3">
        <v>3.1812485999819867E-2</v>
      </c>
      <c r="AL17" s="3">
        <v>3.4172977367034937E-2</v>
      </c>
      <c r="AM17" s="3">
        <v>4.4527643935009492E-2</v>
      </c>
      <c r="AN17" s="3">
        <v>0.1150317075315794</v>
      </c>
      <c r="AO17" s="3">
        <v>2.9150083513395549E-2</v>
      </c>
      <c r="AP17" s="3">
        <v>8.5202770622020807E-2</v>
      </c>
      <c r="AQ17" s="3">
        <v>-3.3097297155682201E-2</v>
      </c>
      <c r="AR17" s="3">
        <v>5.4951161967654913E-2</v>
      </c>
      <c r="AS17" s="3">
        <v>-8.6099673056289988E-2</v>
      </c>
      <c r="AT17" s="3">
        <v>0.2675017318134017</v>
      </c>
      <c r="AU17" s="3">
        <v>0.13777320588584041</v>
      </c>
      <c r="AV17" s="3">
        <v>5.6706304857920872E-2</v>
      </c>
      <c r="AW17" s="3">
        <v>0.1268004650022366</v>
      </c>
      <c r="AX17" s="3">
        <v>9.6011082808542647E-2</v>
      </c>
      <c r="AY17" s="3">
        <v>3.8625850294884537E-2</v>
      </c>
      <c r="AZ17" s="3">
        <v>2.6112752622131471E-2</v>
      </c>
      <c r="BA17" s="3">
        <v>0.16834770151380041</v>
      </c>
      <c r="BB17" s="3">
        <v>0.20214347165161101</v>
      </c>
      <c r="BC17" s="3">
        <v>8.1917917659997619E-2</v>
      </c>
      <c r="BD17" s="3">
        <v>-1.5834289731736291E-2</v>
      </c>
      <c r="BE17" s="3">
        <v>7.9146428674660319E-2</v>
      </c>
      <c r="BF17" s="3">
        <v>0.1494784707301087</v>
      </c>
      <c r="BG17" s="3">
        <v>8.91046151890664E-2</v>
      </c>
      <c r="BH17" s="3">
        <v>0.1241267148019493</v>
      </c>
      <c r="BI17" s="3">
        <v>2.4448208911691249E-2</v>
      </c>
      <c r="BJ17" s="3">
        <v>0.12527426005764289</v>
      </c>
      <c r="BK17" s="3">
        <v>-4.0770554277135287E-2</v>
      </c>
      <c r="BL17" s="3">
        <v>4.3403096258777363E-2</v>
      </c>
      <c r="BM17" s="3">
        <v>2.368577340358741E-2</v>
      </c>
      <c r="BN17" s="3">
        <v>-1.7785292384900609E-2</v>
      </c>
      <c r="BO17" s="3">
        <v>1.0268629779396901E-2</v>
      </c>
      <c r="BP17" s="3">
        <v>-5.1687061175644672E-2</v>
      </c>
      <c r="BQ17" s="3">
        <v>3.9513525861328079E-2</v>
      </c>
      <c r="BR17" s="3">
        <v>0.12604134088680219</v>
      </c>
      <c r="BS17" s="3">
        <v>-9.2324973901933491E-3</v>
      </c>
      <c r="BT17" s="3">
        <v>1.2266991386464181E-3</v>
      </c>
      <c r="BU17" s="3">
        <v>7.1890941464683278E-2</v>
      </c>
      <c r="BV17" s="3">
        <v>6.590093372816222E-2</v>
      </c>
      <c r="BW17" s="3">
        <v>0.38902933208743512</v>
      </c>
      <c r="BX17" s="3">
        <v>5.1844993239461408E-2</v>
      </c>
      <c r="BY17" s="3">
        <v>9.546081973655117E-2</v>
      </c>
      <c r="BZ17" s="3">
        <v>0.1181769157776595</v>
      </c>
      <c r="CA17" s="3">
        <v>1.9416680923815231E-2</v>
      </c>
      <c r="CB17" s="3">
        <v>6.6333613323674254E-2</v>
      </c>
      <c r="CC17" s="3">
        <v>0.18432006655761579</v>
      </c>
      <c r="CD17" s="3">
        <v>0.1462312541057679</v>
      </c>
      <c r="CE17" s="3">
        <v>8.8883514367212396E-2</v>
      </c>
      <c r="CF17" s="3">
        <v>7.5392684084332307E-2</v>
      </c>
      <c r="CG17" s="3">
        <v>0.1232702825774835</v>
      </c>
      <c r="CH17" s="3">
        <v>8.287237979966898E-2</v>
      </c>
      <c r="CI17" s="3">
        <v>5.5913288806027542E-2</v>
      </c>
      <c r="CJ17" s="3">
        <v>1.7740045240233929E-2</v>
      </c>
      <c r="CK17" s="3">
        <v>0.1430434700386142</v>
      </c>
      <c r="CL17" s="3">
        <v>0.34028819532159721</v>
      </c>
      <c r="CM17" s="3">
        <v>3.8686091281142518E-2</v>
      </c>
      <c r="CN17" s="3">
        <v>0.13461177629082571</v>
      </c>
      <c r="CO17" s="3">
        <v>0.1371192271595108</v>
      </c>
      <c r="CP17" s="3">
        <v>0.1201758118118198</v>
      </c>
      <c r="CQ17" s="3">
        <v>6.6152951237496135E-2</v>
      </c>
      <c r="CR17" s="3">
        <v>2.9283680717415859E-2</v>
      </c>
      <c r="CS17" s="3">
        <v>3.2669997289126028E-2</v>
      </c>
      <c r="CT17" s="3">
        <v>3.9818933144977468E-2</v>
      </c>
      <c r="CU17" s="3">
        <v>0.1546915472850518</v>
      </c>
      <c r="CV17" s="3">
        <v>0.1227951635392554</v>
      </c>
      <c r="CW17" s="3">
        <v>6.9562239507384466E-2</v>
      </c>
      <c r="CX17" s="3">
        <v>4.9065005678958711E-2</v>
      </c>
      <c r="CY17" s="3">
        <v>4.6190210894398412E-2</v>
      </c>
      <c r="CZ17" s="3">
        <v>0.16623877981028229</v>
      </c>
      <c r="DA17" s="3">
        <v>8.4473677696731947E-2</v>
      </c>
      <c r="DB17" s="3">
        <v>5.8532682781620111E-2</v>
      </c>
      <c r="DC17" s="3">
        <v>2.5802332302496251E-2</v>
      </c>
      <c r="DD17" s="3">
        <v>9.6005186292577357E-2</v>
      </c>
      <c r="DE17" s="3">
        <v>2.0616316935895541E-2</v>
      </c>
      <c r="DF17" s="3">
        <v>0.34811952842700339</v>
      </c>
      <c r="DG17" s="3">
        <v>5.0927877609217728E-2</v>
      </c>
      <c r="DH17" s="3">
        <v>0.1770091726222508</v>
      </c>
      <c r="DI17" s="3">
        <v>5.9029959988282373E-2</v>
      </c>
      <c r="DJ17" s="3">
        <v>4.0386117821395347E-2</v>
      </c>
      <c r="DK17" s="3">
        <v>9.5776785314946766E-2</v>
      </c>
      <c r="DL17" s="3">
        <v>3.3776521632631271E-3</v>
      </c>
      <c r="DM17" s="3">
        <v>-4.3442597022706787E-2</v>
      </c>
      <c r="DN17" s="3">
        <v>5.4541208058773008E-2</v>
      </c>
      <c r="DO17" s="3">
        <v>7.5164690087662328E-2</v>
      </c>
      <c r="DP17" s="3">
        <v>0.1792571104948357</v>
      </c>
      <c r="DQ17" s="3">
        <v>4.7643837166474433E-2</v>
      </c>
      <c r="DR17" s="3">
        <v>5.3728120390811533E-2</v>
      </c>
      <c r="DS17" s="3">
        <v>4.024797734625217E-2</v>
      </c>
      <c r="DT17" s="3">
        <v>7.6728353137935593E-2</v>
      </c>
      <c r="DU17" s="3">
        <v>9.4942711204581115E-2</v>
      </c>
      <c r="DV17" s="3">
        <v>0.1677980451647639</v>
      </c>
      <c r="DW17" s="3">
        <v>2.500220119160872E-2</v>
      </c>
      <c r="DX17" s="3">
        <v>7.2360521329291189E-2</v>
      </c>
      <c r="DY17" s="3">
        <v>0.25068056022374052</v>
      </c>
      <c r="DZ17" s="3">
        <v>3.3849733520320363E-2</v>
      </c>
      <c r="EA17" s="3">
        <v>9.3961359605690044E-3</v>
      </c>
      <c r="EB17" s="3">
        <v>0.1209598200696666</v>
      </c>
      <c r="EC17" s="3">
        <v>5.6703448860551717E-2</v>
      </c>
      <c r="ED17" s="3">
        <v>0.16432986689100751</v>
      </c>
      <c r="EE17" s="3">
        <v>2.611293959404028E-2</v>
      </c>
      <c r="EF17" s="3">
        <v>7.17201196883194E-2</v>
      </c>
      <c r="EG17" s="3">
        <v>0.44216671310880312</v>
      </c>
      <c r="EH17" s="3">
        <v>-2.0238806583106821E-2</v>
      </c>
      <c r="EI17" s="3">
        <v>2.282926836822334E-2</v>
      </c>
      <c r="EJ17" s="3">
        <v>7.6872405438413505E-2</v>
      </c>
      <c r="EK17" s="3">
        <v>4.4324994732956882E-2</v>
      </c>
      <c r="EL17" s="3">
        <v>9.3526202580227064E-2</v>
      </c>
      <c r="EM17">
        <f t="shared" si="11"/>
        <v>8.1131887562336066E-2</v>
      </c>
      <c r="EN17">
        <f t="shared" si="12"/>
        <v>8.7920382552997736E-2</v>
      </c>
      <c r="EO17">
        <f t="shared" si="13"/>
        <v>0.92278815453777607</v>
      </c>
    </row>
    <row r="18" spans="1:145" x14ac:dyDescent="0.3">
      <c r="A18" s="18">
        <v>150</v>
      </c>
      <c r="B18" s="18">
        <f t="shared" si="10"/>
        <v>7</v>
      </c>
      <c r="C18" s="3">
        <v>0.24368728540115189</v>
      </c>
      <c r="D18" s="3">
        <v>0.19928275284188771</v>
      </c>
      <c r="E18" s="3">
        <v>0.1001849868838494</v>
      </c>
      <c r="F18" s="3">
        <v>2.9665957214543359E-2</v>
      </c>
      <c r="G18" s="3">
        <v>7.549066755326822E-2</v>
      </c>
      <c r="H18" s="3">
        <v>6.2052684049543103E-2</v>
      </c>
      <c r="I18" s="3">
        <v>0.14821157041136249</v>
      </c>
      <c r="J18" s="3">
        <v>0.19319962712648889</v>
      </c>
      <c r="K18" s="3">
        <v>4.5576885674027991E-2</v>
      </c>
      <c r="L18" s="3">
        <v>-4.7397900226817218E-2</v>
      </c>
      <c r="M18" s="3">
        <v>5.3938885942552348E-2</v>
      </c>
      <c r="N18" s="3">
        <v>0.36380386909963469</v>
      </c>
      <c r="O18" s="3">
        <v>-5.1258915333106045E-4</v>
      </c>
      <c r="P18" s="3">
        <v>6.4985120693923981E-2</v>
      </c>
      <c r="Q18" s="3">
        <v>-1.9624523627553441E-2</v>
      </c>
      <c r="R18" s="3">
        <v>-7.6537480253127566E-2</v>
      </c>
      <c r="S18" s="3">
        <v>0.28114321822492511</v>
      </c>
      <c r="T18" s="3">
        <v>8.8495999226994942E-2</v>
      </c>
      <c r="U18" s="3">
        <v>-6.3715020301069139E-2</v>
      </c>
      <c r="V18" s="3">
        <v>1.7150907696246741E-2</v>
      </c>
      <c r="W18" s="3">
        <v>5.0611891253042662E-2</v>
      </c>
      <c r="X18" s="3">
        <v>0.2236503524855743</v>
      </c>
      <c r="Y18" s="3">
        <v>4.1263726337171347E-2</v>
      </c>
      <c r="Z18" s="3">
        <v>7.9093474663446128E-2</v>
      </c>
      <c r="AA18" s="3">
        <v>0.14275686813834179</v>
      </c>
      <c r="AB18" s="3">
        <v>9.482142138284913E-2</v>
      </c>
      <c r="AC18" s="3">
        <v>6.8592044189663262E-2</v>
      </c>
      <c r="AD18" s="3">
        <v>-2.686636649243445E-2</v>
      </c>
      <c r="AE18" s="3">
        <v>0.20233266192506999</v>
      </c>
      <c r="AF18" s="3">
        <v>0.2335332864896679</v>
      </c>
      <c r="AG18" s="3">
        <v>5.5242557359592707E-2</v>
      </c>
      <c r="AH18" s="3">
        <v>-4.0197460968514703E-2</v>
      </c>
      <c r="AI18" s="3">
        <v>1.412698109927032E-2</v>
      </c>
      <c r="AJ18" s="3">
        <v>-4.2673162795915688E-2</v>
      </c>
      <c r="AK18" s="3">
        <v>-2.1874809686740931E-3</v>
      </c>
      <c r="AL18" s="3">
        <v>5.1371435185213962E-2</v>
      </c>
      <c r="AM18" s="3">
        <v>3.2364637877036827E-2</v>
      </c>
      <c r="AN18" s="3">
        <v>0.12728849630120859</v>
      </c>
      <c r="AO18" s="3">
        <v>1.3072200348825421E-2</v>
      </c>
      <c r="AP18" s="3">
        <v>8.6893121332880269E-2</v>
      </c>
      <c r="AQ18" s="3">
        <v>6.9686748346081823E-3</v>
      </c>
      <c r="AR18" s="3">
        <v>6.0067609304077382E-2</v>
      </c>
      <c r="AS18" s="3">
        <v>-3.4980856502051363E-2</v>
      </c>
      <c r="AT18" s="3">
        <v>0.29755359591416419</v>
      </c>
      <c r="AU18" s="3">
        <v>0.13825373607297631</v>
      </c>
      <c r="AV18" s="3">
        <v>3.6288328527260619E-2</v>
      </c>
      <c r="AW18" s="3">
        <v>0.18435776219915789</v>
      </c>
      <c r="AX18" s="3">
        <v>0.1384838600667897</v>
      </c>
      <c r="AY18" s="3">
        <v>8.733004135094001E-2</v>
      </c>
      <c r="AZ18" s="3">
        <v>4.1349640095088569E-2</v>
      </c>
      <c r="BA18" s="3">
        <v>0.1783405796011181</v>
      </c>
      <c r="BB18" s="3">
        <v>0.22902924273453421</v>
      </c>
      <c r="BC18" s="3">
        <v>8.2288825297534743E-2</v>
      </c>
      <c r="BD18" s="3">
        <v>-1.023203207894959E-2</v>
      </c>
      <c r="BE18" s="3">
        <v>7.5977969995435976E-2</v>
      </c>
      <c r="BF18" s="3">
        <v>0.14387298468636861</v>
      </c>
      <c r="BG18" s="3">
        <v>6.3329549141875704E-2</v>
      </c>
      <c r="BH18" s="3">
        <v>0.1243867568694338</v>
      </c>
      <c r="BI18" s="3">
        <v>3.8239825099776331E-2</v>
      </c>
      <c r="BJ18" s="3">
        <v>2.2765300314875621E-2</v>
      </c>
      <c r="BK18" s="3">
        <v>-4.0177172098229248E-2</v>
      </c>
      <c r="BL18" s="3">
        <v>5.9180796428692638E-2</v>
      </c>
      <c r="BM18" s="3">
        <v>4.7064733084606243E-2</v>
      </c>
      <c r="BN18" s="3">
        <v>-2.0448989190036061E-2</v>
      </c>
      <c r="BO18" s="3">
        <v>2.051646755136657E-2</v>
      </c>
      <c r="BP18" s="3">
        <v>-5.8439021041209308E-2</v>
      </c>
      <c r="BQ18" s="3">
        <v>1.6229383412170121E-2</v>
      </c>
      <c r="BR18" s="3">
        <v>0.1098375446943361</v>
      </c>
      <c r="BS18" s="3">
        <v>-8.7511588191738904E-3</v>
      </c>
      <c r="BT18" s="3">
        <v>-3.5308846230367448E-3</v>
      </c>
      <c r="BU18" s="3">
        <v>8.9383805301203045E-2</v>
      </c>
      <c r="BV18" s="3">
        <v>-9.5384602406614356E-3</v>
      </c>
      <c r="BW18" s="3">
        <v>0.43068382831693958</v>
      </c>
      <c r="BX18" s="3">
        <v>3.520983943596296E-2</v>
      </c>
      <c r="BY18" s="3">
        <v>8.7918546937779993E-2</v>
      </c>
      <c r="BZ18" s="3">
        <v>0.15079709380977091</v>
      </c>
      <c r="CA18" s="3">
        <v>2.3223983918224389E-2</v>
      </c>
      <c r="CB18" s="3">
        <v>7.8724290447068121E-2</v>
      </c>
      <c r="CC18" s="3">
        <v>0.21996524743106699</v>
      </c>
      <c r="CD18" s="3">
        <v>0.16567419379599149</v>
      </c>
      <c r="CE18" s="3">
        <v>6.9460898541899685E-2</v>
      </c>
      <c r="CF18" s="3">
        <v>9.2314423162157919E-2</v>
      </c>
      <c r="CG18" s="3">
        <v>0.17068847751891089</v>
      </c>
      <c r="CH18" s="3">
        <v>0.1081134112752155</v>
      </c>
      <c r="CI18" s="3">
        <v>3.0254409657059309E-2</v>
      </c>
      <c r="CJ18" s="3">
        <v>8.2733433378143206E-4</v>
      </c>
      <c r="CK18" s="3">
        <v>0.14910621729999041</v>
      </c>
      <c r="CL18" s="3">
        <v>0.36775011654527789</v>
      </c>
      <c r="CM18" s="3">
        <v>2.3792103108601179E-2</v>
      </c>
      <c r="CN18" s="3">
        <v>0.16871120023211819</v>
      </c>
      <c r="CO18" s="3">
        <v>0.16749635784502501</v>
      </c>
      <c r="CP18" s="3">
        <v>0.13085801479312631</v>
      </c>
      <c r="CQ18" s="3">
        <v>4.7890904898578807E-2</v>
      </c>
      <c r="CR18" s="3">
        <v>3.8174055630705833E-2</v>
      </c>
      <c r="CS18" s="3">
        <v>4.3224755098983443E-2</v>
      </c>
      <c r="CT18" s="3">
        <v>3.0788311959130909E-2</v>
      </c>
      <c r="CU18" s="3">
        <v>0.1672345640050685</v>
      </c>
      <c r="CV18" s="3">
        <v>0.1058315728417677</v>
      </c>
      <c r="CW18" s="3">
        <v>8.1713485742130165E-2</v>
      </c>
      <c r="CX18" s="3">
        <v>5.2648091262143253E-2</v>
      </c>
      <c r="CY18" s="3">
        <v>6.5170046432079493E-2</v>
      </c>
      <c r="CZ18" s="3">
        <v>0.2000288012371472</v>
      </c>
      <c r="DA18" s="3">
        <v>7.6047417049891319E-2</v>
      </c>
      <c r="DB18" s="3">
        <v>5.5546530457130143E-2</v>
      </c>
      <c r="DC18" s="3">
        <v>1.6338911009788432E-2</v>
      </c>
      <c r="DD18" s="3">
        <v>6.3134171128300498E-2</v>
      </c>
      <c r="DE18" s="3">
        <v>4.0133906781944742E-2</v>
      </c>
      <c r="DF18" s="3">
        <v>0.36199940864890767</v>
      </c>
      <c r="DG18" s="3">
        <v>6.1064662602275298E-2</v>
      </c>
      <c r="DH18" s="3">
        <v>0.2058658826236627</v>
      </c>
      <c r="DI18" s="3">
        <v>5.7437414038540469E-2</v>
      </c>
      <c r="DJ18" s="3">
        <v>4.7666266763567992E-2</v>
      </c>
      <c r="DK18" s="3">
        <v>6.7768732599097686E-2</v>
      </c>
      <c r="DL18" s="3">
        <v>3.6194321287657681E-3</v>
      </c>
      <c r="DM18" s="3">
        <v>-3.8027462014773541E-2</v>
      </c>
      <c r="DN18" s="3">
        <v>2.2669504658172419E-2</v>
      </c>
      <c r="DO18" s="3">
        <v>4.1529469731542583E-2</v>
      </c>
      <c r="DP18" s="3">
        <v>0.19308150431816359</v>
      </c>
      <c r="DQ18" s="3">
        <v>3.7166409110126891E-2</v>
      </c>
      <c r="DR18" s="3">
        <v>5.2098327962446359E-2</v>
      </c>
      <c r="DS18" s="3">
        <v>1.458528350271125E-2</v>
      </c>
      <c r="DT18" s="3">
        <v>9.5508566632489633E-2</v>
      </c>
      <c r="DU18" s="3">
        <v>0.11917142074578881</v>
      </c>
      <c r="DV18" s="3">
        <v>0.19266367578126009</v>
      </c>
      <c r="DW18" s="3">
        <v>5.7812560136279459E-2</v>
      </c>
      <c r="DX18" s="3">
        <v>6.259507811806414E-2</v>
      </c>
      <c r="DY18" s="3">
        <v>0.27859859323909258</v>
      </c>
      <c r="DZ18" s="3">
        <v>1.17147528093297E-3</v>
      </c>
      <c r="EA18" s="3">
        <v>-1.7945666366149991E-2</v>
      </c>
      <c r="EB18" s="3">
        <v>0.1090778874278253</v>
      </c>
      <c r="EC18" s="3">
        <v>5.1865240388643541E-2</v>
      </c>
      <c r="ED18" s="3">
        <v>0.16122648709016321</v>
      </c>
      <c r="EE18" s="3">
        <v>2.0407385609320341E-2</v>
      </c>
      <c r="EF18" s="3">
        <v>8.2038991713789311E-2</v>
      </c>
      <c r="EG18" s="3">
        <v>0.49174202107459353</v>
      </c>
      <c r="EH18" s="3">
        <v>-2.3474760705316278E-2</v>
      </c>
      <c r="EI18" s="3">
        <v>1.4951567267490929E-2</v>
      </c>
      <c r="EJ18" s="3">
        <v>5.2617468802211249E-2</v>
      </c>
      <c r="EK18" s="3">
        <v>4.5567284942549142E-2</v>
      </c>
      <c r="EL18" s="3">
        <v>4.4722641303668181E-2</v>
      </c>
      <c r="EM18">
        <f t="shared" si="11"/>
        <v>8.5667787833596548E-2</v>
      </c>
      <c r="EN18">
        <f t="shared" si="12"/>
        <v>9.8236877679502496E-2</v>
      </c>
      <c r="EO18">
        <f t="shared" si="13"/>
        <v>0.87205324372266224</v>
      </c>
    </row>
    <row r="19" spans="1:145" x14ac:dyDescent="0.3">
      <c r="A19" s="18">
        <v>180</v>
      </c>
      <c r="B19" s="18">
        <f t="shared" si="10"/>
        <v>6</v>
      </c>
      <c r="C19" s="3">
        <v>0.25825037374733928</v>
      </c>
      <c r="D19" s="3">
        <v>0.20816772247219481</v>
      </c>
      <c r="E19" s="3">
        <v>7.3818854031292583E-2</v>
      </c>
      <c r="F19" s="3">
        <v>1.8539269393909971E-2</v>
      </c>
      <c r="G19" s="3">
        <v>0.11281382672705779</v>
      </c>
      <c r="H19" s="3">
        <v>8.6533790412176764E-2</v>
      </c>
      <c r="I19" s="3">
        <v>0.183132986749064</v>
      </c>
      <c r="J19" s="3">
        <v>0.2060553049937506</v>
      </c>
      <c r="K19" s="3">
        <v>4.2881240495088048E-2</v>
      </c>
      <c r="L19" s="3">
        <v>-5.3179775053100967E-2</v>
      </c>
      <c r="M19" s="3">
        <v>5.6587151701981503E-2</v>
      </c>
      <c r="N19" s="3">
        <v>0.41276888051273081</v>
      </c>
      <c r="O19" s="3">
        <v>5.1189915141745167E-2</v>
      </c>
      <c r="P19" s="3">
        <v>8.090003010073446E-2</v>
      </c>
      <c r="Q19" s="3">
        <v>-5.0602909077291307E-2</v>
      </c>
      <c r="R19" s="3">
        <v>-9.0299090630856282E-2</v>
      </c>
      <c r="S19" s="3">
        <v>0.32455080850195822</v>
      </c>
      <c r="T19" s="3">
        <v>7.0706363175496681E-2</v>
      </c>
      <c r="U19" s="3">
        <v>-6.4758127497753892E-2</v>
      </c>
      <c r="V19" s="3">
        <v>5.4719784771743024E-3</v>
      </c>
      <c r="W19" s="3">
        <v>1.5187091264811809E-2</v>
      </c>
      <c r="X19" s="3">
        <v>0.22802402860092669</v>
      </c>
      <c r="Y19" s="3">
        <v>4.1111501930840899E-2</v>
      </c>
      <c r="Z19" s="3">
        <v>7.9788073669434051E-2</v>
      </c>
      <c r="AA19" s="3">
        <v>0.102419772147367</v>
      </c>
      <c r="AB19" s="3">
        <v>7.9004586334525617E-2</v>
      </c>
      <c r="AC19" s="3">
        <v>4.8961984334094558E-2</v>
      </c>
      <c r="AD19" s="3">
        <v>-4.138057090668263E-2</v>
      </c>
      <c r="AE19" s="3">
        <v>0.23675417838502649</v>
      </c>
      <c r="AF19" s="3">
        <v>0.2456999504625641</v>
      </c>
      <c r="AG19" s="3">
        <v>4.8677233877883898E-2</v>
      </c>
      <c r="AH19" s="3">
        <v>-5.6557715221703553E-2</v>
      </c>
      <c r="AI19" s="3">
        <v>3.1554436283047077E-2</v>
      </c>
      <c r="AJ19" s="3">
        <v>-4.6836086426977799E-2</v>
      </c>
      <c r="AK19" s="3">
        <v>7.5520425059527104E-3</v>
      </c>
      <c r="AL19" s="3">
        <v>5.9399001189050768E-2</v>
      </c>
      <c r="AM19" s="3">
        <v>3.258501675727029E-2</v>
      </c>
      <c r="AN19" s="3">
        <v>0.11732233838426109</v>
      </c>
      <c r="AO19" s="3">
        <v>2.3521151986376668E-2</v>
      </c>
      <c r="AP19" s="3">
        <v>9.5720650647838565E-2</v>
      </c>
      <c r="AQ19" s="3">
        <v>1.8043551058852521E-3</v>
      </c>
      <c r="AR19" s="3">
        <v>6.1340989099999792E-2</v>
      </c>
      <c r="AS19" s="3">
        <v>-5.7025232144876439E-2</v>
      </c>
      <c r="AT19" s="3">
        <v>0.33000222487138942</v>
      </c>
      <c r="AU19" s="3">
        <v>0.15211368170021031</v>
      </c>
      <c r="AV19" s="3">
        <v>4.0899918655252318E-2</v>
      </c>
      <c r="AW19" s="3">
        <v>0.20316137070783269</v>
      </c>
      <c r="AX19" s="3">
        <v>0.18062020604609161</v>
      </c>
      <c r="AY19" s="3">
        <v>9.0833526888137089E-2</v>
      </c>
      <c r="AZ19" s="3">
        <v>5.4875564024250978E-2</v>
      </c>
      <c r="BA19" s="3">
        <v>0.1845010616416142</v>
      </c>
      <c r="BB19" s="3">
        <v>0.2875566749228311</v>
      </c>
      <c r="BC19" s="3">
        <v>8.2725621214935138E-2</v>
      </c>
      <c r="BD19" s="3">
        <v>-2.037236273749906E-2</v>
      </c>
      <c r="BE19" s="3">
        <v>8.105888884626726E-2</v>
      </c>
      <c r="BF19" s="3">
        <v>0.13026631111831799</v>
      </c>
      <c r="BG19" s="3">
        <v>-1.514401469524557E-2</v>
      </c>
      <c r="BH19" s="3">
        <v>0.12966872753031139</v>
      </c>
      <c r="BI19" s="3">
        <v>6.2583964077389878E-2</v>
      </c>
      <c r="BJ19" s="3">
        <v>2.4018117912345791E-2</v>
      </c>
      <c r="BK19" s="3">
        <v>-8.9766859427346149E-2</v>
      </c>
      <c r="BL19" s="3">
        <v>6.7122935241750795E-2</v>
      </c>
      <c r="BM19" s="3">
        <v>4.9110781341881633E-2</v>
      </c>
      <c r="BN19" s="3">
        <v>-1.3391265017591461E-2</v>
      </c>
      <c r="BO19" s="3">
        <v>2.1019849988848791E-2</v>
      </c>
      <c r="BP19" s="3">
        <v>-6.8391036989210563E-2</v>
      </c>
      <c r="BQ19" s="3">
        <v>3.3457614969847158E-2</v>
      </c>
      <c r="BR19" s="3">
        <v>0.1232395346244242</v>
      </c>
      <c r="BS19" s="3">
        <v>-8.9670615801846071E-3</v>
      </c>
      <c r="BT19" s="3">
        <v>-3.5563239126725453E-2</v>
      </c>
      <c r="BU19" s="3">
        <v>9.8343719672102842E-2</v>
      </c>
      <c r="BV19" s="3">
        <v>-4.9639260373983238E-2</v>
      </c>
      <c r="BW19" s="3">
        <v>0.35651024469680431</v>
      </c>
      <c r="BX19" s="3">
        <v>1.2701725932087189E-2</v>
      </c>
      <c r="BY19" s="3">
        <v>9.4645219359794364E-2</v>
      </c>
      <c r="BZ19" s="3">
        <v>6.087201744224871E-2</v>
      </c>
      <c r="CA19" s="3">
        <v>2.238290891488591E-2</v>
      </c>
      <c r="CB19" s="3">
        <v>1.3789670800873731E-2</v>
      </c>
      <c r="CC19" s="3">
        <v>0.2417632910805583</v>
      </c>
      <c r="CD19" s="3">
        <v>0.1634233973916995</v>
      </c>
      <c r="CE19" s="3">
        <v>3.7209123435631417E-2</v>
      </c>
      <c r="CF19" s="3">
        <v>5.7049273106916203E-2</v>
      </c>
      <c r="CG19" s="3">
        <v>0.14129641998391829</v>
      </c>
      <c r="CH19" s="3">
        <v>0.12967081230693789</v>
      </c>
      <c r="CI19" s="3">
        <v>2.6363132284744802E-2</v>
      </c>
      <c r="CJ19" s="3">
        <v>1.8728496744254699E-3</v>
      </c>
      <c r="CK19" s="3">
        <v>0.15223796993137539</v>
      </c>
      <c r="CL19" s="3">
        <v>0.39173754358099672</v>
      </c>
      <c r="CM19" s="3">
        <v>2.4237295399031029E-2</v>
      </c>
      <c r="CN19" s="3">
        <v>0.203575447197685</v>
      </c>
      <c r="CO19" s="3">
        <v>0.18612997859886549</v>
      </c>
      <c r="CP19" s="3">
        <v>0.16282924258529641</v>
      </c>
      <c r="CQ19" s="3">
        <v>4.6129026068822333E-2</v>
      </c>
      <c r="CR19" s="3">
        <v>3.6247752819522333E-2</v>
      </c>
      <c r="CS19" s="3">
        <v>5.5060464824476879E-2</v>
      </c>
      <c r="CT19" s="3">
        <v>3.6441795876638698E-2</v>
      </c>
      <c r="CU19" s="3">
        <v>0.17077278897132989</v>
      </c>
      <c r="CV19" s="3">
        <v>0.13455717083029151</v>
      </c>
      <c r="CW19" s="3">
        <v>6.773106645809171E-2</v>
      </c>
      <c r="CX19" s="3">
        <v>0.11887979724664451</v>
      </c>
      <c r="CY19" s="3">
        <v>7.2991215289993056E-2</v>
      </c>
      <c r="CZ19" s="3">
        <v>0.2226851581652444</v>
      </c>
      <c r="DA19" s="3">
        <v>4.4898319176260248E-2</v>
      </c>
      <c r="DB19" s="3">
        <v>5.8652618130978502E-2</v>
      </c>
      <c r="DC19" s="3">
        <v>-5.8594248802098133E-2</v>
      </c>
      <c r="DD19" s="3">
        <v>3.2007773031956649E-2</v>
      </c>
      <c r="DE19" s="3">
        <v>8.648422729649187E-2</v>
      </c>
      <c r="DF19" s="3">
        <v>0.20002704446833819</v>
      </c>
      <c r="DG19" s="3">
        <v>6.6791453364122733E-2</v>
      </c>
      <c r="DH19" s="3">
        <v>0.24633454790181741</v>
      </c>
      <c r="DI19" s="3">
        <v>7.6023014282883078E-2</v>
      </c>
      <c r="DJ19" s="3">
        <v>5.061265825496794E-2</v>
      </c>
      <c r="DK19" s="3">
        <v>6.2506167109315031E-2</v>
      </c>
      <c r="DL19" s="3">
        <v>-5.1896576032354688E-3</v>
      </c>
      <c r="DM19" s="3">
        <v>-6.5564813975573816E-2</v>
      </c>
      <c r="DN19" s="3">
        <v>3.2923718278986588E-2</v>
      </c>
      <c r="DO19" s="3">
        <v>3.9010651523882188E-2</v>
      </c>
      <c r="DP19" s="3">
        <v>0.18722170832684559</v>
      </c>
      <c r="DQ19" s="3">
        <v>5.0447793337120753E-2</v>
      </c>
      <c r="DR19" s="3">
        <v>5.0246245988047958E-2</v>
      </c>
      <c r="DS19" s="3">
        <v>4.4112623348085972E-4</v>
      </c>
      <c r="DT19" s="3">
        <v>7.3921318815956788E-2</v>
      </c>
      <c r="DU19" s="3">
        <v>0.1159787300554177</v>
      </c>
      <c r="DV19" s="3">
        <v>0.17771197319379439</v>
      </c>
      <c r="DW19" s="3">
        <v>7.5899945785009637E-2</v>
      </c>
      <c r="DX19" s="3">
        <v>6.7368660664014535E-2</v>
      </c>
      <c r="DY19" s="3">
        <v>0.2682938562138994</v>
      </c>
      <c r="DZ19" s="3">
        <v>2.7232235020934119E-2</v>
      </c>
      <c r="EA19" s="3">
        <v>7.774740563882665E-3</v>
      </c>
      <c r="EB19" s="3">
        <v>0.12031809934960069</v>
      </c>
      <c r="EC19" s="3">
        <v>3.5933991929562342E-2</v>
      </c>
      <c r="ED19" s="3">
        <v>0.19894254760628341</v>
      </c>
      <c r="EE19" s="3">
        <v>3.0408354668542661E-2</v>
      </c>
      <c r="EF19" s="3">
        <v>7.2902631519315961E-2</v>
      </c>
      <c r="EG19" s="3">
        <v>0.58220861601410923</v>
      </c>
      <c r="EH19" s="3">
        <v>-7.1339263637775374E-2</v>
      </c>
      <c r="EI19" s="3">
        <v>-2.0693682020204301E-2</v>
      </c>
      <c r="EJ19" s="3">
        <v>5.7543775053007652E-2</v>
      </c>
      <c r="EK19" s="3">
        <v>4.1623587597981772E-2</v>
      </c>
      <c r="EL19" s="3">
        <v>4.4033341755044489E-2</v>
      </c>
      <c r="EM19">
        <f t="shared" si="11"/>
        <v>8.5123144110133303E-2</v>
      </c>
      <c r="EN19">
        <f t="shared" si="12"/>
        <v>0.10710804236228776</v>
      </c>
      <c r="EO19">
        <f t="shared" si="13"/>
        <v>0.79474091984809503</v>
      </c>
    </row>
    <row r="20" spans="1:145" x14ac:dyDescent="0.3">
      <c r="A20" s="18">
        <v>200</v>
      </c>
      <c r="B20" s="18">
        <f t="shared" si="10"/>
        <v>5</v>
      </c>
      <c r="C20" s="3">
        <v>0.241035745977561</v>
      </c>
      <c r="D20" s="3">
        <v>0.22395275743740001</v>
      </c>
      <c r="E20" s="3">
        <v>4.8815066363599169E-2</v>
      </c>
      <c r="F20" s="3">
        <v>-2.7411848517627971E-2</v>
      </c>
      <c r="G20" s="3">
        <v>0.13326717167358201</v>
      </c>
      <c r="H20" s="3">
        <v>0.12733285728101729</v>
      </c>
      <c r="I20" s="3">
        <v>0.2142284970631311</v>
      </c>
      <c r="J20" s="3">
        <v>0.22900574536443169</v>
      </c>
      <c r="K20" s="3">
        <v>8.0698573697414899E-2</v>
      </c>
      <c r="L20" s="3">
        <v>-5.774539865201879E-2</v>
      </c>
      <c r="M20" s="3">
        <v>4.3807329306204637E-2</v>
      </c>
      <c r="N20" s="3">
        <v>0.47936140033376018</v>
      </c>
      <c r="O20" s="3">
        <v>4.2734024757790479E-2</v>
      </c>
      <c r="P20" s="3">
        <v>9.4817748615924624E-2</v>
      </c>
      <c r="Q20" s="3">
        <v>-2.6830945130296449E-2</v>
      </c>
      <c r="R20" s="3">
        <v>-0.1092530556374688</v>
      </c>
      <c r="S20" s="3">
        <v>0.27746770687171862</v>
      </c>
      <c r="T20" s="3">
        <v>9.2488241977941019E-2</v>
      </c>
      <c r="U20" s="3">
        <v>-4.4860999039582378E-2</v>
      </c>
      <c r="V20" s="3">
        <v>3.3003555965583707E-2</v>
      </c>
      <c r="W20" s="3">
        <v>-5.1830150860574086E-3</v>
      </c>
      <c r="X20" s="3">
        <v>0.1929023104414854</v>
      </c>
      <c r="Y20" s="3">
        <v>4.2626995433852399E-2</v>
      </c>
      <c r="Z20" s="3">
        <v>9.1419716195751871E-2</v>
      </c>
      <c r="AA20" s="3">
        <v>9.5415528913027556E-2</v>
      </c>
      <c r="AB20" s="3">
        <v>0.1152208458850684</v>
      </c>
      <c r="AC20" s="3">
        <v>6.5352664281926792E-2</v>
      </c>
      <c r="AD20" s="3">
        <v>7.4482705424517154E-3</v>
      </c>
      <c r="AE20" s="3">
        <v>0.14193566253016249</v>
      </c>
      <c r="AF20" s="3">
        <v>0.2386840433411182</v>
      </c>
      <c r="AG20" s="3">
        <v>2.7659218539892259E-2</v>
      </c>
      <c r="AH20" s="3">
        <v>-9.0178200714782636E-2</v>
      </c>
      <c r="AI20" s="3">
        <v>3.0638748971120702E-2</v>
      </c>
      <c r="AJ20" s="3">
        <v>-6.1990034547547639E-2</v>
      </c>
      <c r="AK20" s="3">
        <v>-1.359511549600285E-2</v>
      </c>
      <c r="AL20" s="3">
        <v>6.7328439719529967E-2</v>
      </c>
      <c r="AM20" s="3">
        <v>3.535123710176763E-2</v>
      </c>
      <c r="AN20" s="3">
        <v>0.1208414664731992</v>
      </c>
      <c r="AO20" s="3">
        <v>3.3309502134405873E-2</v>
      </c>
      <c r="AP20" s="3">
        <v>8.6745238092895305E-2</v>
      </c>
      <c r="AQ20" s="3">
        <v>-2.2718043509262941E-2</v>
      </c>
      <c r="AR20" s="3">
        <v>6.2905685333613431E-2</v>
      </c>
      <c r="AS20" s="3">
        <v>-7.3246355688317957E-2</v>
      </c>
      <c r="AT20" s="3">
        <v>0.2030625906437723</v>
      </c>
      <c r="AU20" s="3">
        <v>0.1739743488425739</v>
      </c>
      <c r="AV20" s="3">
        <v>2.6086323130645791E-2</v>
      </c>
      <c r="AW20" s="3">
        <v>0.26649662239130972</v>
      </c>
      <c r="AX20" s="3">
        <v>0.1790139480206687</v>
      </c>
      <c r="AY20" s="3">
        <v>0.1122401662366181</v>
      </c>
      <c r="AZ20" s="3">
        <v>5.0576081072186342E-2</v>
      </c>
      <c r="BA20" s="3">
        <v>0.2145465460988713</v>
      </c>
      <c r="BB20" s="3">
        <v>0.29812630867494172</v>
      </c>
      <c r="BC20" s="3">
        <v>3.9522400124645321E-2</v>
      </c>
      <c r="BD20" s="3">
        <v>-1.599821355701421E-2</v>
      </c>
      <c r="BE20" s="3">
        <v>5.4207680239582348E-2</v>
      </c>
      <c r="BF20" s="3">
        <v>0.15957316783485589</v>
      </c>
      <c r="BG20" s="3">
        <v>1.2954824906421939E-3</v>
      </c>
      <c r="BH20" s="3">
        <v>9.1018860182863454E-2</v>
      </c>
      <c r="BI20" s="3">
        <v>8.9047957829847313E-2</v>
      </c>
      <c r="BJ20" s="3">
        <v>1.941823648192215E-2</v>
      </c>
      <c r="BK20" s="3">
        <v>-4.470785893660037E-2</v>
      </c>
      <c r="BL20" s="3">
        <v>7.4609523730898381E-2</v>
      </c>
      <c r="BM20" s="3">
        <v>5.6480862732913917E-2</v>
      </c>
      <c r="BN20" s="3">
        <v>-3.6520911046602517E-2</v>
      </c>
      <c r="BO20" s="3">
        <v>2.361256287382453E-2</v>
      </c>
      <c r="BP20" s="3">
        <v>-7.0586227216531267E-4</v>
      </c>
      <c r="BQ20" s="3">
        <v>4.2904946585499093E-2</v>
      </c>
      <c r="BR20" s="3">
        <v>0.15807727770591359</v>
      </c>
      <c r="BS20" s="3">
        <v>-2.4364630143780739E-2</v>
      </c>
      <c r="BT20" s="3">
        <v>-5.7929857501323068E-2</v>
      </c>
      <c r="BU20" s="3">
        <v>0.106656787346347</v>
      </c>
      <c r="BV20" s="3">
        <v>-5.7447555262872832E-2</v>
      </c>
      <c r="BW20" s="3">
        <v>0.42242581710555699</v>
      </c>
      <c r="BX20" s="3">
        <v>-1.6073796718972331E-2</v>
      </c>
      <c r="BY20" s="3">
        <v>9.2755670484487407E-2</v>
      </c>
      <c r="BZ20" s="3">
        <v>8.6739352670325481E-2</v>
      </c>
      <c r="CA20" s="3">
        <v>1.7341987931063979E-2</v>
      </c>
      <c r="CB20" s="3">
        <v>2.2364424568948878E-2</v>
      </c>
      <c r="CC20" s="3">
        <v>0.2670957339038651</v>
      </c>
      <c r="CD20" s="3">
        <v>0.1783606275069374</v>
      </c>
      <c r="CE20" s="3">
        <v>3.2857624432042237E-2</v>
      </c>
      <c r="CF20" s="3">
        <v>6.5930866054855666E-2</v>
      </c>
      <c r="CG20" s="3">
        <v>0.1317137537872772</v>
      </c>
      <c r="CH20" s="3">
        <v>0.1391514007469502</v>
      </c>
      <c r="CI20" s="3">
        <v>-4.1774733061409894E-3</v>
      </c>
      <c r="CJ20" s="3">
        <v>-5.155594518816041E-2</v>
      </c>
      <c r="CK20" s="3">
        <v>0.1133929332981321</v>
      </c>
      <c r="CL20" s="3">
        <v>0.39075318679982252</v>
      </c>
      <c r="CM20" s="3">
        <v>8.33825787759742E-3</v>
      </c>
      <c r="CN20" s="3">
        <v>0.10407991005966639</v>
      </c>
      <c r="CO20" s="3">
        <v>0.21784066550107101</v>
      </c>
      <c r="CP20" s="3">
        <v>0.15236924392328269</v>
      </c>
      <c r="CQ20" s="3">
        <v>4.5176644179017067E-2</v>
      </c>
      <c r="CR20" s="3">
        <v>4.510373772287965E-2</v>
      </c>
      <c r="CS20" s="3">
        <v>3.5040747913517453E-2</v>
      </c>
      <c r="CT20" s="3">
        <v>5.7906913371780729E-2</v>
      </c>
      <c r="CU20" s="3">
        <v>0.16194416727056149</v>
      </c>
      <c r="CV20" s="3">
        <v>0.15168960754829389</v>
      </c>
      <c r="CW20" s="3">
        <v>5.3587191859861633E-2</v>
      </c>
      <c r="CX20" s="3">
        <v>0.1206946456524317</v>
      </c>
      <c r="CY20" s="3">
        <v>9.0125293189851824E-2</v>
      </c>
      <c r="CZ20" s="3">
        <v>0.2017998631464254</v>
      </c>
      <c r="DA20" s="3">
        <v>2.204197736506024E-2</v>
      </c>
      <c r="DB20" s="3">
        <v>7.696806977078402E-2</v>
      </c>
      <c r="DC20" s="3">
        <v>-3.456113066023539E-2</v>
      </c>
      <c r="DD20" s="3">
        <v>3.4565162089503582E-2</v>
      </c>
      <c r="DE20" s="3">
        <v>6.7537504091512657E-2</v>
      </c>
      <c r="DF20" s="3">
        <v>0.22982781298180299</v>
      </c>
      <c r="DG20" s="3">
        <v>7.4371572181915813E-2</v>
      </c>
      <c r="DH20" s="3">
        <v>0.30439257378773771</v>
      </c>
      <c r="DI20" s="3">
        <v>0.1241607238732243</v>
      </c>
      <c r="DJ20" s="3">
        <v>0.1177196504705845</v>
      </c>
      <c r="DK20" s="3">
        <v>7.3309779933760713E-2</v>
      </c>
      <c r="DL20" s="3">
        <v>5.464949574950681E-3</v>
      </c>
      <c r="DM20" s="3">
        <v>-7.5266042749959619E-3</v>
      </c>
      <c r="DN20" s="3">
        <v>4.5053324742301643E-2</v>
      </c>
      <c r="DO20" s="3">
        <v>-1.7855120094467311E-2</v>
      </c>
      <c r="DP20" s="3">
        <v>0.17009871997576789</v>
      </c>
      <c r="DQ20" s="3">
        <v>4.1618122190411319E-2</v>
      </c>
      <c r="DR20" s="3">
        <v>5.8604562959139697E-2</v>
      </c>
      <c r="DS20" s="3">
        <v>-2.8698636885863309E-2</v>
      </c>
      <c r="DT20" s="3">
        <v>6.8042387127364698E-2</v>
      </c>
      <c r="DU20" s="3">
        <v>0.1160415979072815</v>
      </c>
      <c r="DV20" s="3">
        <v>0.20180048627437491</v>
      </c>
      <c r="DW20" s="3">
        <v>7.4901761912144607E-2</v>
      </c>
      <c r="DX20" s="3">
        <v>6.8670561317318912E-2</v>
      </c>
      <c r="DY20" s="3">
        <v>0.33206307106926303</v>
      </c>
      <c r="DZ20" s="3">
        <v>2.9062312077681611E-2</v>
      </c>
      <c r="EA20" s="3">
        <v>2.060182675304867E-3</v>
      </c>
      <c r="EB20" s="3">
        <v>0.13359364119037129</v>
      </c>
      <c r="EC20" s="3">
        <v>5.1561124266858049E-2</v>
      </c>
      <c r="ED20" s="3">
        <v>0.20700659420393019</v>
      </c>
      <c r="EE20" s="3">
        <v>3.4307818723682257E-2</v>
      </c>
      <c r="EF20" s="3">
        <v>8.4458715388422562E-2</v>
      </c>
      <c r="EG20" s="3">
        <v>0.64286650137419754</v>
      </c>
      <c r="EH20" s="3">
        <v>-8.6162209699737619E-2</v>
      </c>
      <c r="EI20" s="3">
        <v>-1.632278486099659E-2</v>
      </c>
      <c r="EJ20" s="3">
        <v>3.738985665286456E-2</v>
      </c>
      <c r="EK20" s="3">
        <v>4.9176621685310423E-2</v>
      </c>
      <c r="EL20" s="3">
        <v>-1.64425839450076E-2</v>
      </c>
      <c r="EM20">
        <f t="shared" si="11"/>
        <v>8.709717499897926E-2</v>
      </c>
      <c r="EN20">
        <f t="shared" si="12"/>
        <v>0.11372607691919193</v>
      </c>
      <c r="EO20">
        <f t="shared" si="13"/>
        <v>0.76585051870615539</v>
      </c>
    </row>
    <row r="21" spans="1:145" x14ac:dyDescent="0.3">
      <c r="A21" s="18">
        <v>256</v>
      </c>
      <c r="B21" s="18">
        <f t="shared" si="10"/>
        <v>4</v>
      </c>
      <c r="C21" s="3">
        <v>0.2490064650579937</v>
      </c>
      <c r="D21" s="3">
        <v>0.1872483238738703</v>
      </c>
      <c r="E21" s="3">
        <v>7.0282273894446745E-2</v>
      </c>
      <c r="F21" s="3">
        <v>6.9409277090956498E-2</v>
      </c>
      <c r="G21" s="3">
        <v>6.2455603007767313E-2</v>
      </c>
      <c r="H21" s="3">
        <v>8.3509199203109702E-2</v>
      </c>
      <c r="I21" s="3">
        <v>0.2173542762050098</v>
      </c>
      <c r="J21" s="3">
        <v>0.28503540232140601</v>
      </c>
      <c r="K21" s="3">
        <v>6.433498066950441E-2</v>
      </c>
      <c r="L21" s="3">
        <v>-4.1722739716332252E-2</v>
      </c>
      <c r="M21" s="3">
        <v>-2.9350118045452199E-2</v>
      </c>
      <c r="N21" s="3">
        <v>0.58489126462072527</v>
      </c>
      <c r="O21" s="3">
        <v>5.8855140112437657E-2</v>
      </c>
      <c r="P21" s="3">
        <v>0.11039490349323521</v>
      </c>
      <c r="Q21" s="3">
        <v>1.774400360456101E-2</v>
      </c>
      <c r="R21" s="3">
        <v>-9.5575311106630215E-2</v>
      </c>
      <c r="S21" s="3">
        <v>0.25468280250588032</v>
      </c>
      <c r="T21" s="3">
        <v>0.1157189576337045</v>
      </c>
      <c r="U21" s="3">
        <v>-1.5792011862708909E-2</v>
      </c>
      <c r="V21" s="3">
        <v>1.9105436587436481E-2</v>
      </c>
      <c r="W21" s="3">
        <v>-3.1960014967510893E-2</v>
      </c>
      <c r="X21" s="3">
        <v>0.19383701512214321</v>
      </c>
      <c r="Y21" s="3">
        <v>9.4011995810175553E-2</v>
      </c>
      <c r="Z21" s="3">
        <v>9.6457431862840171E-2</v>
      </c>
      <c r="AA21" s="3">
        <v>9.2108181599923677E-2</v>
      </c>
      <c r="AB21" s="3">
        <v>0.1167099719164395</v>
      </c>
      <c r="AC21" s="3">
        <v>6.611485951836979E-2</v>
      </c>
      <c r="AD21" s="3">
        <v>1.6979519794088922E-2</v>
      </c>
      <c r="AE21" s="3">
        <v>0.15043393360703219</v>
      </c>
      <c r="AF21" s="3">
        <v>0.24276149706013739</v>
      </c>
      <c r="AG21" s="3">
        <v>4.4302777789794079E-2</v>
      </c>
      <c r="AH21" s="3">
        <v>-0.10758136256479831</v>
      </c>
      <c r="AI21" s="3">
        <v>-2.271891412517683E-2</v>
      </c>
      <c r="AJ21" s="3">
        <v>-7.0405341946468691E-2</v>
      </c>
      <c r="AK21" s="3">
        <v>-3.064343373743127E-2</v>
      </c>
      <c r="AL21" s="3">
        <v>0.1109621461614401</v>
      </c>
      <c r="AM21" s="3">
        <v>5.1301939115901897E-2</v>
      </c>
      <c r="AN21" s="3">
        <v>0.1064311379698018</v>
      </c>
      <c r="AO21" s="3">
        <v>0.1803604878600828</v>
      </c>
      <c r="AP21" s="3">
        <v>0.1048081729015958</v>
      </c>
      <c r="AQ21" s="3">
        <v>-4.6577566106297097E-2</v>
      </c>
      <c r="AR21" s="3">
        <v>8.7781597212775175E-2</v>
      </c>
      <c r="AS21" s="3">
        <v>-0.1174173206585938</v>
      </c>
      <c r="AT21" s="3">
        <v>0.21118406973015361</v>
      </c>
      <c r="AU21" s="3">
        <v>0.1963968992369145</v>
      </c>
      <c r="AV21" s="3">
        <v>1.3890262137370921E-2</v>
      </c>
      <c r="AW21" s="3">
        <v>0.28277325166272288</v>
      </c>
      <c r="AX21" s="3">
        <v>0.15731136441856319</v>
      </c>
      <c r="AY21" s="3">
        <v>0.1389781257201739</v>
      </c>
      <c r="AZ21" s="3">
        <v>6.1468476749762538E-2</v>
      </c>
      <c r="BA21" s="3">
        <v>0.16630846854691689</v>
      </c>
      <c r="BB21" s="3">
        <v>0.41331182729103239</v>
      </c>
      <c r="BC21" s="3">
        <v>5.9896200794398398E-2</v>
      </c>
      <c r="BD21" s="3">
        <v>7.7711636134963494E-3</v>
      </c>
      <c r="BE21" s="3">
        <v>0.13674535590796441</v>
      </c>
      <c r="BF21" s="3">
        <v>0.19911721643060321</v>
      </c>
      <c r="BG21" s="3">
        <v>-9.3639108808686145E-2</v>
      </c>
      <c r="BH21" s="3">
        <v>0.1747791950102007</v>
      </c>
      <c r="BI21" s="3">
        <v>5.9055113397490817E-2</v>
      </c>
      <c r="BJ21" s="3">
        <v>2.152247519425015E-2</v>
      </c>
      <c r="BK21" s="3">
        <v>-7.2723114748713999E-2</v>
      </c>
      <c r="BL21" s="3">
        <v>9.4508282582240866E-2</v>
      </c>
      <c r="BM21" s="3">
        <v>4.0795286028720637E-2</v>
      </c>
      <c r="BN21" s="3">
        <v>-3.9097178275529887E-2</v>
      </c>
      <c r="BO21" s="3">
        <v>-0.10661704054188401</v>
      </c>
      <c r="BP21" s="3">
        <v>7.2557031154580976E-3</v>
      </c>
      <c r="BQ21" s="3">
        <v>5.8010344931967828E-2</v>
      </c>
      <c r="BR21" s="3">
        <v>0.13736323231692041</v>
      </c>
      <c r="BS21" s="3">
        <v>-2.9758592738494131E-2</v>
      </c>
      <c r="BT21" s="3">
        <v>-9.0003491632721616E-2</v>
      </c>
      <c r="BU21" s="3">
        <v>0.12746595431431471</v>
      </c>
      <c r="BV21" s="3">
        <v>-8.2098962201967898E-2</v>
      </c>
      <c r="BW21" s="3">
        <v>0.54260972749319392</v>
      </c>
      <c r="BX21" s="3">
        <v>-3.3159726271705207E-2</v>
      </c>
      <c r="BY21" s="3">
        <v>7.6881613663400933E-2</v>
      </c>
      <c r="BZ21" s="3">
        <v>9.3741645952450769E-2</v>
      </c>
      <c r="CA21" s="3">
        <v>6.4338154315686943E-2</v>
      </c>
      <c r="CB21" s="3">
        <v>3.6725782607617483E-2</v>
      </c>
      <c r="CC21" s="3">
        <v>0.17931874603036521</v>
      </c>
      <c r="CD21" s="3">
        <v>0.24407682528516991</v>
      </c>
      <c r="CE21" s="3">
        <v>3.1129961791098129E-2</v>
      </c>
      <c r="CF21" s="3">
        <v>5.4182445348750309E-2</v>
      </c>
      <c r="CG21" s="3">
        <v>0.15287279607197121</v>
      </c>
      <c r="CH21" s="3">
        <v>2.9607806844142442E-4</v>
      </c>
      <c r="CI21" s="3">
        <v>-3.003803332268698E-3</v>
      </c>
      <c r="CJ21" s="3">
        <v>-1.9661774165692179E-2</v>
      </c>
      <c r="CK21" s="3">
        <v>0.23663133235579659</v>
      </c>
      <c r="CL21" s="3">
        <v>0.46678162174246129</v>
      </c>
      <c r="CM21" s="3">
        <v>-3.8292791365956903E-2</v>
      </c>
      <c r="CN21" s="3">
        <v>0.1638513163528047</v>
      </c>
      <c r="CO21" s="3">
        <v>0.24139409744558429</v>
      </c>
      <c r="CP21" s="3">
        <v>0.1830696262257345</v>
      </c>
      <c r="CQ21" s="3">
        <v>4.7072420475831933E-2</v>
      </c>
      <c r="CR21" s="3">
        <v>4.1319888765932039E-2</v>
      </c>
      <c r="CS21" s="3">
        <v>-3.1863383103708537E-2</v>
      </c>
      <c r="CT21" s="3">
        <v>6.7406806572068129E-2</v>
      </c>
      <c r="CU21" s="3">
        <v>0.17793682006611869</v>
      </c>
      <c r="CV21" s="3">
        <v>0.20039655861827799</v>
      </c>
      <c r="CW21" s="3">
        <v>4.3841589312089903E-2</v>
      </c>
      <c r="CX21" s="3">
        <v>0.14011729413824109</v>
      </c>
      <c r="CY21" s="3">
        <v>0.1106503068143025</v>
      </c>
      <c r="CZ21" s="3">
        <v>0.29550478290626442</v>
      </c>
      <c r="DA21" s="3">
        <v>1.83356518444442E-2</v>
      </c>
      <c r="DB21" s="3">
        <v>7.1461213773998111E-2</v>
      </c>
      <c r="DC21" s="3">
        <v>-5.2448650016597861E-2</v>
      </c>
      <c r="DD21" s="3">
        <v>3.3671195797877647E-2</v>
      </c>
      <c r="DE21" s="3">
        <v>3.2131777435027223E-2</v>
      </c>
      <c r="DF21" s="3">
        <v>0.28613086332294307</v>
      </c>
      <c r="DG21" s="3">
        <v>5.0042124219812377E-2</v>
      </c>
      <c r="DH21" s="3">
        <v>0.3582116692542075</v>
      </c>
      <c r="DI21" s="3">
        <v>0.15186656880945859</v>
      </c>
      <c r="DJ21" s="3">
        <v>0.1188560793905528</v>
      </c>
      <c r="DK21" s="3">
        <v>7.6846385490234217E-2</v>
      </c>
      <c r="DL21" s="3">
        <v>2.1920188588726831E-2</v>
      </c>
      <c r="DM21" s="3">
        <v>-2.420130252777496E-2</v>
      </c>
      <c r="DN21" s="3">
        <v>2.9428370634094331E-2</v>
      </c>
      <c r="DO21" s="3">
        <v>1.4066410155289951E-2</v>
      </c>
      <c r="DP21" s="3">
        <v>0.1148991090783347</v>
      </c>
      <c r="DQ21" s="3">
        <v>0.1092082834775548</v>
      </c>
      <c r="DR21" s="3">
        <v>1.851543020035536E-2</v>
      </c>
      <c r="DS21" s="3">
        <v>-1.168244327049894E-2</v>
      </c>
      <c r="DT21" s="3">
        <v>-7.8939330138467281E-3</v>
      </c>
      <c r="DU21" s="3">
        <v>8.7036161859761402E-2</v>
      </c>
      <c r="DV21" s="3">
        <v>0.26431885060016319</v>
      </c>
      <c r="DW21" s="3">
        <v>0.10898331900535491</v>
      </c>
      <c r="DX21" s="3">
        <v>7.9471503669938631E-2</v>
      </c>
      <c r="DY21" s="3">
        <v>0.3364853633460464</v>
      </c>
      <c r="DZ21" s="3">
        <v>1.4748173723862329E-2</v>
      </c>
      <c r="EA21" s="3">
        <v>-5.3623856450899947E-2</v>
      </c>
      <c r="EB21" s="3">
        <v>8.9072392905037934E-2</v>
      </c>
      <c r="EC21" s="3">
        <v>5.4546207039917319E-2</v>
      </c>
      <c r="ED21" s="3">
        <v>9.2108522769330708E-2</v>
      </c>
      <c r="EE21" s="3">
        <v>3.1907536895362978E-2</v>
      </c>
      <c r="EF21" s="3">
        <v>8.4417239940866182E-2</v>
      </c>
      <c r="EG21" s="3">
        <v>0.76549825427919849</v>
      </c>
      <c r="EH21" s="3">
        <v>-5.3789794255250843E-2</v>
      </c>
      <c r="EI21" s="3">
        <v>-2.2718700591800949E-3</v>
      </c>
      <c r="EJ21" s="3">
        <v>2.4361895137142941E-2</v>
      </c>
      <c r="EK21" s="3">
        <v>6.8496100462680579E-2</v>
      </c>
      <c r="EL21" s="3">
        <v>2.6006531752984039E-2</v>
      </c>
      <c r="EM21">
        <f t="shared" si="11"/>
        <v>9.3149442185554751E-2</v>
      </c>
      <c r="EN21">
        <f t="shared" si="12"/>
        <v>0.13465773893619593</v>
      </c>
      <c r="EO21">
        <f t="shared" si="13"/>
        <v>0.69174963816740753</v>
      </c>
    </row>
    <row r="22" spans="1:145" x14ac:dyDescent="0.3">
      <c r="A22" s="18">
        <v>400</v>
      </c>
      <c r="B22" s="18">
        <f t="shared" si="10"/>
        <v>3</v>
      </c>
      <c r="C22" s="3">
        <v>0.28886619116808843</v>
      </c>
      <c r="D22" s="3">
        <v>3.657372240832911E-2</v>
      </c>
      <c r="E22" s="3">
        <v>-1.7355098916458981E-2</v>
      </c>
      <c r="F22" s="3">
        <v>0.13986745030938699</v>
      </c>
      <c r="G22" s="3">
        <v>0.1038843632903341</v>
      </c>
      <c r="H22" s="3">
        <v>6.8510693540499268E-2</v>
      </c>
      <c r="I22" s="3">
        <v>0.21695806010811891</v>
      </c>
      <c r="J22" s="3">
        <v>0.37609347134271992</v>
      </c>
      <c r="K22" s="3">
        <v>2.8656780116393998E-2</v>
      </c>
      <c r="L22" s="3">
        <v>3.9536714080388898E-3</v>
      </c>
      <c r="M22" s="3">
        <v>-1.6096386535256649E-2</v>
      </c>
      <c r="N22" s="3">
        <v>0.75614344311733894</v>
      </c>
      <c r="O22" s="3">
        <v>8.4166448593656545E-2</v>
      </c>
      <c r="P22" s="3">
        <v>2.6945954266884141E-2</v>
      </c>
      <c r="Q22" s="3">
        <v>3.4657141021438742E-2</v>
      </c>
      <c r="R22" s="3">
        <v>-3.6628434271588052E-2</v>
      </c>
      <c r="S22" s="3">
        <v>7.2840826515003912E-2</v>
      </c>
      <c r="T22" s="3">
        <v>0.13585714956761111</v>
      </c>
      <c r="U22" s="3">
        <v>-4.4683532009678548E-2</v>
      </c>
      <c r="V22" s="3">
        <v>5.1797092146186767E-2</v>
      </c>
      <c r="W22" s="3">
        <v>-3.2845178547310769E-2</v>
      </c>
      <c r="X22" s="3">
        <v>0.1578500516608691</v>
      </c>
      <c r="Y22" s="3">
        <v>0.14950844665838381</v>
      </c>
      <c r="Z22" s="3">
        <v>7.4601571588958276E-2</v>
      </c>
      <c r="AA22" s="3">
        <v>5.2507971845559408E-2</v>
      </c>
      <c r="AB22" s="3">
        <v>0.11750157576156529</v>
      </c>
      <c r="AC22" s="3">
        <v>9.3396379383720668E-2</v>
      </c>
      <c r="AD22" s="3">
        <v>8.9391604493573654E-3</v>
      </c>
      <c r="AE22" s="3">
        <v>0.13325425166370131</v>
      </c>
      <c r="AF22" s="3">
        <v>0.27237224992142972</v>
      </c>
      <c r="AG22" s="3">
        <v>5.2841540175733892E-2</v>
      </c>
      <c r="AH22" s="3">
        <v>-0.10586595942047269</v>
      </c>
      <c r="AI22" s="3">
        <v>2.049960797509837E-2</v>
      </c>
      <c r="AJ22" s="3">
        <v>-3.1699849326408271E-2</v>
      </c>
      <c r="AK22" s="3">
        <v>0.1012885607403957</v>
      </c>
      <c r="AL22" s="3">
        <v>3.6840806286715461E-2</v>
      </c>
      <c r="AM22" s="3">
        <v>8.4088903467703563E-2</v>
      </c>
      <c r="AN22" s="3">
        <v>0.17720720373425369</v>
      </c>
      <c r="AO22" s="3">
        <v>0.23610215360517761</v>
      </c>
      <c r="AP22" s="3">
        <v>0.18456058935382719</v>
      </c>
      <c r="AQ22" s="3">
        <v>-0.17906239408298319</v>
      </c>
      <c r="AR22" s="3">
        <v>8.2546724885988632E-2</v>
      </c>
      <c r="AS22" s="3">
        <v>-2.2170482112280659E-2</v>
      </c>
      <c r="AT22" s="3">
        <v>0.1136043448595091</v>
      </c>
      <c r="AU22" s="3">
        <v>0.27983614582712568</v>
      </c>
      <c r="AV22" s="3">
        <v>7.9203228670756201E-2</v>
      </c>
      <c r="AW22" s="3">
        <v>0.416894568719475</v>
      </c>
      <c r="AX22" s="3">
        <v>-4.7737840971480427E-2</v>
      </c>
      <c r="AY22" s="3">
        <v>0.19434249832374509</v>
      </c>
      <c r="AZ22" s="3">
        <v>6.3956460551186631E-2</v>
      </c>
      <c r="BA22" s="3">
        <v>0.17858892561027201</v>
      </c>
      <c r="BB22" s="3">
        <v>0.49016727339116178</v>
      </c>
      <c r="BC22" s="3">
        <v>-0.1155417258126869</v>
      </c>
      <c r="BD22" s="3">
        <v>3.8662233380213101E-2</v>
      </c>
      <c r="BE22" s="3">
        <v>0.12806788396565999</v>
      </c>
      <c r="BF22" s="3">
        <v>0.1991024485484385</v>
      </c>
      <c r="BG22" s="3">
        <v>-0.1429703513738661</v>
      </c>
      <c r="BH22" s="3">
        <v>0.12770700939641619</v>
      </c>
      <c r="BI22" s="3">
        <v>-1.7540795032593311E-2</v>
      </c>
      <c r="BJ22" s="3">
        <v>-1.8501599821192798E-2</v>
      </c>
      <c r="BK22" s="3">
        <v>-4.831524105166432E-2</v>
      </c>
      <c r="BL22" s="3">
        <v>0.11765694936342749</v>
      </c>
      <c r="BM22" s="3">
        <v>2.4304832455331882E-3</v>
      </c>
      <c r="BN22" s="3">
        <v>-4.5815704530467682E-2</v>
      </c>
      <c r="BO22" s="3">
        <v>-9.2277713600133218E-2</v>
      </c>
      <c r="BP22" s="3">
        <v>2.337690190819672E-3</v>
      </c>
      <c r="BQ22" s="3">
        <v>7.7351978271746183E-2</v>
      </c>
      <c r="BR22" s="3">
        <v>0.14695670382074311</v>
      </c>
      <c r="BS22" s="3">
        <v>4.4078422998684391E-2</v>
      </c>
      <c r="BT22" s="3">
        <v>-0.1052009159110476</v>
      </c>
      <c r="BU22" s="3">
        <v>0.1526674050479728</v>
      </c>
      <c r="BV22" s="3">
        <v>-4.7266464511905519E-2</v>
      </c>
      <c r="BW22" s="3">
        <v>0.31056566332134172</v>
      </c>
      <c r="BX22" s="3">
        <v>-3.1911449383790043E-2</v>
      </c>
      <c r="BY22" s="3">
        <v>5.0267437474919248E-2</v>
      </c>
      <c r="BZ22" s="3">
        <v>4.1370983212962009E-2</v>
      </c>
      <c r="CA22" s="3">
        <v>4.6015862393473828E-2</v>
      </c>
      <c r="CB22" s="3">
        <v>4.3804174111903668E-2</v>
      </c>
      <c r="CC22" s="3">
        <v>0.27544481942343019</v>
      </c>
      <c r="CD22" s="3">
        <v>0.35567309668070152</v>
      </c>
      <c r="CE22" s="3">
        <v>1.350344893247271E-2</v>
      </c>
      <c r="CF22" s="3">
        <v>0.102508103348962</v>
      </c>
      <c r="CG22" s="3">
        <v>0.32392308344577347</v>
      </c>
      <c r="CH22" s="3">
        <v>-2.6427162503829611E-2</v>
      </c>
      <c r="CI22" s="3">
        <v>-1.5860418083537709E-2</v>
      </c>
      <c r="CJ22" s="3">
        <v>-1.05407193393019E-2</v>
      </c>
      <c r="CK22" s="3">
        <v>0.17643920814984551</v>
      </c>
      <c r="CL22" s="3">
        <v>0.49541388483301863</v>
      </c>
      <c r="CM22" s="3">
        <v>-4.7372367581162061E-2</v>
      </c>
      <c r="CN22" s="3">
        <v>0.18215712511011631</v>
      </c>
      <c r="CO22" s="3">
        <v>0.17152969561420439</v>
      </c>
      <c r="CP22" s="3">
        <v>0.20656797743316491</v>
      </c>
      <c r="CQ22" s="3">
        <v>9.2165908408294861E-2</v>
      </c>
      <c r="CR22" s="3">
        <v>4.4739600323238288E-2</v>
      </c>
      <c r="CS22" s="3">
        <v>-6.8236066991472957E-2</v>
      </c>
      <c r="CT22" s="3">
        <v>9.5120869107279821E-2</v>
      </c>
      <c r="CU22" s="3">
        <v>0.19271417485125961</v>
      </c>
      <c r="CV22" s="3">
        <v>0.2362808128295201</v>
      </c>
      <c r="CW22" s="3">
        <v>-1.0226546296446719E-2</v>
      </c>
      <c r="CX22" s="3">
        <v>0.12678552669060811</v>
      </c>
      <c r="CY22" s="3">
        <v>0.13548943365441571</v>
      </c>
      <c r="CZ22" s="3">
        <v>0.35215156996889291</v>
      </c>
      <c r="DA22" s="3">
        <v>2.2473098166241889E-2</v>
      </c>
      <c r="DB22" s="3">
        <v>5.4041621710522049E-2</v>
      </c>
      <c r="DC22" s="3">
        <v>-2.4083459890003728E-2</v>
      </c>
      <c r="DD22" s="3">
        <v>0.1383546535444734</v>
      </c>
      <c r="DE22" s="3">
        <v>-1.7756503501932811E-2</v>
      </c>
      <c r="DF22" s="3">
        <v>0.38966763369412349</v>
      </c>
      <c r="DG22" s="3">
        <v>7.4791031782706352E-2</v>
      </c>
      <c r="DH22" s="3">
        <v>0.12640435016781121</v>
      </c>
      <c r="DI22" s="3">
        <v>0.22468946661427019</v>
      </c>
      <c r="DJ22" s="3">
        <v>0.1035146393093154</v>
      </c>
      <c r="DK22" s="3">
        <v>7.269613117056245E-2</v>
      </c>
      <c r="DL22" s="3">
        <v>3.31091150919431E-2</v>
      </c>
      <c r="DM22" s="3">
        <v>-2.314433577013247E-2</v>
      </c>
      <c r="DN22" s="3">
        <v>1.0117600642261439E-2</v>
      </c>
      <c r="DO22" s="3">
        <v>-6.1460673285183669E-2</v>
      </c>
      <c r="DP22" s="3">
        <v>8.8552486437397188E-2</v>
      </c>
      <c r="DQ22" s="3">
        <v>0.21106094176177309</v>
      </c>
      <c r="DR22" s="3">
        <v>-5.7297032660947191E-2</v>
      </c>
      <c r="DS22" s="3">
        <v>-3.9948517382223478E-2</v>
      </c>
      <c r="DT22" s="3">
        <v>3.8469137611300892E-2</v>
      </c>
      <c r="DU22" s="3">
        <v>0.1020190080177573</v>
      </c>
      <c r="DV22" s="3">
        <v>0.29109561598522499</v>
      </c>
      <c r="DW22" s="3">
        <v>-8.1415413379923474E-2</v>
      </c>
      <c r="DX22" s="3">
        <v>8.3184240026252868E-2</v>
      </c>
      <c r="DY22" s="3">
        <v>0.24344283400126021</v>
      </c>
      <c r="DZ22" s="3">
        <v>-2.179721616120317E-3</v>
      </c>
      <c r="EA22" s="3">
        <v>-5.4226640136078239E-2</v>
      </c>
      <c r="EB22" s="3">
        <v>0.20437536021575409</v>
      </c>
      <c r="EC22" s="3">
        <v>4.5053777898000927E-2</v>
      </c>
      <c r="ED22" s="3">
        <v>0.12755978895247419</v>
      </c>
      <c r="EE22" s="3">
        <v>1.670262802637313E-3</v>
      </c>
      <c r="EF22" s="3">
        <v>3.4354893375399979E-2</v>
      </c>
      <c r="EG22" s="3">
        <v>0.94008943856192095</v>
      </c>
      <c r="EH22" s="3">
        <v>-9.019632732011143E-2</v>
      </c>
      <c r="EI22" s="3">
        <v>9.8367297462538701E-3</v>
      </c>
      <c r="EJ22" s="3">
        <v>6.2733871692929141E-2</v>
      </c>
      <c r="EK22" s="3">
        <v>0.1079890957795992</v>
      </c>
      <c r="EL22" s="3">
        <v>4.7714946164396158E-2</v>
      </c>
      <c r="EM22">
        <f t="shared" si="11"/>
        <v>9.6036629068171772E-2</v>
      </c>
      <c r="EN22">
        <f t="shared" si="12"/>
        <v>0.15496649145199518</v>
      </c>
      <c r="EO22">
        <f t="shared" si="13"/>
        <v>0.61972513004801155</v>
      </c>
    </row>
    <row r="23" spans="1:145" x14ac:dyDescent="0.3">
      <c r="A23" s="18">
        <v>512</v>
      </c>
      <c r="B23" s="18">
        <f t="shared" si="10"/>
        <v>2</v>
      </c>
      <c r="C23" s="3">
        <v>0.28298926569632887</v>
      </c>
      <c r="D23" s="3">
        <v>2.5572738597117312E-2</v>
      </c>
      <c r="E23" s="3">
        <v>0.13300519405617101</v>
      </c>
      <c r="F23" s="3">
        <v>3.740232941910691E-3</v>
      </c>
      <c r="G23" s="3">
        <v>-2.6971568524368019E-2</v>
      </c>
      <c r="H23" s="3">
        <v>-1.8188470841484668E-2</v>
      </c>
      <c r="I23" s="3">
        <v>0.148152028600294</v>
      </c>
      <c r="J23" s="3">
        <v>0.1120353509707598</v>
      </c>
      <c r="K23" s="3">
        <v>-5.9917884508062888E-2</v>
      </c>
      <c r="L23" s="3">
        <v>-5.0770833705182927E-2</v>
      </c>
      <c r="M23" s="3">
        <v>-6.6725323868973827E-2</v>
      </c>
      <c r="N23" s="3">
        <v>0.97590144327128003</v>
      </c>
      <c r="O23" s="3">
        <v>-2.3021517522107062E-3</v>
      </c>
      <c r="P23" s="3">
        <v>3.3889195272266831E-3</v>
      </c>
      <c r="Q23" s="3">
        <v>6.7091137337957185E-2</v>
      </c>
      <c r="R23" s="3">
        <v>-5.6211143313255052E-2</v>
      </c>
      <c r="S23" s="3">
        <v>8.401148311947354E-2</v>
      </c>
      <c r="T23" s="3">
        <v>3.9614189164827618E-2</v>
      </c>
      <c r="U23" s="3">
        <v>-0.1939598632503596</v>
      </c>
      <c r="V23" s="3">
        <v>5.4692462487890163E-2</v>
      </c>
      <c r="W23" s="3">
        <v>4.1345117940638429E-3</v>
      </c>
      <c r="X23" s="3">
        <v>0.1817811857978229</v>
      </c>
      <c r="Y23" s="3">
        <v>0.23418396405485739</v>
      </c>
      <c r="Z23" s="3">
        <v>0.13179100557896559</v>
      </c>
      <c r="AA23" s="3">
        <v>0.1301052442445611</v>
      </c>
      <c r="AB23" s="3">
        <v>0.15024154796734959</v>
      </c>
      <c r="AC23" s="3">
        <v>9.7299095202937946E-2</v>
      </c>
      <c r="AD23" s="3">
        <v>4.2570963187536032E-2</v>
      </c>
      <c r="AE23" s="3">
        <v>0.15243653556779671</v>
      </c>
      <c r="AF23" s="3">
        <v>0.19177289444394499</v>
      </c>
      <c r="AG23" s="3">
        <v>9.1873657646360199E-2</v>
      </c>
      <c r="AH23" s="3">
        <v>-8.417158452318324E-2</v>
      </c>
      <c r="AI23" s="3">
        <v>3.0243744310411179E-2</v>
      </c>
      <c r="AJ23" s="3">
        <v>4.8195600190128897E-2</v>
      </c>
      <c r="AK23" s="3">
        <v>0.11411109934719101</v>
      </c>
      <c r="AL23" s="3">
        <v>5.0760011006430988E-2</v>
      </c>
      <c r="AM23" s="3">
        <v>7.769489004865255E-3</v>
      </c>
      <c r="AN23" s="3">
        <v>0.24231469935730071</v>
      </c>
      <c r="AO23" s="3">
        <v>0.24640716478248709</v>
      </c>
      <c r="AP23" s="3">
        <v>9.2917766517353895E-2</v>
      </c>
      <c r="AQ23" s="3">
        <v>-0.18719277713888691</v>
      </c>
      <c r="AR23" s="3">
        <v>0.1461361643393671</v>
      </c>
      <c r="AS23" s="3">
        <v>-6.2783843657924859E-2</v>
      </c>
      <c r="AT23" s="3">
        <v>0.1095059029649002</v>
      </c>
      <c r="AU23" s="3">
        <v>0.31867753043169111</v>
      </c>
      <c r="AV23" s="3">
        <v>0.15047651129726911</v>
      </c>
      <c r="AW23" s="3">
        <v>9.1470967172539372E-2</v>
      </c>
      <c r="AX23" s="3">
        <v>-1.4812779008540821E-2</v>
      </c>
      <c r="AY23" s="3">
        <v>0.17023398084058211</v>
      </c>
      <c r="AZ23" s="3">
        <v>7.8071576521207053E-2</v>
      </c>
      <c r="BA23" s="3">
        <v>5.3998338629857423E-2</v>
      </c>
      <c r="BB23" s="3">
        <v>0.48557915496025389</v>
      </c>
      <c r="BC23" s="3">
        <v>-0.30082824917306578</v>
      </c>
      <c r="BD23" s="3">
        <v>6.5076817165660855E-2</v>
      </c>
      <c r="BE23" s="3">
        <v>0.1242921430258994</v>
      </c>
      <c r="BF23" s="3">
        <v>0.21000911286045121</v>
      </c>
      <c r="BG23" s="3">
        <v>-0.27238301800351372</v>
      </c>
      <c r="BH23" s="3">
        <v>6.3365195703238231E-2</v>
      </c>
      <c r="BI23" s="3">
        <v>8.1416879871558698E-2</v>
      </c>
      <c r="BJ23" s="3">
        <v>-4.6193151079602618E-2</v>
      </c>
      <c r="BK23" s="3">
        <v>-4.7849323301188178E-2</v>
      </c>
      <c r="BL23" s="3">
        <v>0.11436629014166901</v>
      </c>
      <c r="BM23" s="3">
        <v>-6.9495462024450616E-2</v>
      </c>
      <c r="BN23" s="3">
        <v>-0.15467716835591211</v>
      </c>
      <c r="BO23" s="3">
        <v>-0.19280643096294561</v>
      </c>
      <c r="BP23" s="3">
        <v>-9.8630380242120431E-3</v>
      </c>
      <c r="BQ23" s="3">
        <v>0.1042594606837233</v>
      </c>
      <c r="BR23" s="3">
        <v>0.1324153313572079</v>
      </c>
      <c r="BS23" s="3">
        <v>-4.9110058236967458E-4</v>
      </c>
      <c r="BT23" s="3">
        <v>0.10807708594088331</v>
      </c>
      <c r="BU23" s="3">
        <v>0.23163287017673859</v>
      </c>
      <c r="BV23" s="3">
        <v>-5.326905055788838E-2</v>
      </c>
      <c r="BW23" s="3">
        <v>0.31868518739678781</v>
      </c>
      <c r="BX23" s="3">
        <v>-8.3160926191687107E-2</v>
      </c>
      <c r="BY23" s="3">
        <v>8.3991020616997591E-2</v>
      </c>
      <c r="BZ23" s="3">
        <v>-7.233049823802995E-2</v>
      </c>
      <c r="CA23" s="3">
        <v>0.1158479734548683</v>
      </c>
      <c r="CB23" s="3">
        <v>5.6114329539072832E-2</v>
      </c>
      <c r="CC23" s="3">
        <v>0.44318286919740241</v>
      </c>
      <c r="CD23" s="3">
        <v>0.45821457136519028</v>
      </c>
      <c r="CE23" s="3">
        <v>-1.493393869943984E-2</v>
      </c>
      <c r="CF23" s="3">
        <v>0.1676143813103263</v>
      </c>
      <c r="CG23" s="3">
        <v>0.39327674779210842</v>
      </c>
      <c r="CH23" s="3">
        <v>-7.3046097930374615E-2</v>
      </c>
      <c r="CI23" s="3">
        <v>5.6784922348380729E-3</v>
      </c>
      <c r="CJ23" s="3">
        <v>-2.1967846442895178E-3</v>
      </c>
      <c r="CK23" s="3">
        <v>0.31480429120780962</v>
      </c>
      <c r="CL23" s="3">
        <v>0.34053143333517311</v>
      </c>
      <c r="CM23" s="3">
        <v>1.9919501797121219E-2</v>
      </c>
      <c r="CN23" s="3">
        <v>0.2963228494214733</v>
      </c>
      <c r="CO23" s="3">
        <v>0.1668322517502627</v>
      </c>
      <c r="CP23" s="3">
        <v>0.23209987385840031</v>
      </c>
      <c r="CQ23" s="3">
        <v>0.11133205484913621</v>
      </c>
      <c r="CR23" s="3">
        <v>1.6288977447992781E-3</v>
      </c>
      <c r="CS23" s="3">
        <v>5.2840662182840267E-3</v>
      </c>
      <c r="CT23" s="3">
        <v>0.1038849588782232</v>
      </c>
      <c r="CU23" s="3">
        <v>0.24014428048449399</v>
      </c>
      <c r="CV23" s="3">
        <v>0.3097785048289281</v>
      </c>
      <c r="CW23" s="3">
        <v>-1.9053529099671781E-2</v>
      </c>
      <c r="CX23" s="3">
        <v>-4.2852381404584597E-2</v>
      </c>
      <c r="CY23" s="3">
        <v>0.17213840798346319</v>
      </c>
      <c r="CZ23" s="3">
        <v>0.44770534020053748</v>
      </c>
      <c r="DA23" s="3">
        <v>2.5018510994155991E-2</v>
      </c>
      <c r="DB23" s="3">
        <v>1.8747066443219641E-2</v>
      </c>
      <c r="DC23" s="3">
        <v>0.114152472901645</v>
      </c>
      <c r="DD23" s="3">
        <v>9.2798674677153081E-2</v>
      </c>
      <c r="DE23" s="3">
        <v>-6.0085947510171572E-2</v>
      </c>
      <c r="DF23" s="3">
        <v>0.40879492056092032</v>
      </c>
      <c r="DG23" s="3">
        <v>2.962550091989281E-2</v>
      </c>
      <c r="DH23" s="3">
        <v>0.1392268935121084</v>
      </c>
      <c r="DI23" s="3">
        <v>9.2924308916942908E-2</v>
      </c>
      <c r="DJ23" s="3">
        <v>5.7281999481558703E-2</v>
      </c>
      <c r="DK23" s="3">
        <v>6.3146577907403523E-2</v>
      </c>
      <c r="DL23" s="3">
        <v>5.4101277140998598E-2</v>
      </c>
      <c r="DM23" s="3">
        <v>-3.3366755709844542E-2</v>
      </c>
      <c r="DN23" s="3">
        <v>0.17592581317045269</v>
      </c>
      <c r="DO23" s="3">
        <v>-4.9077326915596242E-2</v>
      </c>
      <c r="DP23" s="3">
        <v>0.1743130082981478</v>
      </c>
      <c r="DQ23" s="3">
        <v>0.28304273574048727</v>
      </c>
      <c r="DR23" s="3">
        <v>-6.0496157088733682E-2</v>
      </c>
      <c r="DS23" s="3">
        <v>-0.1165759916669394</v>
      </c>
      <c r="DT23" s="3">
        <v>8.3862877380775525E-2</v>
      </c>
      <c r="DU23" s="3">
        <v>5.5639478708282321E-2</v>
      </c>
      <c r="DV23" s="3">
        <v>0.52435735579001019</v>
      </c>
      <c r="DW23" s="3">
        <v>2.3051820755061941E-2</v>
      </c>
      <c r="DX23" s="3">
        <v>0.1046056537459035</v>
      </c>
      <c r="DY23" s="3">
        <v>0.35963098506618763</v>
      </c>
      <c r="DZ23" s="3">
        <v>6.055537507254137E-2</v>
      </c>
      <c r="EA23" s="3">
        <v>-9.6958321364405298E-2</v>
      </c>
      <c r="EB23" s="3">
        <v>0.33153537858175969</v>
      </c>
      <c r="EC23" s="3">
        <v>1.684593676457162E-2</v>
      </c>
      <c r="ED23" s="3">
        <v>0.11627236735564089</v>
      </c>
      <c r="EE23" s="3">
        <v>2.7630932662962199E-2</v>
      </c>
      <c r="EF23" s="3">
        <v>9.0054994279120365E-2</v>
      </c>
      <c r="EG23" s="3">
        <v>1.286951019251068</v>
      </c>
      <c r="EH23" s="3">
        <v>-0.18195095066183059</v>
      </c>
      <c r="EI23" s="3">
        <v>1.410284926605136E-2</v>
      </c>
      <c r="EJ23" s="3">
        <v>-6.9451151244868392E-2</v>
      </c>
      <c r="EK23" s="3">
        <v>0.12396270835802729</v>
      </c>
      <c r="EL23" s="3">
        <v>3.7867476837468383E-2</v>
      </c>
      <c r="EM23">
        <f t="shared" si="11"/>
        <v>9.8955744438117679E-2</v>
      </c>
      <c r="EN23">
        <f t="shared" si="12"/>
        <v>0.19458880154225935</v>
      </c>
      <c r="EO23">
        <f t="shared" si="13"/>
        <v>0.50853771467741526</v>
      </c>
    </row>
    <row r="24" spans="1:145" x14ac:dyDescent="0.3">
      <c r="A24" s="18">
        <v>1051</v>
      </c>
      <c r="B24" s="18">
        <f t="shared" si="10"/>
        <v>1</v>
      </c>
      <c r="C24" s="3">
        <v>9.9113364206882743E-2</v>
      </c>
      <c r="D24" s="3">
        <v>0.1006099128992286</v>
      </c>
      <c r="E24" s="3">
        <v>0.28451249769050191</v>
      </c>
      <c r="F24" s="3">
        <v>-7.5326493831706698E-2</v>
      </c>
      <c r="G24" s="3">
        <v>-2.2622388562617651E-2</v>
      </c>
      <c r="H24" s="3">
        <v>3.5855796654956661E-2</v>
      </c>
      <c r="I24" s="3">
        <v>-2.111933203143501E-3</v>
      </c>
      <c r="J24" s="3">
        <v>-5.4302156076947827E-2</v>
      </c>
      <c r="K24" s="3">
        <v>5.3732996668234008E-2</v>
      </c>
      <c r="L24" s="3">
        <v>-9.3799693256750388E-2</v>
      </c>
      <c r="M24" s="3">
        <v>-0.14681933889950849</v>
      </c>
      <c r="N24" s="3">
        <v>1.769031369112569</v>
      </c>
      <c r="O24" s="3">
        <v>3.6648790739543732E-2</v>
      </c>
      <c r="P24" s="3">
        <v>0.1042484144089995</v>
      </c>
      <c r="Q24" s="3">
        <v>9.0144948798662944E-2</v>
      </c>
      <c r="R24" s="3">
        <v>-0.24569737077925971</v>
      </c>
      <c r="S24" s="3">
        <v>0.1008087952876474</v>
      </c>
      <c r="T24" s="3">
        <v>-7.793839649787318E-2</v>
      </c>
      <c r="U24" s="3">
        <v>-0.28585628998140078</v>
      </c>
      <c r="V24" s="3">
        <v>-0.15982629222938771</v>
      </c>
      <c r="W24" s="3">
        <v>-0.16456451758688009</v>
      </c>
      <c r="X24" s="3">
        <v>-3.6157896361251968E-2</v>
      </c>
      <c r="Y24" s="3">
        <v>-9.4770149264170878E-3</v>
      </c>
      <c r="Z24" s="3">
        <v>0.1113961829616042</v>
      </c>
      <c r="AA24" s="3">
        <v>0.28502016739769681</v>
      </c>
      <c r="AB24" s="3">
        <v>0.1953396226752438</v>
      </c>
      <c r="AC24" s="3">
        <v>-4.2768816606553178E-4</v>
      </c>
      <c r="AD24" s="3">
        <v>0.1011752992567229</v>
      </c>
      <c r="AE24" s="3">
        <v>0.1117312814238354</v>
      </c>
      <c r="AF24" s="3">
        <v>7.4833924998670837E-2</v>
      </c>
      <c r="AG24" s="3">
        <v>0.1331342505435987</v>
      </c>
      <c r="AH24" s="3">
        <v>-5.6697360067789589E-2</v>
      </c>
      <c r="AI24" s="3">
        <v>0.21453722164080699</v>
      </c>
      <c r="AJ24" s="3">
        <v>-8.089124399937539E-2</v>
      </c>
      <c r="AK24" s="3">
        <v>8.4883953068192297E-2</v>
      </c>
      <c r="AL24" s="3">
        <v>8.7173701476634946E-2</v>
      </c>
      <c r="AM24" s="3">
        <v>-1.89192814205267E-2</v>
      </c>
      <c r="AN24" s="3">
        <v>0.22118946514543131</v>
      </c>
      <c r="AO24" s="3">
        <v>0.1029057025777895</v>
      </c>
      <c r="AP24" s="3">
        <v>2.28517154890964E-2</v>
      </c>
      <c r="AQ24" s="3">
        <v>-0.29800338435896789</v>
      </c>
      <c r="AR24" s="3">
        <v>0.1708334061708256</v>
      </c>
      <c r="AS24" s="3">
        <v>-5.9514127532407722E-2</v>
      </c>
      <c r="AT24" s="3">
        <v>0.15076897992568081</v>
      </c>
      <c r="AU24" s="3">
        <v>0.47705418724240228</v>
      </c>
      <c r="AV24" s="3">
        <v>0.24768466023032751</v>
      </c>
      <c r="AW24" s="3">
        <v>0.1266311396847648</v>
      </c>
      <c r="AX24" s="3">
        <v>0.1114913369162155</v>
      </c>
      <c r="AY24" s="3">
        <v>0.16812729388488939</v>
      </c>
      <c r="AZ24" s="3">
        <v>0.11862372507117649</v>
      </c>
      <c r="BA24" s="3">
        <v>5.0491305412012258E-2</v>
      </c>
      <c r="BB24" s="3">
        <v>0.87270314910649027</v>
      </c>
      <c r="BC24" s="3">
        <v>-0.8032160130443774</v>
      </c>
      <c r="BD24" s="3">
        <v>1.8631034086863729E-2</v>
      </c>
      <c r="BE24" s="3">
        <v>-5.7380537985080138E-2</v>
      </c>
      <c r="BF24" s="3">
        <v>-6.4370420949463519E-2</v>
      </c>
      <c r="BG24" s="3">
        <v>-9.0984227707435611E-2</v>
      </c>
      <c r="BH24" s="3">
        <v>0.14767356525171971</v>
      </c>
      <c r="BI24" s="3">
        <v>0.14021392875864461</v>
      </c>
      <c r="BJ24" s="3">
        <v>-0.1073290202304986</v>
      </c>
      <c r="BK24" s="3">
        <v>-3.4827647172774007E-2</v>
      </c>
      <c r="BL24" s="3">
        <v>0.1061069201511666</v>
      </c>
      <c r="BM24" s="3">
        <v>8.4782939838988242E-2</v>
      </c>
      <c r="BN24" s="3">
        <v>0.10891326031654749</v>
      </c>
      <c r="BO24" s="3">
        <v>-0.16110969109564191</v>
      </c>
      <c r="BP24" s="3">
        <v>3.1794104329889807E-2</v>
      </c>
      <c r="BQ24" s="3">
        <v>-6.4169633330115036E-2</v>
      </c>
      <c r="BR24" s="3">
        <v>9.8920889185241626E-2</v>
      </c>
      <c r="BS24" s="3">
        <v>-0.1403201139620911</v>
      </c>
      <c r="BT24" s="3">
        <v>0.27671901614020838</v>
      </c>
      <c r="BU24" s="3">
        <v>8.7484923148454363E-3</v>
      </c>
      <c r="BV24" s="3">
        <v>-4.625870574066291E-2</v>
      </c>
      <c r="BW24" s="3">
        <v>0.15699245268746931</v>
      </c>
      <c r="BX24" s="3">
        <v>-0.2322262658885291</v>
      </c>
      <c r="BY24" s="3">
        <v>0.29033687494541688</v>
      </c>
      <c r="BZ24" s="3">
        <v>-0.20258078706182561</v>
      </c>
      <c r="CA24" s="3">
        <v>0.1087530887469883</v>
      </c>
      <c r="CB24" s="3">
        <v>5.291730705216989E-2</v>
      </c>
      <c r="CC24" s="3">
        <v>-0.2198311932012271</v>
      </c>
      <c r="CD24" s="3">
        <v>0.23904659928737521</v>
      </c>
      <c r="CE24" s="3">
        <v>-5.5004727302352542E-2</v>
      </c>
      <c r="CF24" s="3">
        <v>0.1168153946325929</v>
      </c>
      <c r="CG24" s="3">
        <v>0.64058463387261821</v>
      </c>
      <c r="CH24" s="3">
        <v>-0.10127492777931051</v>
      </c>
      <c r="CI24" s="3">
        <v>0.1211775893413336</v>
      </c>
      <c r="CJ24" s="3">
        <v>-0.43743079676752578</v>
      </c>
      <c r="CK24" s="3">
        <v>-8.7873759970029004E-3</v>
      </c>
      <c r="CL24" s="3">
        <v>0.65620131069974008</v>
      </c>
      <c r="CM24" s="3">
        <v>2.719455459781923E-3</v>
      </c>
      <c r="CN24" s="3">
        <v>0.60755967397716704</v>
      </c>
      <c r="CO24" s="3">
        <v>8.735443016623605E-2</v>
      </c>
      <c r="CP24" s="3">
        <v>0.12929403261992339</v>
      </c>
      <c r="CQ24" s="3">
        <v>0.13092719820022791</v>
      </c>
      <c r="CR24" s="3">
        <v>2.2126279793981289E-2</v>
      </c>
      <c r="CS24" s="3">
        <v>0.15934835928025581</v>
      </c>
      <c r="CT24" s="3">
        <v>0.38294619462484147</v>
      </c>
      <c r="CU24" s="3">
        <v>5.2729044813654813E-2</v>
      </c>
      <c r="CV24" s="3">
        <v>0.26202483868410642</v>
      </c>
      <c r="CW24" s="3">
        <v>-0.29572306148039179</v>
      </c>
      <c r="CX24" s="3">
        <v>0.14693641909257049</v>
      </c>
      <c r="CY24" s="3">
        <v>0.36022804676873771</v>
      </c>
      <c r="CZ24" s="3">
        <v>0.34631321415719057</v>
      </c>
      <c r="DA24" s="3">
        <v>3.3979585092453302E-2</v>
      </c>
      <c r="DB24" s="3">
        <v>-1.6501865848996312E-2</v>
      </c>
      <c r="DC24" s="3">
        <v>0.19445359829121789</v>
      </c>
      <c r="DD24" s="3">
        <v>-0.19584472218244131</v>
      </c>
      <c r="DE24" s="3">
        <v>0.13158559129553279</v>
      </c>
      <c r="DF24" s="3">
        <v>0.52558500614449799</v>
      </c>
      <c r="DG24" s="3">
        <v>0.11954528640013271</v>
      </c>
      <c r="DH24" s="3">
        <v>0.26580267599251223</v>
      </c>
      <c r="DI24" s="3">
        <v>0.14201474180538359</v>
      </c>
      <c r="DJ24" s="3">
        <v>2.108147115785142E-2</v>
      </c>
      <c r="DK24" s="3">
        <v>6.348335954134332E-2</v>
      </c>
      <c r="DL24" s="3">
        <v>4.7769086011877862E-2</v>
      </c>
      <c r="DM24" s="3">
        <v>2.5807675313727092E-2</v>
      </c>
      <c r="DN24" s="3">
        <v>0.1369604546370787</v>
      </c>
      <c r="DO24" s="3">
        <v>-4.0894289457340617E-2</v>
      </c>
      <c r="DP24" s="3">
        <v>0.33563187842004122</v>
      </c>
      <c r="DQ24" s="3">
        <v>0.34701110177349048</v>
      </c>
      <c r="DR24" s="3">
        <v>-4.6637310808330813E-2</v>
      </c>
      <c r="DS24" s="3">
        <v>-6.7362545713944635E-2</v>
      </c>
      <c r="DT24" s="3">
        <v>5.6640305677830684E-3</v>
      </c>
      <c r="DU24" s="3">
        <v>-2.1781395361230051E-2</v>
      </c>
      <c r="DV24" s="3">
        <v>0.65439619356495549</v>
      </c>
      <c r="DW24" s="3">
        <v>0.10118249665524411</v>
      </c>
      <c r="DX24" s="3">
        <v>-0.10618197747362131</v>
      </c>
      <c r="DY24" s="3">
        <v>0.34380428679820851</v>
      </c>
      <c r="DZ24" s="3">
        <v>5.0469182403116652E-2</v>
      </c>
      <c r="EA24" s="3">
        <v>-2.7229621341053521E-2</v>
      </c>
      <c r="EB24" s="3">
        <v>0.68520167421929012</v>
      </c>
      <c r="EC24" s="3">
        <v>1.368417489400252E-2</v>
      </c>
      <c r="ED24" s="3">
        <v>0.1147491015026024</v>
      </c>
      <c r="EE24" s="3">
        <v>0.10748065723441801</v>
      </c>
      <c r="EF24" s="3">
        <v>0.13408707635021461</v>
      </c>
      <c r="EG24" s="3">
        <v>2.3153612803686849</v>
      </c>
      <c r="EH24" s="3">
        <v>-0.38423031694414889</v>
      </c>
      <c r="EI24" s="3">
        <v>0.1117442810214329</v>
      </c>
      <c r="EJ24" s="3">
        <v>-8.5941735881297818E-2</v>
      </c>
      <c r="EK24" s="3">
        <v>0.1399126065533613</v>
      </c>
      <c r="EL24" s="3">
        <v>6.507702940410813E-2</v>
      </c>
      <c r="EM24">
        <f t="shared" si="11"/>
        <v>0.10171619240009577</v>
      </c>
      <c r="EN24">
        <f t="shared" si="12"/>
        <v>0.32087856789902691</v>
      </c>
      <c r="EO24">
        <f t="shared" si="13"/>
        <v>0.31699278972132383</v>
      </c>
    </row>
    <row r="25" spans="1:145" x14ac:dyDescent="0.3">
      <c r="A25" s="18" t="s">
        <v>154</v>
      </c>
      <c r="B25" s="18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 t="shared" si="11"/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5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5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5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M12:EM24">
    <cfRule type="expression" dxfId="8" priority="3">
      <formula>EM12&gt;$EM$25</formula>
    </cfRule>
  </conditionalFormatting>
  <conditionalFormatting sqref="EN12:EN24">
    <cfRule type="expression" dxfId="7" priority="2">
      <formula>EN12&lt;$EN$25</formula>
    </cfRule>
  </conditionalFormatting>
  <conditionalFormatting sqref="EO12:EO24">
    <cfRule type="expression" dxfId="6" priority="1">
      <formula>EO12&gt;$EO$25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164"/>
  <sheetViews>
    <sheetView tabSelected="1" topLeftCell="DU8" zoomScale="130" zoomScaleNormal="130" workbookViewId="0">
      <selection activeCell="EA12" sqref="EA12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156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5.6118451058864587E-2</v>
      </c>
      <c r="D3" s="2">
        <v>7.8115358948707581E-2</v>
      </c>
      <c r="E3" s="2">
        <v>-0.1415126770734787</v>
      </c>
      <c r="F3" s="2">
        <v>-8.4760263562202454E-2</v>
      </c>
      <c r="G3" s="2">
        <v>-1.6393894329667091E-2</v>
      </c>
      <c r="H3" s="2">
        <v>-2.1295100450515751E-2</v>
      </c>
      <c r="I3" s="2">
        <v>-1.096068881452084E-3</v>
      </c>
      <c r="J3" s="2">
        <v>6.4448930323123932E-2</v>
      </c>
      <c r="K3" s="2">
        <v>9.3935757875442505E-2</v>
      </c>
      <c r="L3" s="2">
        <v>7.7676363289356232E-2</v>
      </c>
      <c r="M3" s="2">
        <v>4.422677680850029E-3</v>
      </c>
      <c r="N3" s="2">
        <v>9.7503647208213806E-2</v>
      </c>
      <c r="O3" s="2">
        <v>-2.549671940505505E-2</v>
      </c>
      <c r="P3" s="2">
        <v>-1.3179603032767769E-2</v>
      </c>
      <c r="Q3" s="2">
        <v>5.1645436324179173E-3</v>
      </c>
      <c r="R3" s="2">
        <v>-1.723375171422958E-2</v>
      </c>
      <c r="S3" s="2">
        <v>0.11152903735637661</v>
      </c>
      <c r="T3" s="2">
        <v>3.4847687929868698E-2</v>
      </c>
      <c r="U3" s="2">
        <v>5.9024035930633538E-2</v>
      </c>
      <c r="V3" s="2">
        <v>1.7716789618134499E-2</v>
      </c>
      <c r="W3" s="2">
        <v>-6.4256582409143448E-3</v>
      </c>
      <c r="X3" s="2">
        <v>-2.2693565115332599E-3</v>
      </c>
      <c r="Y3" s="2">
        <v>3.7778280675411217E-2</v>
      </c>
      <c r="Z3" s="2">
        <v>1.1676935479044911E-2</v>
      </c>
      <c r="AA3" s="2">
        <v>-8.7502934038639069E-3</v>
      </c>
      <c r="AB3" s="2">
        <v>-3.5473756492137909E-2</v>
      </c>
      <c r="AC3" s="2">
        <v>3.1332850456237793E-2</v>
      </c>
      <c r="AD3" s="2">
        <v>1.555768307298422E-2</v>
      </c>
      <c r="AE3" s="2">
        <v>0.1190536841750145</v>
      </c>
      <c r="AF3" s="2">
        <v>-1.9357252866029739E-2</v>
      </c>
      <c r="AG3" s="2">
        <v>5.5650390684604638E-2</v>
      </c>
      <c r="AH3" s="2">
        <v>1.4775607734918589E-2</v>
      </c>
      <c r="AI3" s="2">
        <v>7.8147970139980316E-2</v>
      </c>
      <c r="AJ3" s="2">
        <v>-5.1067054271697998E-2</v>
      </c>
      <c r="AK3" s="2">
        <v>2.9277428984642029E-2</v>
      </c>
      <c r="AL3" s="2">
        <v>0.1074956804513931</v>
      </c>
      <c r="AM3" s="2">
        <v>5.5360257625579827E-2</v>
      </c>
      <c r="AN3" s="2">
        <v>-5.8350309729576111E-2</v>
      </c>
      <c r="AO3" s="2">
        <v>3.7394411861896508E-2</v>
      </c>
      <c r="AP3" s="2">
        <v>4.5363374054431922E-2</v>
      </c>
      <c r="AQ3" s="2">
        <v>0.14594569802284241</v>
      </c>
      <c r="AR3" s="2">
        <v>9.9557004868984222E-2</v>
      </c>
      <c r="AS3" s="2">
        <v>1.506671868264675E-2</v>
      </c>
      <c r="AT3" s="2">
        <v>-1.1696591973304751E-3</v>
      </c>
      <c r="AU3" s="2">
        <v>-4.7236192971467972E-2</v>
      </c>
      <c r="AV3" s="2">
        <v>-3.464246541261673E-2</v>
      </c>
      <c r="AW3" s="2">
        <v>4.0531452745199197E-2</v>
      </c>
      <c r="AX3" s="2">
        <v>2.6697341352701191E-2</v>
      </c>
      <c r="AY3" s="2">
        <v>5.6539479643106461E-2</v>
      </c>
      <c r="AZ3" s="2">
        <v>5.4159634746611118E-3</v>
      </c>
      <c r="BA3" s="2">
        <v>-4.3942347168922417E-2</v>
      </c>
      <c r="BB3" s="2">
        <v>9.4006329774856567E-2</v>
      </c>
      <c r="BC3" s="2">
        <v>2.8445800766348839E-2</v>
      </c>
      <c r="BD3" s="2">
        <v>2.4129733443260189E-2</v>
      </c>
      <c r="BE3" s="2">
        <v>-1.6681114211678501E-2</v>
      </c>
      <c r="BF3" s="2">
        <v>-2.0862789824604992E-2</v>
      </c>
      <c r="BG3" s="2">
        <v>5.2014391869306557E-2</v>
      </c>
      <c r="BH3" s="2">
        <v>-3.3232644200325012E-2</v>
      </c>
      <c r="BI3" s="2">
        <v>-1.9028045237064362E-2</v>
      </c>
      <c r="BJ3" s="2">
        <v>-4.3040025979280472E-2</v>
      </c>
      <c r="BK3" s="2">
        <v>3.582623228430748E-2</v>
      </c>
      <c r="BL3" s="2">
        <v>5.2610065788030617E-2</v>
      </c>
      <c r="BM3" s="2">
        <v>0.16467450559139249</v>
      </c>
      <c r="BN3" s="2">
        <v>5.6239485740661621E-2</v>
      </c>
      <c r="BO3" s="2">
        <v>5.7048242539167397E-2</v>
      </c>
      <c r="BP3" s="2">
        <v>3.7904918193817139E-2</v>
      </c>
      <c r="BQ3" s="2">
        <v>5.388949066400528E-2</v>
      </c>
      <c r="BR3" s="2">
        <v>1.972170919179916E-2</v>
      </c>
      <c r="BS3" s="2">
        <v>5.4315824061632163E-2</v>
      </c>
      <c r="BT3" s="2">
        <v>4.7150813043117523E-2</v>
      </c>
      <c r="BU3" s="2">
        <v>-1.264089345932007E-2</v>
      </c>
      <c r="BV3" s="2">
        <v>-4.7596141695976257E-2</v>
      </c>
      <c r="BW3" s="2">
        <v>-1.6428106464445591E-3</v>
      </c>
      <c r="BX3" s="2">
        <v>4.7259576618671417E-2</v>
      </c>
      <c r="BY3" s="2">
        <v>4.9359224736690521E-2</v>
      </c>
      <c r="BZ3" s="2">
        <v>5.029325932264328E-2</v>
      </c>
      <c r="CA3" s="2">
        <v>-3.8853023201227188E-2</v>
      </c>
      <c r="CB3" s="2">
        <v>-2.5492530316114429E-2</v>
      </c>
      <c r="CC3" s="2">
        <v>5.2212677896022797E-2</v>
      </c>
      <c r="CD3" s="2">
        <v>1.63656659424305E-2</v>
      </c>
      <c r="CE3" s="2">
        <v>4.7712299972772598E-2</v>
      </c>
      <c r="CF3" s="2">
        <v>5.1156952977180481E-2</v>
      </c>
      <c r="CG3" s="2">
        <v>6.3695372082293034E-3</v>
      </c>
      <c r="CH3" s="2">
        <v>5.0260737538337708E-2</v>
      </c>
      <c r="CI3" s="2">
        <v>4.8383045941591263E-2</v>
      </c>
      <c r="CJ3" s="2">
        <v>4.9879353493452072E-2</v>
      </c>
      <c r="CK3" s="2">
        <v>-2.0379621535539631E-2</v>
      </c>
      <c r="CL3" s="2">
        <v>5.1040831953287118E-2</v>
      </c>
      <c r="CM3" s="2">
        <v>7.0432275533676147E-2</v>
      </c>
      <c r="CN3" s="2">
        <v>4.9308884888887412E-2</v>
      </c>
      <c r="CO3" s="2">
        <v>4.8468071967363358E-2</v>
      </c>
      <c r="CP3" s="2">
        <v>-3.0516274273395538E-3</v>
      </c>
      <c r="CQ3" s="2">
        <v>4.8940815031528473E-2</v>
      </c>
      <c r="CR3" s="2">
        <v>3.7696417421102519E-3</v>
      </c>
      <c r="CS3" s="2">
        <v>2.9329795390367511E-2</v>
      </c>
      <c r="CT3" s="2">
        <v>2.7245944365859032E-2</v>
      </c>
      <c r="CU3" s="2">
        <v>4.482705146074295E-2</v>
      </c>
      <c r="CV3" s="2">
        <v>2.256998606026173E-2</v>
      </c>
      <c r="CW3" s="2">
        <v>6.3389554619789124E-2</v>
      </c>
      <c r="CX3" s="2">
        <v>-3.9971958845853812E-2</v>
      </c>
      <c r="CY3" s="2">
        <v>5.2212778478860862E-2</v>
      </c>
      <c r="CZ3" s="2">
        <v>1.1289088055491449E-2</v>
      </c>
      <c r="DA3" s="2">
        <v>4.4644389301538467E-2</v>
      </c>
      <c r="DB3" s="2">
        <v>2.5936665013432499E-2</v>
      </c>
      <c r="DC3" s="2">
        <v>9.5405779778957367E-2</v>
      </c>
      <c r="DD3" s="2">
        <v>-4.5570109039545059E-2</v>
      </c>
      <c r="DE3" s="2">
        <v>5.2781801670789719E-2</v>
      </c>
      <c r="DF3" s="2">
        <v>4.5374881476163857E-2</v>
      </c>
      <c r="DG3" s="2">
        <v>4.444977268576622E-2</v>
      </c>
      <c r="DH3" s="2">
        <v>0.22446863353252411</v>
      </c>
      <c r="DI3" s="2">
        <v>3.3412754535675049E-2</v>
      </c>
      <c r="DJ3" s="2">
        <v>5.2645519375801093E-2</v>
      </c>
      <c r="DK3" s="2">
        <v>4.6334173530340188E-2</v>
      </c>
      <c r="DL3" s="2">
        <v>7.6330825686454773E-2</v>
      </c>
      <c r="DM3" s="2">
        <v>-6.475723534822464E-2</v>
      </c>
      <c r="DN3" s="2">
        <v>4.6702113002538681E-2</v>
      </c>
      <c r="DO3" s="2">
        <v>-4.7201156616210938E-2</v>
      </c>
      <c r="DP3" s="2">
        <v>3.1396467238664627E-2</v>
      </c>
      <c r="DQ3" s="2">
        <v>4.92582768201828E-2</v>
      </c>
      <c r="DR3" s="2">
        <v>4.8483997583389282E-2</v>
      </c>
      <c r="DS3" s="2">
        <v>-4.2000178247690201E-2</v>
      </c>
      <c r="DT3" s="2">
        <v>4.7626849263906479E-2</v>
      </c>
      <c r="DU3" s="2">
        <v>4.7286637127399438E-2</v>
      </c>
      <c r="DV3" s="2">
        <v>1.50144137442112E-2</v>
      </c>
      <c r="DW3" s="2">
        <v>-6.3924841582775116E-2</v>
      </c>
      <c r="DX3" s="2">
        <v>4.7122903168201447E-2</v>
      </c>
      <c r="DY3" s="2">
        <v>-1.8260244280099869E-2</v>
      </c>
      <c r="DZ3" s="2">
        <v>8.7747782468795776E-2</v>
      </c>
      <c r="EA3" s="2">
        <v>4.5896410942077637E-2</v>
      </c>
      <c r="EB3" s="2">
        <v>-3.0745090916752819E-2</v>
      </c>
      <c r="EC3" s="2">
        <v>3.641965240240097E-2</v>
      </c>
      <c r="ED3" s="2">
        <v>3.9232797920703888E-2</v>
      </c>
      <c r="EE3" s="2">
        <v>4.7465469688177109E-2</v>
      </c>
      <c r="EF3" s="2">
        <v>2.1230563521385189E-2</v>
      </c>
      <c r="EG3" s="2">
        <v>4.3058428913354867E-2</v>
      </c>
      <c r="EH3" s="2">
        <v>6.2204215675592422E-2</v>
      </c>
      <c r="EI3" s="2">
        <v>5.3044430911540992E-2</v>
      </c>
      <c r="EJ3" s="2">
        <v>4.5776788145303733E-2</v>
      </c>
      <c r="EK3" s="2">
        <v>5.0296429544687271E-2</v>
      </c>
      <c r="EL3" s="2">
        <v>4.6629093587398529E-2</v>
      </c>
      <c r="EM3" s="2">
        <v>4.6508841216564178E-2</v>
      </c>
    </row>
    <row r="4" spans="1:145" x14ac:dyDescent="0.3">
      <c r="B4" s="6" t="s">
        <v>144</v>
      </c>
      <c r="C4" s="2">
        <v>2.637306414544582E-2</v>
      </c>
      <c r="D4" s="2">
        <v>4.597201943397522E-2</v>
      </c>
      <c r="E4" s="2">
        <v>-3.1721506267786033E-2</v>
      </c>
      <c r="F4" s="2">
        <v>-3.1267769634723663E-2</v>
      </c>
      <c r="G4" s="2">
        <v>-9.326620027422905E-3</v>
      </c>
      <c r="H4" s="2">
        <v>-4.1918478906154633E-2</v>
      </c>
      <c r="I4" s="2">
        <v>-3.2251551747322078E-3</v>
      </c>
      <c r="J4" s="2">
        <v>-2.9109448194503781E-2</v>
      </c>
      <c r="K4" s="2">
        <v>-1.5017589554190639E-2</v>
      </c>
      <c r="L4" s="2">
        <v>3.2963566482067108E-2</v>
      </c>
      <c r="M4" s="2">
        <v>-4.2787168174982071E-2</v>
      </c>
      <c r="N4" s="2">
        <v>8.8435836136341095E-2</v>
      </c>
      <c r="O4" s="2">
        <v>-1.9587144255638119E-2</v>
      </c>
      <c r="P4" s="2">
        <v>3.8856223225593567E-2</v>
      </c>
      <c r="Q4" s="2">
        <v>2.292590960860252E-2</v>
      </c>
      <c r="R4" s="2">
        <v>9.1378994286060333E-2</v>
      </c>
      <c r="S4" s="2">
        <v>2.1565936505794529E-2</v>
      </c>
      <c r="T4" s="2">
        <v>-1.9828533753752708E-2</v>
      </c>
      <c r="U4" s="2">
        <v>-0.20099139213562009</v>
      </c>
      <c r="V4" s="2">
        <v>-3.1301669776439667E-2</v>
      </c>
      <c r="W4" s="2">
        <v>-3.096821159124374E-2</v>
      </c>
      <c r="X4" s="2">
        <v>-2.945495210587978E-2</v>
      </c>
      <c r="Y4" s="2">
        <v>3.9161346852779388E-2</v>
      </c>
      <c r="Z4" s="2">
        <v>-6.3054509460926056E-2</v>
      </c>
      <c r="AA4" s="2">
        <v>0.29351425170898438</v>
      </c>
      <c r="AB4" s="2">
        <v>-5.1668956875801093E-2</v>
      </c>
      <c r="AC4" s="2">
        <v>-5.8906577527523041E-2</v>
      </c>
      <c r="AD4" s="2">
        <v>-1.479410566389561E-2</v>
      </c>
      <c r="AE4" s="2">
        <v>-8.5164092481136322E-2</v>
      </c>
      <c r="AF4" s="2">
        <v>6.4832724630832672E-2</v>
      </c>
      <c r="AG4" s="2">
        <v>-2.9173806309700009E-2</v>
      </c>
      <c r="AH4" s="2">
        <v>3.0198957771062851E-2</v>
      </c>
      <c r="AI4" s="2">
        <v>-4.7617070376873023E-2</v>
      </c>
      <c r="AJ4" s="2">
        <v>-8.1800997257232666E-2</v>
      </c>
      <c r="AK4" s="2">
        <v>-2.1800028160214421E-2</v>
      </c>
      <c r="AL4" s="2">
        <v>-0.1100530177354813</v>
      </c>
      <c r="AM4" s="2">
        <v>-3.5073071718215942E-2</v>
      </c>
      <c r="AN4" s="2">
        <v>-4.340009018778801E-2</v>
      </c>
      <c r="AO4" s="2">
        <v>0.48250654339790339</v>
      </c>
      <c r="AP4" s="2">
        <v>-2.2009238600730899E-2</v>
      </c>
      <c r="AQ4" s="2">
        <v>-3.320765495300293E-2</v>
      </c>
      <c r="AR4" s="2">
        <v>-3.8729634135961533E-2</v>
      </c>
      <c r="AS4" s="2">
        <v>-2.8297137469053268E-2</v>
      </c>
      <c r="AT4" s="2">
        <v>0.10524175316095349</v>
      </c>
      <c r="AU4" s="2">
        <v>-3.1704992055892937E-2</v>
      </c>
      <c r="AV4" s="2">
        <v>6.7514353431761256E-3</v>
      </c>
      <c r="AW4" s="2">
        <v>-0.96225237846374512</v>
      </c>
      <c r="AX4" s="2">
        <v>4.101233184337616E-2</v>
      </c>
      <c r="AY4" s="2">
        <v>-5.6369602680206299E-3</v>
      </c>
      <c r="AZ4" s="2">
        <v>-5.1676530390977859E-2</v>
      </c>
      <c r="BA4" s="2">
        <v>1.325516775250435E-2</v>
      </c>
      <c r="BB4" s="2">
        <v>4.476025328040123E-2</v>
      </c>
      <c r="BC4" s="2">
        <v>-1.107941567897797E-2</v>
      </c>
      <c r="BD4" s="2">
        <v>-0.38229072093963617</v>
      </c>
      <c r="BE4" s="2">
        <v>-2.2616449743509289E-2</v>
      </c>
      <c r="BF4" s="2">
        <v>-3.5860244184732437E-2</v>
      </c>
      <c r="BG4" s="2">
        <v>-4.5156531035900123E-2</v>
      </c>
      <c r="BH4" s="2">
        <v>4.3198607861995697E-2</v>
      </c>
      <c r="BI4" s="2">
        <v>-3.2893676310777657E-2</v>
      </c>
      <c r="BJ4" s="2">
        <v>-3.3156313002109528E-2</v>
      </c>
      <c r="BK4" s="2">
        <v>-0.49124959111213679</v>
      </c>
      <c r="BL4" s="2">
        <v>-4.1894607245922089E-2</v>
      </c>
      <c r="BM4" s="2">
        <v>-4.8348039388656623E-2</v>
      </c>
      <c r="BN4" s="2">
        <v>2.9559984803199772E-2</v>
      </c>
      <c r="BO4" s="2">
        <v>4.2817052453756332E-2</v>
      </c>
      <c r="BP4" s="2">
        <v>-2.2469896823167801E-2</v>
      </c>
      <c r="BQ4" s="2">
        <v>5.1819421350955963E-2</v>
      </c>
      <c r="BR4" s="2">
        <v>1.8672076985239979E-2</v>
      </c>
      <c r="BS4" s="2">
        <v>1.160447578877211E-2</v>
      </c>
      <c r="BT4" s="2">
        <v>2.1957747638225559E-2</v>
      </c>
      <c r="BU4" s="2">
        <v>-7.4458800256252289E-2</v>
      </c>
      <c r="BV4" s="2">
        <v>9.906383603811264E-2</v>
      </c>
      <c r="BW4" s="2">
        <v>-9.3610800802707672E-2</v>
      </c>
      <c r="BX4" s="2">
        <v>2.0203854888677601E-2</v>
      </c>
      <c r="BY4" s="2">
        <v>-3.2773036509752267E-2</v>
      </c>
      <c r="BZ4" s="2">
        <v>6.5151117742061615E-2</v>
      </c>
      <c r="CA4" s="2">
        <v>-3.612663596868515E-2</v>
      </c>
      <c r="CB4" s="2">
        <v>3.8924302905797958E-2</v>
      </c>
      <c r="CC4" s="2">
        <v>-3.6194797605276108E-2</v>
      </c>
      <c r="CD4" s="2">
        <v>-4.9464032053947449E-2</v>
      </c>
      <c r="CE4" s="2">
        <v>-4.3242655694484711E-2</v>
      </c>
      <c r="CF4" s="2">
        <v>-3.2065954059362411E-2</v>
      </c>
      <c r="CG4" s="2">
        <v>-3.9963260293006897E-2</v>
      </c>
      <c r="CH4" s="2">
        <v>-4.1623290628194809E-2</v>
      </c>
      <c r="CI4" s="2">
        <v>-3.5185825079679489E-2</v>
      </c>
      <c r="CJ4" s="2">
        <v>-4.3707791715860367E-2</v>
      </c>
      <c r="CK4" s="2">
        <v>-2.7694102376699451E-2</v>
      </c>
      <c r="CL4" s="2">
        <v>-3.4954138100147247E-2</v>
      </c>
      <c r="CM4" s="2">
        <v>-4.8744097352027893E-2</v>
      </c>
      <c r="CN4" s="2">
        <v>-1.2399040162563321E-2</v>
      </c>
      <c r="CO4" s="2">
        <v>3.0090915039181709E-2</v>
      </c>
      <c r="CP4" s="2">
        <v>-2.108084037899971E-2</v>
      </c>
      <c r="CQ4" s="2">
        <v>2.5487802922725682E-3</v>
      </c>
      <c r="CR4" s="2">
        <v>0.1063184291124344</v>
      </c>
      <c r="CS4" s="2">
        <v>2.1471921354532238E-2</v>
      </c>
      <c r="CT4" s="2">
        <v>-5.8815300464630127E-2</v>
      </c>
      <c r="CU4" s="2">
        <v>-0.21441565454006201</v>
      </c>
      <c r="CV4" s="2">
        <v>-0.14599728584289551</v>
      </c>
      <c r="CW4" s="2">
        <v>6.59809410572052E-2</v>
      </c>
      <c r="CX4" s="2">
        <v>-0.33112818002700811</v>
      </c>
      <c r="CY4" s="2">
        <v>3.5050917416810989E-2</v>
      </c>
      <c r="CZ4" s="2">
        <v>-0.23087161779403689</v>
      </c>
      <c r="DA4" s="2">
        <v>-9.6895664930343628E-2</v>
      </c>
      <c r="DB4" s="2">
        <v>2.638174407184124E-2</v>
      </c>
      <c r="DC4" s="2">
        <v>-6.4039438962936401E-2</v>
      </c>
      <c r="DD4" s="2">
        <v>-5.3469959646463387E-2</v>
      </c>
      <c r="DE4" s="2">
        <v>-0.13113583624362951</v>
      </c>
      <c r="DF4" s="2">
        <v>-0.13658058643341059</v>
      </c>
      <c r="DG4" s="2">
        <v>-9.4920694828033447E-2</v>
      </c>
      <c r="DH4" s="2">
        <v>-4.2109377682209008E-2</v>
      </c>
      <c r="DI4" s="2">
        <v>-4.0931046009063721E-2</v>
      </c>
      <c r="DJ4" s="2">
        <v>-3.9754342287778847E-2</v>
      </c>
      <c r="DK4" s="2">
        <v>-1.123789604753256E-2</v>
      </c>
      <c r="DL4" s="2">
        <v>-4.6825721859931953E-2</v>
      </c>
      <c r="DM4" s="2">
        <v>4.8449739813804633E-2</v>
      </c>
      <c r="DN4" s="2">
        <v>-1.890873908996582E-2</v>
      </c>
      <c r="DO4" s="2">
        <v>0.1028218641877174</v>
      </c>
      <c r="DP4" s="2">
        <v>-0.26931414008140558</v>
      </c>
      <c r="DQ4" s="2">
        <v>3.6267664283514023E-2</v>
      </c>
      <c r="DR4" s="2">
        <v>7.612089067697525E-2</v>
      </c>
      <c r="DS4" s="2">
        <v>-2.8944762423634529E-2</v>
      </c>
      <c r="DT4" s="2">
        <v>-2.5797775015234951E-2</v>
      </c>
      <c r="DU4" s="2">
        <v>-4.2362723499536507E-2</v>
      </c>
      <c r="DV4" s="2">
        <v>-0.12697815895080569</v>
      </c>
      <c r="DW4" s="2">
        <v>4.2979337275028229E-2</v>
      </c>
      <c r="DX4" s="2">
        <v>-7.1560792624950409E-2</v>
      </c>
      <c r="DY4" s="2">
        <v>-3.8502730429172523E-2</v>
      </c>
      <c r="DZ4" s="2">
        <v>3.6363851279020309E-2</v>
      </c>
      <c r="EA4" s="2">
        <v>3.0139438807964321E-2</v>
      </c>
      <c r="EB4" s="2">
        <v>-9.7088990733027458E-3</v>
      </c>
      <c r="EC4" s="2">
        <v>-5.1103539764881127E-2</v>
      </c>
      <c r="ED4" s="2">
        <v>-2.5845445692539219E-2</v>
      </c>
      <c r="EE4" s="2">
        <v>-0.1043576747179031</v>
      </c>
      <c r="EF4" s="2">
        <v>-3.8098420482128859E-3</v>
      </c>
      <c r="EG4" s="2">
        <v>2.889686077833176E-2</v>
      </c>
      <c r="EH4" s="2">
        <v>-4.2595401406288147E-2</v>
      </c>
      <c r="EI4" s="2">
        <v>9.3854136765003204E-2</v>
      </c>
      <c r="EJ4" s="2">
        <v>5.9465162456035607E-2</v>
      </c>
      <c r="EK4" s="2">
        <v>-3.2820709049701691E-2</v>
      </c>
      <c r="EL4" s="2">
        <v>5.8637633919715881E-2</v>
      </c>
      <c r="EM4" s="2">
        <v>-0.20883294939994809</v>
      </c>
    </row>
    <row r="5" spans="1:145" x14ac:dyDescent="0.3">
      <c r="B5" s="1" t="s">
        <v>145</v>
      </c>
      <c r="C5" s="2">
        <v>4.0603967499919241E-4</v>
      </c>
      <c r="D5" s="2">
        <v>5.033792182803154E-2</v>
      </c>
      <c r="E5" s="2">
        <v>-3.8914486765861511E-2</v>
      </c>
      <c r="F5" s="2">
        <v>-1.194990426301956E-2</v>
      </c>
      <c r="G5" s="2">
        <v>-3.4719966351985931E-3</v>
      </c>
      <c r="H5" s="2">
        <v>-1.7202273011207581E-2</v>
      </c>
      <c r="I5" s="2">
        <v>3.4106865525245673E-2</v>
      </c>
      <c r="J5" s="2">
        <v>3.247595950961113E-2</v>
      </c>
      <c r="K5" s="2">
        <v>3.4649442881345749E-2</v>
      </c>
      <c r="L5" s="2">
        <v>-0.14336225390434271</v>
      </c>
      <c r="M5" s="2">
        <v>-2.938468940556049E-2</v>
      </c>
      <c r="N5" s="2">
        <v>1.8640816211700439E-2</v>
      </c>
      <c r="O5" s="2">
        <v>3.4841738641262048E-2</v>
      </c>
      <c r="P5" s="2">
        <v>-6.0275918804109097E-4</v>
      </c>
      <c r="Q5" s="2">
        <v>-1.1749310418963431E-2</v>
      </c>
      <c r="R5" s="2">
        <v>1.7349295318126678E-2</v>
      </c>
      <c r="S5" s="2">
        <v>4.1421286761760712E-2</v>
      </c>
      <c r="T5" s="2">
        <v>-4.5294873416423798E-2</v>
      </c>
      <c r="U5" s="2">
        <v>-6.3638943247497082E-3</v>
      </c>
      <c r="V5" s="2">
        <v>3.342755138874054E-2</v>
      </c>
      <c r="W5" s="2">
        <v>3.600490465760231E-2</v>
      </c>
      <c r="X5" s="2">
        <v>-6.4424417912960052E-2</v>
      </c>
      <c r="Y5" s="2">
        <v>-5.0558405928313732E-3</v>
      </c>
      <c r="Z5" s="2">
        <v>-2.7877837419509891E-2</v>
      </c>
      <c r="AA5" s="2">
        <v>3.861604630947113E-2</v>
      </c>
      <c r="AB5" s="2">
        <v>-4.1370157152414322E-2</v>
      </c>
      <c r="AC5" s="2">
        <v>-2.444838359951973E-2</v>
      </c>
      <c r="AD5" s="2">
        <v>4.1641086339950562E-2</v>
      </c>
      <c r="AE5" s="2">
        <v>-9.2225760221481323E-2</v>
      </c>
      <c r="AF5" s="2">
        <v>-2.9623918235301971E-2</v>
      </c>
      <c r="AG5" s="2">
        <v>7.2603732347488403E-2</v>
      </c>
      <c r="AH5" s="2">
        <v>-2.5543451309204102E-2</v>
      </c>
      <c r="AI5" s="2">
        <v>2.6856813579797741E-2</v>
      </c>
      <c r="AJ5" s="2">
        <v>-3.6161798983812332E-2</v>
      </c>
      <c r="AK5" s="2">
        <v>-2.3803045973181721E-2</v>
      </c>
      <c r="AL5" s="2">
        <v>-2.6720678433775902E-3</v>
      </c>
      <c r="AM5" s="2">
        <v>-3.301555290818214E-3</v>
      </c>
      <c r="AN5" s="2">
        <v>7.7517644967883825E-5</v>
      </c>
      <c r="AO5" s="2">
        <v>-6.8618282675743103E-2</v>
      </c>
      <c r="AP5" s="2">
        <v>3.7031527608633041E-2</v>
      </c>
      <c r="AQ5" s="2">
        <v>2.3109108209609989E-2</v>
      </c>
      <c r="AR5" s="2">
        <v>-7.1197360754013062E-2</v>
      </c>
      <c r="AS5" s="2">
        <v>-4.7974057495594018E-2</v>
      </c>
      <c r="AT5" s="2">
        <v>-6.1735827475786209E-2</v>
      </c>
      <c r="AU5" s="2">
        <v>1.724289171397686E-2</v>
      </c>
      <c r="AV5" s="2">
        <v>-5.7472378015518188E-2</v>
      </c>
      <c r="AW5" s="2">
        <v>-6.2709540128707886E-2</v>
      </c>
      <c r="AX5" s="2">
        <v>-5.8146975934505463E-2</v>
      </c>
      <c r="AY5" s="2">
        <v>0.1052219867706299</v>
      </c>
      <c r="AZ5" s="2">
        <v>1.116979215294123E-2</v>
      </c>
      <c r="BA5" s="2">
        <v>3.6679205950349569E-3</v>
      </c>
      <c r="BB5" s="2">
        <v>1.8173787742853161E-2</v>
      </c>
      <c r="BC5" s="2">
        <v>5.2103251218795776E-3</v>
      </c>
      <c r="BD5" s="2">
        <v>1.384157687425613E-3</v>
      </c>
      <c r="BE5" s="2">
        <v>6.3530579209327698E-3</v>
      </c>
      <c r="BF5" s="2">
        <v>1.0895224288105959E-2</v>
      </c>
      <c r="BG5" s="2">
        <v>-3.511882852762938E-3</v>
      </c>
      <c r="BH5" s="2">
        <v>5.6244018487632266E-3</v>
      </c>
      <c r="BI5" s="2">
        <v>6.7682020366191864E-2</v>
      </c>
      <c r="BJ5" s="2">
        <v>3.9736120961606503E-3</v>
      </c>
      <c r="BK5" s="2">
        <v>3.06558832526207E-2</v>
      </c>
      <c r="BL5" s="2">
        <v>-1.213217433542013E-2</v>
      </c>
      <c r="BM5" s="2">
        <v>-2.099542878568172E-3</v>
      </c>
      <c r="BN5" s="2">
        <v>1.6873575747013089E-2</v>
      </c>
      <c r="BO5" s="2">
        <v>-1.410196349024773E-2</v>
      </c>
      <c r="BP5" s="2">
        <v>8.5541605949401855E-3</v>
      </c>
      <c r="BQ5" s="2">
        <v>-1.843594387173653E-2</v>
      </c>
      <c r="BR5" s="2">
        <v>-1.3599623925983909E-2</v>
      </c>
      <c r="BS5" s="2">
        <v>-1.4013238251209259E-3</v>
      </c>
      <c r="BT5" s="2">
        <v>3.7923485040664673E-2</v>
      </c>
      <c r="BU5" s="2">
        <v>1.2471701018512251E-2</v>
      </c>
      <c r="BV5" s="2">
        <v>-4.7056503593921661E-2</v>
      </c>
      <c r="BW5" s="2">
        <v>2.1625479683279991E-2</v>
      </c>
      <c r="BX5" s="2">
        <v>3.5244729369878769E-3</v>
      </c>
      <c r="BY5" s="2">
        <v>3.00147756934166E-3</v>
      </c>
      <c r="BZ5" s="2">
        <v>-1.2442688457667829E-2</v>
      </c>
      <c r="CA5" s="2">
        <v>4.5838907361030579E-2</v>
      </c>
      <c r="CB5" s="2">
        <v>-9.8906513303518295E-3</v>
      </c>
      <c r="CC5" s="2">
        <v>-2.804244169965386E-3</v>
      </c>
      <c r="CD5" s="2">
        <v>-8.6774525698274374E-4</v>
      </c>
      <c r="CE5" s="2">
        <v>9.1528939083218575E-3</v>
      </c>
      <c r="CF5" s="2">
        <v>2.271990850567818E-2</v>
      </c>
      <c r="CG5" s="2">
        <v>3.3768331632018089E-3</v>
      </c>
      <c r="CH5" s="2">
        <v>1.89636554569006E-2</v>
      </c>
      <c r="CI5" s="2">
        <v>9.1768182814121246E-2</v>
      </c>
      <c r="CJ5" s="2">
        <v>-6.3939411193132401E-3</v>
      </c>
      <c r="CK5" s="2">
        <v>1.4165259897708889E-2</v>
      </c>
      <c r="CL5" s="2">
        <v>4.0824571624398232E-3</v>
      </c>
      <c r="CM5" s="2">
        <v>1.057987939566374E-2</v>
      </c>
      <c r="CN5" s="2">
        <v>2.165891602635384E-2</v>
      </c>
      <c r="CO5" s="2">
        <v>0.14323921501636511</v>
      </c>
      <c r="CP5" s="2">
        <v>1.87258655205369E-3</v>
      </c>
      <c r="CQ5" s="2">
        <v>-3.9175484329462051E-2</v>
      </c>
      <c r="CR5" s="2">
        <v>-4.6743908897042266E-3</v>
      </c>
      <c r="CS5" s="2">
        <v>-3.9905324578285217E-2</v>
      </c>
      <c r="CT5" s="2">
        <v>5.7113836519420147E-3</v>
      </c>
      <c r="CU5" s="2">
        <v>1.7015844583511349E-2</v>
      </c>
      <c r="CV5" s="2">
        <v>-1.173017732799053E-2</v>
      </c>
      <c r="CW5" s="2">
        <v>-1.8561026081442829E-2</v>
      </c>
      <c r="CX5" s="2">
        <v>2.7230728417634961E-2</v>
      </c>
      <c r="CY5" s="2">
        <v>2.5908022653311491E-3</v>
      </c>
      <c r="CZ5" s="2">
        <v>6.3109919428825378E-2</v>
      </c>
      <c r="DA5" s="2">
        <v>3.5137373954057687E-2</v>
      </c>
      <c r="DB5" s="2">
        <v>7.0190709084272376E-3</v>
      </c>
      <c r="DC5" s="2">
        <v>1.0706442408263679E-3</v>
      </c>
      <c r="DD5" s="2">
        <v>2.7740933001041408E-3</v>
      </c>
      <c r="DE5" s="2">
        <v>-2.5716772302985191E-2</v>
      </c>
      <c r="DF5" s="2">
        <v>1.4139115810394289E-3</v>
      </c>
      <c r="DG5" s="2">
        <v>-9.6192983910441399E-3</v>
      </c>
      <c r="DH5" s="2">
        <v>-1.259769313037395E-3</v>
      </c>
      <c r="DI5" s="2">
        <v>-1.6325067728757858E-2</v>
      </c>
      <c r="DJ5" s="2">
        <v>-2.2702464833855629E-2</v>
      </c>
      <c r="DK5" s="2">
        <v>-3.4234081394970421E-3</v>
      </c>
      <c r="DL5" s="2">
        <v>1.948068151250482E-3</v>
      </c>
      <c r="DM5" s="2">
        <v>-0.25882810354232788</v>
      </c>
      <c r="DN5" s="2">
        <v>-4.3664040276780719E-4</v>
      </c>
      <c r="DO5" s="2">
        <v>1.356407813727856E-2</v>
      </c>
      <c r="DP5" s="2">
        <v>8.5415281355381012E-3</v>
      </c>
      <c r="DQ5" s="2">
        <v>5.5505207274109125E-4</v>
      </c>
      <c r="DR5" s="2">
        <v>2.8228277340531349E-2</v>
      </c>
      <c r="DS5" s="2">
        <v>1.2090692762285471E-3</v>
      </c>
      <c r="DT5" s="2">
        <v>3.7493379786610599E-3</v>
      </c>
      <c r="DU5" s="2">
        <v>1.854668371379375E-3</v>
      </c>
      <c r="DV5" s="2">
        <v>-2.3645691573619839E-2</v>
      </c>
      <c r="DW5" s="2">
        <v>-3.1537488102912898E-3</v>
      </c>
      <c r="DX5" s="2">
        <v>1.5400387346744541E-2</v>
      </c>
      <c r="DY5" s="2">
        <v>1.2764680199325079E-2</v>
      </c>
      <c r="DZ5" s="2">
        <v>3.1485959887504578E-2</v>
      </c>
      <c r="EA5" s="2">
        <v>7.2265844792127609E-3</v>
      </c>
      <c r="EB5" s="2">
        <v>-1.533120521344244E-3</v>
      </c>
      <c r="EC5" s="2">
        <v>2.0921340212225911E-2</v>
      </c>
      <c r="ED5" s="2">
        <v>-3.2300027087330818E-3</v>
      </c>
      <c r="EE5" s="2">
        <v>-0.10347997397184371</v>
      </c>
      <c r="EF5" s="2">
        <v>4.9948068335652351E-3</v>
      </c>
      <c r="EG5" s="2">
        <v>8.221927285194397E-2</v>
      </c>
      <c r="EH5" s="2">
        <v>7.1446478366851807E-2</v>
      </c>
      <c r="EI5" s="2">
        <v>2.0742105320096019E-2</v>
      </c>
      <c r="EJ5" s="2">
        <v>4.8550190404057503E-3</v>
      </c>
      <c r="EK5" s="2">
        <v>1.1217719875276091E-3</v>
      </c>
      <c r="EL5" s="2">
        <v>-7.0758596062660217E-2</v>
      </c>
      <c r="EM5" s="2">
        <v>1.1142655275762079E-3</v>
      </c>
    </row>
    <row r="6" spans="1:145" x14ac:dyDescent="0.3">
      <c r="A6" s="20" t="s">
        <v>146</v>
      </c>
      <c r="B6" s="21"/>
      <c r="C6" s="2">
        <f t="array" ref="C6">MATCH(MAX(ABS(C3:C5)), ABS(C3:C5), 0)</f>
        <v>1</v>
      </c>
      <c r="D6" s="2">
        <f t="array" ref="D6">MATCH(MAX(ABS(D3:D5)), ABS(D3:D5), 0)</f>
        <v>1</v>
      </c>
      <c r="E6" s="2">
        <f t="array" ref="E6">MATCH(MAX(ABS(E3:E5)), ABS(E3:E5), 0)</f>
        <v>1</v>
      </c>
      <c r="F6" s="2">
        <f t="array" ref="F6">MATCH(MAX(ABS(F3:F5)), ABS(F3:F5), 0)</f>
        <v>1</v>
      </c>
      <c r="G6" s="2">
        <f t="array" ref="G6">MATCH(MAX(ABS(G3:G5)), ABS(G3:G5), 0)</f>
        <v>1</v>
      </c>
      <c r="H6" s="2">
        <f t="array" ref="H6">MATCH(MAX(ABS(H3:H5)), ABS(H3:H5), 0)</f>
        <v>2</v>
      </c>
      <c r="I6" s="2">
        <f t="array" ref="I6">MATCH(MAX(ABS(I3:I5)), ABS(I3:I5), 0)</f>
        <v>3</v>
      </c>
      <c r="J6" s="2">
        <f t="array" ref="J6">MATCH(MAX(ABS(J3:J5)), ABS(J3:J5), 0)</f>
        <v>1</v>
      </c>
      <c r="K6" s="2">
        <f t="array" ref="K6">MATCH(MAX(ABS(K3:K5)), ABS(K3:K5), 0)</f>
        <v>1</v>
      </c>
      <c r="L6" s="2">
        <f t="array" ref="L6">MATCH(MAX(ABS(L3:L5)), ABS(L3:L5), 0)</f>
        <v>3</v>
      </c>
      <c r="M6" s="2">
        <f t="array" ref="M6">MATCH(MAX(ABS(M3:M5)), ABS(M3:M5), 0)</f>
        <v>2</v>
      </c>
      <c r="N6" s="2">
        <f t="array" ref="N6">MATCH(MAX(ABS(N3:N5)), ABS(N3:N5), 0)</f>
        <v>1</v>
      </c>
      <c r="O6" s="2">
        <f t="array" ref="O6">MATCH(MAX(ABS(O3:O5)), ABS(O3:O5), 0)</f>
        <v>3</v>
      </c>
      <c r="P6" s="2">
        <f t="array" ref="P6">MATCH(MAX(ABS(P3:P5)), ABS(P3:P5), 0)</f>
        <v>2</v>
      </c>
      <c r="Q6" s="2">
        <f t="array" ref="Q6">MATCH(MAX(ABS(Q3:Q5)), ABS(Q3:Q5), 0)</f>
        <v>2</v>
      </c>
      <c r="R6" s="2">
        <f t="array" ref="R6">MATCH(MAX(ABS(R3:R5)), ABS(R3:R5), 0)</f>
        <v>2</v>
      </c>
      <c r="S6" s="2">
        <f t="array" ref="S6">MATCH(MAX(ABS(S3:S5)), ABS(S3:S5), 0)</f>
        <v>1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3</v>
      </c>
      <c r="W6" s="2">
        <f t="array" ref="W6">MATCH(MAX(ABS(W3:W5)), ABS(W3:W5), 0)</f>
        <v>3</v>
      </c>
      <c r="X6" s="2">
        <f t="array" ref="X6">MATCH(MAX(ABS(X3:X5)), ABS(X3:X5), 0)</f>
        <v>3</v>
      </c>
      <c r="Y6" s="2">
        <f t="array" ref="Y6">MATCH(MAX(ABS(Y3:Y5)), ABS(Y3:Y5), 0)</f>
        <v>2</v>
      </c>
      <c r="Z6" s="2">
        <f t="array" ref="Z6">MATCH(MAX(ABS(Z3:Z5)), ABS(Z3:Z5), 0)</f>
        <v>2</v>
      </c>
      <c r="AA6" s="2">
        <f t="array" ref="AA6">MATCH(MAX(ABS(AA3:AA5)), ABS(AA3:AA5), 0)</f>
        <v>2</v>
      </c>
      <c r="AB6" s="2">
        <f t="array" ref="AB6">MATCH(MAX(ABS(AB3:AB5)), ABS(AB3:AB5), 0)</f>
        <v>2</v>
      </c>
      <c r="AC6" s="2">
        <f t="array" ref="AC6">MATCH(MAX(ABS(AC3:AC5)), ABS(AC3:AC5), 0)</f>
        <v>2</v>
      </c>
      <c r="AD6" s="2">
        <f t="array" ref="AD6">MATCH(MAX(ABS(AD3:AD5)), ABS(AD3:AD5), 0)</f>
        <v>3</v>
      </c>
      <c r="AE6" s="2">
        <f t="array" ref="AE6">MATCH(MAX(ABS(AE3:AE5)), ABS(AE3:AE5), 0)</f>
        <v>1</v>
      </c>
      <c r="AF6" s="2">
        <f t="array" ref="AF6">MATCH(MAX(ABS(AF3:AF5)), ABS(AF3:AF5), 0)</f>
        <v>2</v>
      </c>
      <c r="AG6" s="2">
        <f t="array" ref="AG6">MATCH(MAX(ABS(AG3:AG5)), ABS(AG3:AG5), 0)</f>
        <v>3</v>
      </c>
      <c r="AH6" s="2">
        <f t="array" ref="AH6">MATCH(MAX(ABS(AH3:AH5)), ABS(AH3:AH5), 0)</f>
        <v>2</v>
      </c>
      <c r="AI6" s="2">
        <f t="array" ref="AI6">MATCH(MAX(ABS(AI3:AI5)), ABS(AI3:AI5), 0)</f>
        <v>1</v>
      </c>
      <c r="AJ6" s="2">
        <f t="array" ref="AJ6">MATCH(MAX(ABS(AJ3:AJ5)), ABS(AJ3:AJ5), 0)</f>
        <v>2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2</v>
      </c>
      <c r="AP6" s="2">
        <f t="array" ref="AP6">MATCH(MAX(ABS(AP3:AP5)), ABS(AP3:AP5), 0)</f>
        <v>1</v>
      </c>
      <c r="AQ6" s="2">
        <f t="array" ref="AQ6">MATCH(MAX(ABS(AQ3:AQ5)), ABS(AQ3:AQ5), 0)</f>
        <v>1</v>
      </c>
      <c r="AR6" s="2">
        <f t="array" ref="AR6">MATCH(MAX(ABS(AR3:AR5)), ABS(AR3:AR5), 0)</f>
        <v>1</v>
      </c>
      <c r="AS6" s="2">
        <f t="array" ref="AS6">MATCH(MAX(ABS(AS3:AS5)), ABS(AS3:AS5), 0)</f>
        <v>3</v>
      </c>
      <c r="AT6" s="2">
        <f t="array" ref="AT6">MATCH(MAX(ABS(AT3:AT5)), ABS(AT3:AT5), 0)</f>
        <v>2</v>
      </c>
      <c r="AU6" s="2">
        <f t="array" ref="AU6">MATCH(MAX(ABS(AU3:AU5)), ABS(AU3:AU5), 0)</f>
        <v>1</v>
      </c>
      <c r="AV6" s="2">
        <f t="array" ref="AV6">MATCH(MAX(ABS(AV3:AV5)), ABS(AV3:AV5), 0)</f>
        <v>3</v>
      </c>
      <c r="AW6" s="2">
        <f t="array" ref="AW6">MATCH(MAX(ABS(AW3:AW5)), ABS(AW3:AW5), 0)</f>
        <v>2</v>
      </c>
      <c r="AX6" s="2">
        <f t="array" ref="AX6">MATCH(MAX(ABS(AX3:AX5)), ABS(AX3:AX5), 0)</f>
        <v>3</v>
      </c>
      <c r="AY6" s="2">
        <f t="array" ref="AY6">MATCH(MAX(ABS(AY3:AY5)), ABS(AY3:AY5), 0)</f>
        <v>3</v>
      </c>
      <c r="AZ6" s="2">
        <f t="array" ref="AZ6">MATCH(MAX(ABS(AZ3:AZ5)), ABS(AZ3:AZ5), 0)</f>
        <v>2</v>
      </c>
      <c r="BA6" s="2">
        <f t="array" ref="BA6">MATCH(MAX(ABS(BA3:BA5)), ABS(BA3:BA5), 0)</f>
        <v>1</v>
      </c>
      <c r="BB6" s="2">
        <f t="array" ref="BB6">MATCH(MAX(ABS(BB3:BB5)), ABS(BB3:BB5), 0)</f>
        <v>1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2</v>
      </c>
      <c r="BF6" s="2">
        <f t="array" ref="BF6">MATCH(MAX(ABS(BF3:BF5)), ABS(BF3:BF5), 0)</f>
        <v>2</v>
      </c>
      <c r="BG6" s="2">
        <f t="array" ref="BG6">MATCH(MAX(ABS(BG3:BG5)), ABS(BG3:BG5), 0)</f>
        <v>1</v>
      </c>
      <c r="BH6" s="2">
        <f t="array" ref="BH6">MATCH(MAX(ABS(BH3:BH5)), ABS(BH3:BH5), 0)</f>
        <v>2</v>
      </c>
      <c r="BI6" s="2">
        <f t="array" ref="BI6">MATCH(MAX(ABS(BI3:BI5)), ABS(BI3:BI5), 0)</f>
        <v>3</v>
      </c>
      <c r="BJ6" s="2">
        <f t="array" ref="BJ6">MATCH(MAX(ABS(BJ3:BJ5)), ABS(BJ3:BJ5), 0)</f>
        <v>1</v>
      </c>
      <c r="BK6" s="2">
        <f t="array" ref="BK6">MATCH(MAX(ABS(BK3:BK5)), ABS(BK3:BK5), 0)</f>
        <v>2</v>
      </c>
      <c r="BL6" s="2">
        <f t="array" ref="BL6">MATCH(MAX(ABS(BL3:BL5)), ABS(BL3:BL5), 0)</f>
        <v>1</v>
      </c>
      <c r="BM6" s="2">
        <f t="array" ref="BM6">MATCH(MAX(ABS(BM3:BM5)), ABS(BM3:BM5), 0)</f>
        <v>1</v>
      </c>
      <c r="BN6" s="2">
        <f t="array" ref="BN6">MATCH(MAX(ABS(BN3:BN5)), ABS(BN3:BN5), 0)</f>
        <v>1</v>
      </c>
      <c r="BO6" s="2">
        <f t="array" ref="BO6">MATCH(MAX(ABS(BO3:BO5)), ABS(BO3:BO5), 0)</f>
        <v>1</v>
      </c>
      <c r="BP6" s="2">
        <f t="array" ref="BP6">MATCH(MAX(ABS(BP3:BP5)), ABS(BP3:BP5), 0)</f>
        <v>1</v>
      </c>
      <c r="BQ6" s="2">
        <f t="array" ref="BQ6">MATCH(MAX(ABS(BQ3:BQ5)), ABS(BQ3:BQ5), 0)</f>
        <v>1</v>
      </c>
      <c r="BR6" s="2">
        <f t="array" ref="BR6">MATCH(MAX(ABS(BR3:BR5)), ABS(BR3:BR5), 0)</f>
        <v>1</v>
      </c>
      <c r="BS6" s="2">
        <f t="array" ref="BS6">MATCH(MAX(ABS(BS3:BS5)), ABS(BS3:BS5), 0)</f>
        <v>1</v>
      </c>
      <c r="BT6" s="2">
        <f t="array" ref="BT6">MATCH(MAX(ABS(BT3:BT5)), ABS(BT3:BT5), 0)</f>
        <v>1</v>
      </c>
      <c r="BU6" s="2">
        <f t="array" ref="BU6">MATCH(MAX(ABS(BU3:BU5)), ABS(BU3:BU5), 0)</f>
        <v>2</v>
      </c>
      <c r="BV6" s="2">
        <f t="array" ref="BV6">MATCH(MAX(ABS(BV3:BV5)), ABS(BV3:BV5), 0)</f>
        <v>2</v>
      </c>
      <c r="BW6" s="2">
        <f t="array" ref="BW6">MATCH(MAX(ABS(BW3:BW5)), ABS(BW3:BW5), 0)</f>
        <v>2</v>
      </c>
      <c r="BX6" s="2">
        <f t="array" ref="BX6">MATCH(MAX(ABS(BX3:BX5)), ABS(BX3:BX5), 0)</f>
        <v>1</v>
      </c>
      <c r="BY6" s="2">
        <f t="array" ref="BY6">MATCH(MAX(ABS(BY3:BY5)), ABS(BY3:BY5), 0)</f>
        <v>1</v>
      </c>
      <c r="BZ6" s="2">
        <f t="array" ref="BZ6">MATCH(MAX(ABS(BZ3:BZ5)), ABS(BZ3:BZ5), 0)</f>
        <v>2</v>
      </c>
      <c r="CA6" s="2">
        <f t="array" ref="CA6">MATCH(MAX(ABS(CA3:CA5)), ABS(CA3:CA5), 0)</f>
        <v>3</v>
      </c>
      <c r="CB6" s="2">
        <f t="array" ref="CB6">MATCH(MAX(ABS(CB3:CB5)), ABS(CB3:CB5), 0)</f>
        <v>2</v>
      </c>
      <c r="CC6" s="2">
        <f t="array" ref="CC6">MATCH(MAX(ABS(CC3:CC5)), ABS(CC3:CC5), 0)</f>
        <v>1</v>
      </c>
      <c r="CD6" s="2">
        <f t="array" ref="CD6">MATCH(MAX(ABS(CD3:CD5)), ABS(CD3:CD5), 0)</f>
        <v>2</v>
      </c>
      <c r="CE6" s="2">
        <f t="array" ref="CE6">MATCH(MAX(ABS(CE3:CE5)), ABS(CE3:CE5), 0)</f>
        <v>1</v>
      </c>
      <c r="CF6" s="2">
        <f t="array" ref="CF6">MATCH(MAX(ABS(CF3:CF5)), ABS(CF3:CF5), 0)</f>
        <v>1</v>
      </c>
      <c r="CG6" s="2">
        <f t="array" ref="CG6">MATCH(MAX(ABS(CG3:CG5)), ABS(CG3:CG5), 0)</f>
        <v>2</v>
      </c>
      <c r="CH6" s="2">
        <f t="array" ref="CH6">MATCH(MAX(ABS(CH3:CH5)), ABS(CH3:CH5), 0)</f>
        <v>1</v>
      </c>
      <c r="CI6" s="2">
        <f t="array" ref="CI6">MATCH(MAX(ABS(CI3:CI5)), ABS(CI3:CI5), 0)</f>
        <v>3</v>
      </c>
      <c r="CJ6" s="2">
        <f t="array" ref="CJ6">MATCH(MAX(ABS(CJ3:CJ5)), ABS(CJ3:CJ5), 0)</f>
        <v>1</v>
      </c>
      <c r="CK6" s="2">
        <f t="array" ref="CK6">MATCH(MAX(ABS(CK3:CK5)), ABS(CK3:CK5), 0)</f>
        <v>2</v>
      </c>
      <c r="CL6" s="2">
        <f t="array" ref="CL6">MATCH(MAX(ABS(CL3:CL5)), ABS(CL3:CL5), 0)</f>
        <v>1</v>
      </c>
      <c r="CM6" s="2">
        <f t="array" ref="CM6">MATCH(MAX(ABS(CM3:CM5)), ABS(CM3:CM5), 0)</f>
        <v>1</v>
      </c>
      <c r="CN6" s="2">
        <f t="array" ref="CN6">MATCH(MAX(ABS(CN3:CN5)), ABS(CN3:CN5), 0)</f>
        <v>1</v>
      </c>
      <c r="CO6" s="2">
        <f t="array" ref="CO6">MATCH(MAX(ABS(CO3:CO5)), ABS(CO3:CO5), 0)</f>
        <v>3</v>
      </c>
      <c r="CP6" s="2">
        <f t="array" ref="CP6">MATCH(MAX(ABS(CP3:CP5)), ABS(CP3:CP5), 0)</f>
        <v>2</v>
      </c>
      <c r="CQ6" s="2">
        <f t="array" ref="CQ6">MATCH(MAX(ABS(CQ3:CQ5)), ABS(CQ3:CQ5), 0)</f>
        <v>1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2</v>
      </c>
      <c r="CV6" s="2">
        <f t="array" ref="CV6">MATCH(MAX(ABS(CV3:CV5)), ABS(CV3:CV5), 0)</f>
        <v>2</v>
      </c>
      <c r="CW6" s="2">
        <f t="array" ref="CW6">MATCH(MAX(ABS(CW3:CW5)), ABS(CW3:CW5), 0)</f>
        <v>2</v>
      </c>
      <c r="CX6" s="2">
        <f t="array" ref="CX6">MATCH(MAX(ABS(CX3:CX5)), ABS(CX3:CX5), 0)</f>
        <v>2</v>
      </c>
      <c r="CY6" s="2">
        <f t="array" ref="CY6">MATCH(MAX(ABS(CY3:CY5)), ABS(CY3:CY5), 0)</f>
        <v>1</v>
      </c>
      <c r="CZ6" s="2">
        <f t="array" ref="CZ6">MATCH(MAX(ABS(CZ3:CZ5)), ABS(CZ3:CZ5), 0)</f>
        <v>2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2</v>
      </c>
      <c r="DE6" s="2">
        <f t="array" ref="DE6">MATCH(MAX(ABS(DE3:DE5)), ABS(DE3:DE5), 0)</f>
        <v>2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1</v>
      </c>
      <c r="DI6" s="2">
        <f t="array" ref="DI6">MATCH(MAX(ABS(DI3:DI5)), ABS(DI3:DI5), 0)</f>
        <v>2</v>
      </c>
      <c r="DJ6" s="2">
        <f t="array" ref="DJ6">MATCH(MAX(ABS(DJ3:DJ5)), ABS(DJ3:DJ5), 0)</f>
        <v>1</v>
      </c>
      <c r="DK6" s="2">
        <f t="array" ref="DK6">MATCH(MAX(ABS(DK3:DK5)), ABS(DK3:DK5), 0)</f>
        <v>1</v>
      </c>
      <c r="DL6" s="2">
        <f t="array" ref="DL6">MATCH(MAX(ABS(DL3:DL5)), ABS(DL3:DL5), 0)</f>
        <v>1</v>
      </c>
      <c r="DM6" s="2">
        <f t="array" ref="DM6">MATCH(MAX(ABS(DM3:DM5)), ABS(DM3:DM5), 0)</f>
        <v>3</v>
      </c>
      <c r="DN6" s="2">
        <f t="array" ref="DN6">MATCH(MAX(ABS(DN3:DN5)), ABS(DN3:DN5), 0)</f>
        <v>1</v>
      </c>
      <c r="DO6" s="2">
        <f t="array" ref="DO6">MATCH(MAX(ABS(DO3:DO5)), ABS(DO3:DO5), 0)</f>
        <v>2</v>
      </c>
      <c r="DP6" s="2">
        <f t="array" ref="DP6">MATCH(MAX(ABS(DP3:DP5)), ABS(DP3:DP5), 0)</f>
        <v>2</v>
      </c>
      <c r="DQ6" s="2">
        <f t="array" ref="DQ6">MATCH(MAX(ABS(DQ3:DQ5)), ABS(DQ3:DQ5), 0)</f>
        <v>1</v>
      </c>
      <c r="DR6" s="2">
        <f t="array" ref="DR6">MATCH(MAX(ABS(DR3:DR5)), ABS(DR3:DR5), 0)</f>
        <v>2</v>
      </c>
      <c r="DS6" s="2">
        <f t="array" ref="DS6">MATCH(MAX(ABS(DS3:DS5)), ABS(DS3:DS5), 0)</f>
        <v>1</v>
      </c>
      <c r="DT6" s="2">
        <f t="array" ref="DT6">MATCH(MAX(ABS(DT3:DT5)), ABS(DT3:DT5), 0)</f>
        <v>1</v>
      </c>
      <c r="DU6" s="2">
        <f t="array" ref="DU6">MATCH(MAX(ABS(DU3:DU5)), ABS(DU3:DU5), 0)</f>
        <v>1</v>
      </c>
      <c r="DV6" s="2">
        <f t="array" ref="DV6">MATCH(MAX(ABS(DV3:DV5)), ABS(DV3:DV5), 0)</f>
        <v>2</v>
      </c>
      <c r="DW6" s="2">
        <f t="array" ref="DW6">MATCH(MAX(ABS(DW3:DW5)), ABS(DW3:DW5), 0)</f>
        <v>1</v>
      </c>
      <c r="DX6" s="2">
        <f t="array" ref="DX6">MATCH(MAX(ABS(DX3:DX5)), ABS(DX3:DX5), 0)</f>
        <v>2</v>
      </c>
      <c r="DY6" s="2">
        <f t="array" ref="DY6">MATCH(MAX(ABS(DY3:DY5)), ABS(DY3:DY5), 0)</f>
        <v>2</v>
      </c>
      <c r="DZ6" s="2">
        <f t="array" ref="DZ6">MATCH(MAX(ABS(DZ3:DZ5)), ABS(DZ3:DZ5), 0)</f>
        <v>1</v>
      </c>
      <c r="EA6" s="2">
        <f t="array" ref="EA6">MATCH(MAX(ABS(EA3:EA5)), ABS(EA3:EA5), 0)</f>
        <v>1</v>
      </c>
      <c r="EB6" s="2">
        <f t="array" ref="EB6">MATCH(MAX(ABS(EB3:EB5)), ABS(EB3:EB5), 0)</f>
        <v>1</v>
      </c>
      <c r="EC6" s="2">
        <f t="array" ref="EC6">MATCH(MAX(ABS(EC3:EC5)), ABS(EC3:EC5), 0)</f>
        <v>2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1</v>
      </c>
      <c r="EG6" s="2">
        <f t="array" ref="EG6">MATCH(MAX(ABS(EG3:EG5)), ABS(EG3:EG5), 0)</f>
        <v>3</v>
      </c>
      <c r="EH6" s="2">
        <f t="array" ref="EH6">MATCH(MAX(ABS(EH3:EH5)), ABS(EH3:EH5), 0)</f>
        <v>3</v>
      </c>
      <c r="EI6" s="2">
        <f t="array" ref="EI6">MATCH(MAX(ABS(EI3:EI5)), ABS(EI3:EI5), 0)</f>
        <v>2</v>
      </c>
      <c r="EJ6" s="2">
        <f t="array" ref="EJ6">MATCH(MAX(ABS(EJ3:EJ5)), ABS(EJ3:EJ5), 0)</f>
        <v>2</v>
      </c>
      <c r="EK6" s="2">
        <f t="array" ref="EK6">MATCH(MAX(ABS(EK3:EK5)), ABS(EK3:EK5), 0)</f>
        <v>1</v>
      </c>
      <c r="EL6" s="2">
        <f t="array" ref="EL6">MATCH(MAX(ABS(EL3:EL5)), ABS(EL3:EL5), 0)</f>
        <v>3</v>
      </c>
      <c r="EM6" s="2">
        <f t="array" ref="EM6">MATCH(MAX(ABS(EM3:EM5)), ABS(EM3:EM5), 0)</f>
        <v>2</v>
      </c>
    </row>
    <row r="7" spans="1:145" x14ac:dyDescent="0.3">
      <c r="C7" s="2" t="str">
        <f t="shared" ref="C7:AH7" si="0">IF(C6=1,"bm",IF(C6=2,"size",IF(C6=3,"mom")))</f>
        <v>bm</v>
      </c>
      <c r="D7" s="2" t="str">
        <f t="shared" si="0"/>
        <v>bm</v>
      </c>
      <c r="E7" s="2" t="str">
        <f t="shared" si="0"/>
        <v>bm</v>
      </c>
      <c r="F7" s="2" t="str">
        <f t="shared" si="0"/>
        <v>bm</v>
      </c>
      <c r="G7" s="2" t="str">
        <f t="shared" si="0"/>
        <v>bm</v>
      </c>
      <c r="H7" s="2" t="str">
        <f t="shared" si="0"/>
        <v>size</v>
      </c>
      <c r="I7" s="2" t="str">
        <f t="shared" si="0"/>
        <v>mom</v>
      </c>
      <c r="J7" s="2" t="str">
        <f t="shared" si="0"/>
        <v>bm</v>
      </c>
      <c r="K7" s="2" t="str">
        <f t="shared" si="0"/>
        <v>bm</v>
      </c>
      <c r="L7" s="2" t="str">
        <f t="shared" si="0"/>
        <v>mom</v>
      </c>
      <c r="M7" s="2" t="str">
        <f t="shared" si="0"/>
        <v>size</v>
      </c>
      <c r="N7" s="2" t="str">
        <f t="shared" si="0"/>
        <v>bm</v>
      </c>
      <c r="O7" s="2" t="str">
        <f t="shared" si="0"/>
        <v>mom</v>
      </c>
      <c r="P7" s="2" t="str">
        <f t="shared" si="0"/>
        <v>size</v>
      </c>
      <c r="Q7" s="2" t="str">
        <f t="shared" si="0"/>
        <v>size</v>
      </c>
      <c r="R7" s="2" t="str">
        <f t="shared" si="0"/>
        <v>size</v>
      </c>
      <c r="S7" s="2" t="str">
        <f t="shared" si="0"/>
        <v>bm</v>
      </c>
      <c r="T7" s="2" t="str">
        <f t="shared" si="0"/>
        <v>mom</v>
      </c>
      <c r="U7" s="2" t="str">
        <f t="shared" si="0"/>
        <v>size</v>
      </c>
      <c r="V7" s="2" t="str">
        <f t="shared" si="0"/>
        <v>mom</v>
      </c>
      <c r="W7" s="2" t="str">
        <f t="shared" si="0"/>
        <v>mom</v>
      </c>
      <c r="X7" s="2" t="str">
        <f t="shared" si="0"/>
        <v>mom</v>
      </c>
      <c r="Y7" s="2" t="str">
        <f t="shared" si="0"/>
        <v>size</v>
      </c>
      <c r="Z7" s="2" t="str">
        <f t="shared" si="0"/>
        <v>size</v>
      </c>
      <c r="AA7" s="2" t="str">
        <f t="shared" si="0"/>
        <v>size</v>
      </c>
      <c r="AB7" s="2" t="str">
        <f t="shared" si="0"/>
        <v>size</v>
      </c>
      <c r="AC7" s="2" t="str">
        <f t="shared" si="0"/>
        <v>size</v>
      </c>
      <c r="AD7" s="2" t="str">
        <f t="shared" si="0"/>
        <v>mom</v>
      </c>
      <c r="AE7" s="2" t="str">
        <f t="shared" si="0"/>
        <v>bm</v>
      </c>
      <c r="AF7" s="2" t="str">
        <f t="shared" si="0"/>
        <v>size</v>
      </c>
      <c r="AG7" s="2" t="str">
        <f t="shared" si="0"/>
        <v>mom</v>
      </c>
      <c r="AH7" s="2" t="str">
        <f t="shared" si="0"/>
        <v>size</v>
      </c>
      <c r="AI7" s="2" t="str">
        <f t="shared" ref="AI7:BN7" si="1">IF(AI6=1,"bm",IF(AI6=2,"size",IF(AI6=3,"mom")))</f>
        <v>bm</v>
      </c>
      <c r="AJ7" s="2" t="str">
        <f t="shared" si="1"/>
        <v>size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size</v>
      </c>
      <c r="AP7" s="2" t="str">
        <f t="shared" si="1"/>
        <v>bm</v>
      </c>
      <c r="AQ7" s="2" t="str">
        <f t="shared" si="1"/>
        <v>bm</v>
      </c>
      <c r="AR7" s="2" t="str">
        <f t="shared" si="1"/>
        <v>bm</v>
      </c>
      <c r="AS7" s="2" t="str">
        <f t="shared" si="1"/>
        <v>mom</v>
      </c>
      <c r="AT7" s="2" t="str">
        <f t="shared" si="1"/>
        <v>size</v>
      </c>
      <c r="AU7" s="2" t="str">
        <f t="shared" si="1"/>
        <v>bm</v>
      </c>
      <c r="AV7" s="2" t="str">
        <f t="shared" si="1"/>
        <v>mom</v>
      </c>
      <c r="AW7" s="2" t="str">
        <f t="shared" si="1"/>
        <v>size</v>
      </c>
      <c r="AX7" s="2" t="str">
        <f t="shared" si="1"/>
        <v>mom</v>
      </c>
      <c r="AY7" s="2" t="str">
        <f t="shared" si="1"/>
        <v>mom</v>
      </c>
      <c r="AZ7" s="2" t="str">
        <f t="shared" si="1"/>
        <v>size</v>
      </c>
      <c r="BA7" s="2" t="str">
        <f t="shared" si="1"/>
        <v>bm</v>
      </c>
      <c r="BB7" s="2" t="str">
        <f t="shared" si="1"/>
        <v>bm</v>
      </c>
      <c r="BC7" s="2" t="str">
        <f t="shared" si="1"/>
        <v>bm</v>
      </c>
      <c r="BD7" s="2" t="str">
        <f t="shared" si="1"/>
        <v>size</v>
      </c>
      <c r="BE7" s="2" t="str">
        <f t="shared" si="1"/>
        <v>size</v>
      </c>
      <c r="BF7" s="2" t="str">
        <f t="shared" si="1"/>
        <v>size</v>
      </c>
      <c r="BG7" s="2" t="str">
        <f t="shared" si="1"/>
        <v>bm</v>
      </c>
      <c r="BH7" s="2" t="str">
        <f t="shared" si="1"/>
        <v>size</v>
      </c>
      <c r="BI7" s="2" t="str">
        <f t="shared" si="1"/>
        <v>mom</v>
      </c>
      <c r="BJ7" s="2" t="str">
        <f t="shared" si="1"/>
        <v>bm</v>
      </c>
      <c r="BK7" s="2" t="str">
        <f t="shared" si="1"/>
        <v>size</v>
      </c>
      <c r="BL7" s="2" t="str">
        <f t="shared" si="1"/>
        <v>bm</v>
      </c>
      <c r="BM7" s="2" t="str">
        <f t="shared" si="1"/>
        <v>bm</v>
      </c>
      <c r="BN7" s="2" t="str">
        <f t="shared" si="1"/>
        <v>bm</v>
      </c>
      <c r="BO7" s="2" t="str">
        <f t="shared" ref="BO7:CT7" si="2">IF(BO6=1,"bm",IF(BO6=2,"size",IF(BO6=3,"mom")))</f>
        <v>bm</v>
      </c>
      <c r="BP7" s="2" t="str">
        <f t="shared" si="2"/>
        <v>bm</v>
      </c>
      <c r="BQ7" s="2" t="str">
        <f t="shared" si="2"/>
        <v>bm</v>
      </c>
      <c r="BR7" s="2" t="str">
        <f t="shared" si="2"/>
        <v>bm</v>
      </c>
      <c r="BS7" s="2" t="str">
        <f t="shared" si="2"/>
        <v>bm</v>
      </c>
      <c r="BT7" s="2" t="str">
        <f t="shared" si="2"/>
        <v>bm</v>
      </c>
      <c r="BU7" s="2" t="str">
        <f t="shared" si="2"/>
        <v>size</v>
      </c>
      <c r="BV7" s="2" t="str">
        <f t="shared" si="2"/>
        <v>size</v>
      </c>
      <c r="BW7" s="2" t="str">
        <f t="shared" si="2"/>
        <v>size</v>
      </c>
      <c r="BX7" s="2" t="str">
        <f t="shared" si="2"/>
        <v>bm</v>
      </c>
      <c r="BY7" s="2" t="str">
        <f t="shared" si="2"/>
        <v>bm</v>
      </c>
      <c r="BZ7" s="2" t="str">
        <f t="shared" si="2"/>
        <v>size</v>
      </c>
      <c r="CA7" s="2" t="str">
        <f t="shared" si="2"/>
        <v>mom</v>
      </c>
      <c r="CB7" s="2" t="str">
        <f t="shared" si="2"/>
        <v>size</v>
      </c>
      <c r="CC7" s="2" t="str">
        <f t="shared" si="2"/>
        <v>bm</v>
      </c>
      <c r="CD7" s="2" t="str">
        <f t="shared" si="2"/>
        <v>size</v>
      </c>
      <c r="CE7" s="2" t="str">
        <f t="shared" si="2"/>
        <v>bm</v>
      </c>
      <c r="CF7" s="2" t="str">
        <f t="shared" si="2"/>
        <v>bm</v>
      </c>
      <c r="CG7" s="2" t="str">
        <f t="shared" si="2"/>
        <v>size</v>
      </c>
      <c r="CH7" s="2" t="str">
        <f t="shared" si="2"/>
        <v>bm</v>
      </c>
      <c r="CI7" s="2" t="str">
        <f t="shared" si="2"/>
        <v>mom</v>
      </c>
      <c r="CJ7" s="2" t="str">
        <f t="shared" si="2"/>
        <v>bm</v>
      </c>
      <c r="CK7" s="2" t="str">
        <f t="shared" si="2"/>
        <v>size</v>
      </c>
      <c r="CL7" s="2" t="str">
        <f t="shared" si="2"/>
        <v>bm</v>
      </c>
      <c r="CM7" s="2" t="str">
        <f t="shared" si="2"/>
        <v>bm</v>
      </c>
      <c r="CN7" s="2" t="str">
        <f t="shared" si="2"/>
        <v>bm</v>
      </c>
      <c r="CO7" s="2" t="str">
        <f t="shared" si="2"/>
        <v>mom</v>
      </c>
      <c r="CP7" s="2" t="str">
        <f t="shared" si="2"/>
        <v>size</v>
      </c>
      <c r="CQ7" s="2" t="str">
        <f t="shared" si="2"/>
        <v>bm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size</v>
      </c>
      <c r="CV7" s="2" t="str">
        <f t="shared" si="3"/>
        <v>size</v>
      </c>
      <c r="CW7" s="2" t="str">
        <f t="shared" si="3"/>
        <v>size</v>
      </c>
      <c r="CX7" s="2" t="str">
        <f t="shared" si="3"/>
        <v>size</v>
      </c>
      <c r="CY7" s="2" t="str">
        <f t="shared" si="3"/>
        <v>bm</v>
      </c>
      <c r="CZ7" s="2" t="str">
        <f t="shared" si="3"/>
        <v>size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size</v>
      </c>
      <c r="DE7" s="2" t="str">
        <f t="shared" si="3"/>
        <v>size</v>
      </c>
      <c r="DF7" s="2" t="str">
        <f t="shared" si="3"/>
        <v>size</v>
      </c>
      <c r="DG7" s="2" t="str">
        <f t="shared" si="3"/>
        <v>size</v>
      </c>
      <c r="DH7" s="2" t="str">
        <f t="shared" si="3"/>
        <v>bm</v>
      </c>
      <c r="DI7" s="2" t="str">
        <f t="shared" si="3"/>
        <v>size</v>
      </c>
      <c r="DJ7" s="2" t="str">
        <f t="shared" si="3"/>
        <v>bm</v>
      </c>
      <c r="DK7" s="2" t="str">
        <f t="shared" si="3"/>
        <v>bm</v>
      </c>
      <c r="DL7" s="2" t="str">
        <f t="shared" si="3"/>
        <v>bm</v>
      </c>
      <c r="DM7" s="2" t="str">
        <f t="shared" si="3"/>
        <v>mom</v>
      </c>
      <c r="DN7" s="2" t="str">
        <f t="shared" si="3"/>
        <v>bm</v>
      </c>
      <c r="DO7" s="2" t="str">
        <f t="shared" si="3"/>
        <v>size</v>
      </c>
      <c r="DP7" s="2" t="str">
        <f t="shared" si="3"/>
        <v>size</v>
      </c>
      <c r="DQ7" s="2" t="str">
        <f t="shared" si="3"/>
        <v>bm</v>
      </c>
      <c r="DR7" s="2" t="str">
        <f t="shared" si="3"/>
        <v>size</v>
      </c>
      <c r="DS7" s="2" t="str">
        <f t="shared" si="3"/>
        <v>bm</v>
      </c>
      <c r="DT7" s="2" t="str">
        <f t="shared" si="3"/>
        <v>bm</v>
      </c>
      <c r="DU7" s="2" t="str">
        <f t="shared" si="3"/>
        <v>bm</v>
      </c>
      <c r="DV7" s="2" t="str">
        <f t="shared" si="3"/>
        <v>size</v>
      </c>
      <c r="DW7" s="2" t="str">
        <f t="shared" si="3"/>
        <v>bm</v>
      </c>
      <c r="DX7" s="2" t="str">
        <f t="shared" si="3"/>
        <v>size</v>
      </c>
      <c r="DY7" s="2" t="str">
        <f t="shared" si="3"/>
        <v>size</v>
      </c>
      <c r="DZ7" s="2" t="str">
        <f t="shared" si="3"/>
        <v>bm</v>
      </c>
      <c r="EA7" s="2" t="str">
        <f t="shared" ref="EA7:FF7" si="4">IF(EA6=1,"bm",IF(EA6=2,"size",IF(EA6=3,"mom")))</f>
        <v>bm</v>
      </c>
      <c r="EB7" s="2" t="str">
        <f t="shared" si="4"/>
        <v>bm</v>
      </c>
      <c r="EC7" s="2" t="str">
        <f t="shared" si="4"/>
        <v>size</v>
      </c>
      <c r="ED7" s="2" t="str">
        <f t="shared" si="4"/>
        <v>bm</v>
      </c>
      <c r="EE7" s="2" t="str">
        <f t="shared" si="4"/>
        <v>size</v>
      </c>
      <c r="EF7" s="2" t="str">
        <f t="shared" si="4"/>
        <v>bm</v>
      </c>
      <c r="EG7" s="2" t="str">
        <f t="shared" si="4"/>
        <v>mom</v>
      </c>
      <c r="EH7" s="2" t="str">
        <f t="shared" si="4"/>
        <v>mom</v>
      </c>
      <c r="EI7" s="2" t="str">
        <f t="shared" si="4"/>
        <v>size</v>
      </c>
      <c r="EJ7" s="2" t="str">
        <f t="shared" si="4"/>
        <v>size</v>
      </c>
      <c r="EK7" s="2" t="str">
        <f t="shared" si="4"/>
        <v>bm</v>
      </c>
      <c r="EL7" s="2" t="str">
        <f t="shared" si="4"/>
        <v>mom</v>
      </c>
      <c r="EM7" s="2" t="str">
        <f t="shared" si="4"/>
        <v>size</v>
      </c>
    </row>
    <row r="8" spans="1:145" x14ac:dyDescent="0.3">
      <c r="C8" s="2">
        <f t="shared" ref="C8:AH8" si="5">IF(C6=1,C3,IF(C6=2,C4,IF(C6=3,C5)))</f>
        <v>5.6118451058864587E-2</v>
      </c>
      <c r="D8" s="2">
        <f t="shared" si="5"/>
        <v>7.8115358948707581E-2</v>
      </c>
      <c r="E8" s="2">
        <f t="shared" si="5"/>
        <v>-0.1415126770734787</v>
      </c>
      <c r="F8" s="2">
        <f t="shared" si="5"/>
        <v>-8.4760263562202454E-2</v>
      </c>
      <c r="G8" s="2">
        <f t="shared" si="5"/>
        <v>-1.6393894329667091E-2</v>
      </c>
      <c r="H8" s="2">
        <f t="shared" si="5"/>
        <v>-4.1918478906154633E-2</v>
      </c>
      <c r="I8" s="2">
        <f t="shared" si="5"/>
        <v>3.4106865525245673E-2</v>
      </c>
      <c r="J8" s="2">
        <f t="shared" si="5"/>
        <v>6.4448930323123932E-2</v>
      </c>
      <c r="K8" s="2">
        <f t="shared" si="5"/>
        <v>9.3935757875442505E-2</v>
      </c>
      <c r="L8" s="2">
        <f t="shared" si="5"/>
        <v>-0.14336225390434271</v>
      </c>
      <c r="M8" s="2">
        <f t="shared" si="5"/>
        <v>-4.2787168174982071E-2</v>
      </c>
      <c r="N8" s="2">
        <f t="shared" si="5"/>
        <v>9.7503647208213806E-2</v>
      </c>
      <c r="O8" s="2">
        <f t="shared" si="5"/>
        <v>3.4841738641262048E-2</v>
      </c>
      <c r="P8" s="2">
        <f t="shared" si="5"/>
        <v>3.8856223225593567E-2</v>
      </c>
      <c r="Q8" s="2">
        <f t="shared" si="5"/>
        <v>2.292590960860252E-2</v>
      </c>
      <c r="R8" s="2">
        <f t="shared" si="5"/>
        <v>9.1378994286060333E-2</v>
      </c>
      <c r="S8" s="2">
        <f t="shared" si="5"/>
        <v>0.11152903735637661</v>
      </c>
      <c r="T8" s="2">
        <f t="shared" si="5"/>
        <v>-4.5294873416423798E-2</v>
      </c>
      <c r="U8" s="2">
        <f t="shared" si="5"/>
        <v>-0.20099139213562009</v>
      </c>
      <c r="V8" s="2">
        <f t="shared" si="5"/>
        <v>3.342755138874054E-2</v>
      </c>
      <c r="W8" s="2">
        <f t="shared" si="5"/>
        <v>3.600490465760231E-2</v>
      </c>
      <c r="X8" s="2">
        <f t="shared" si="5"/>
        <v>-6.4424417912960052E-2</v>
      </c>
      <c r="Y8" s="2">
        <f t="shared" si="5"/>
        <v>3.9161346852779388E-2</v>
      </c>
      <c r="Z8" s="2">
        <f t="shared" si="5"/>
        <v>-6.3054509460926056E-2</v>
      </c>
      <c r="AA8" s="2">
        <f t="shared" si="5"/>
        <v>0.29351425170898438</v>
      </c>
      <c r="AB8" s="2">
        <f t="shared" si="5"/>
        <v>-5.1668956875801093E-2</v>
      </c>
      <c r="AC8" s="2">
        <f t="shared" si="5"/>
        <v>-5.8906577527523041E-2</v>
      </c>
      <c r="AD8" s="2">
        <f t="shared" si="5"/>
        <v>4.1641086339950562E-2</v>
      </c>
      <c r="AE8" s="2">
        <f t="shared" si="5"/>
        <v>0.1190536841750145</v>
      </c>
      <c r="AF8" s="2">
        <f t="shared" si="5"/>
        <v>6.4832724630832672E-2</v>
      </c>
      <c r="AG8" s="2">
        <f t="shared" si="5"/>
        <v>7.2603732347488403E-2</v>
      </c>
      <c r="AH8" s="2">
        <f t="shared" si="5"/>
        <v>3.0198957771062851E-2</v>
      </c>
      <c r="AI8" s="2">
        <f t="shared" ref="AI8:BN8" si="6">IF(AI6=1,AI3,IF(AI6=2,AI4,IF(AI6=3,AI5)))</f>
        <v>7.8147970139980316E-2</v>
      </c>
      <c r="AJ8" s="2">
        <f t="shared" si="6"/>
        <v>-8.1800997257232666E-2</v>
      </c>
      <c r="AK8" s="2">
        <f t="shared" si="6"/>
        <v>2.9277428984642029E-2</v>
      </c>
      <c r="AL8" s="2">
        <f t="shared" si="6"/>
        <v>-0.1100530177354813</v>
      </c>
      <c r="AM8" s="2">
        <f t="shared" si="6"/>
        <v>5.5360257625579827E-2</v>
      </c>
      <c r="AN8" s="2">
        <f t="shared" si="6"/>
        <v>-5.8350309729576111E-2</v>
      </c>
      <c r="AO8" s="2">
        <f t="shared" si="6"/>
        <v>0.48250654339790339</v>
      </c>
      <c r="AP8" s="2">
        <f t="shared" si="6"/>
        <v>4.5363374054431922E-2</v>
      </c>
      <c r="AQ8" s="2">
        <f t="shared" si="6"/>
        <v>0.14594569802284241</v>
      </c>
      <c r="AR8" s="2">
        <f t="shared" si="6"/>
        <v>9.9557004868984222E-2</v>
      </c>
      <c r="AS8" s="2">
        <f t="shared" si="6"/>
        <v>-4.7974057495594018E-2</v>
      </c>
      <c r="AT8" s="2">
        <f t="shared" si="6"/>
        <v>0.10524175316095349</v>
      </c>
      <c r="AU8" s="2">
        <f t="shared" si="6"/>
        <v>-4.7236192971467972E-2</v>
      </c>
      <c r="AV8" s="2">
        <f t="shared" si="6"/>
        <v>-5.7472378015518188E-2</v>
      </c>
      <c r="AW8" s="2">
        <f t="shared" si="6"/>
        <v>-0.96225237846374512</v>
      </c>
      <c r="AX8" s="2">
        <f t="shared" si="6"/>
        <v>-5.8146975934505463E-2</v>
      </c>
      <c r="AY8" s="2">
        <f t="shared" si="6"/>
        <v>0.1052219867706299</v>
      </c>
      <c r="AZ8" s="2">
        <f t="shared" si="6"/>
        <v>-5.1676530390977859E-2</v>
      </c>
      <c r="BA8" s="2">
        <f t="shared" si="6"/>
        <v>-4.3942347168922417E-2</v>
      </c>
      <c r="BB8" s="2">
        <f t="shared" si="6"/>
        <v>9.4006329774856567E-2</v>
      </c>
      <c r="BC8" s="2">
        <f t="shared" si="6"/>
        <v>2.8445800766348839E-2</v>
      </c>
      <c r="BD8" s="2">
        <f t="shared" si="6"/>
        <v>-0.38229072093963617</v>
      </c>
      <c r="BE8" s="2">
        <f t="shared" si="6"/>
        <v>-2.2616449743509289E-2</v>
      </c>
      <c r="BF8" s="2">
        <f t="shared" si="6"/>
        <v>-3.5860244184732437E-2</v>
      </c>
      <c r="BG8" s="2">
        <f t="shared" si="6"/>
        <v>5.2014391869306557E-2</v>
      </c>
      <c r="BH8" s="2">
        <f t="shared" si="6"/>
        <v>4.3198607861995697E-2</v>
      </c>
      <c r="BI8" s="2">
        <f t="shared" si="6"/>
        <v>6.7682020366191864E-2</v>
      </c>
      <c r="BJ8" s="2">
        <f t="shared" si="6"/>
        <v>-4.3040025979280472E-2</v>
      </c>
      <c r="BK8" s="2">
        <f t="shared" si="6"/>
        <v>-0.49124959111213679</v>
      </c>
      <c r="BL8" s="2">
        <f t="shared" si="6"/>
        <v>5.2610065788030617E-2</v>
      </c>
      <c r="BM8" s="2">
        <f t="shared" si="6"/>
        <v>0.16467450559139249</v>
      </c>
      <c r="BN8" s="2">
        <f t="shared" si="6"/>
        <v>5.6239485740661621E-2</v>
      </c>
      <c r="BO8" s="2">
        <f t="shared" ref="BO8:CT8" si="7">IF(BO6=1,BO3,IF(BO6=2,BO4,IF(BO6=3,BO5)))</f>
        <v>5.7048242539167397E-2</v>
      </c>
      <c r="BP8" s="2">
        <f t="shared" si="7"/>
        <v>3.7904918193817139E-2</v>
      </c>
      <c r="BQ8" s="2">
        <f t="shared" si="7"/>
        <v>5.388949066400528E-2</v>
      </c>
      <c r="BR8" s="2">
        <f t="shared" si="7"/>
        <v>1.972170919179916E-2</v>
      </c>
      <c r="BS8" s="2">
        <f t="shared" si="7"/>
        <v>5.4315824061632163E-2</v>
      </c>
      <c r="BT8" s="2">
        <f t="shared" si="7"/>
        <v>4.7150813043117523E-2</v>
      </c>
      <c r="BU8" s="2">
        <f t="shared" si="7"/>
        <v>-7.4458800256252289E-2</v>
      </c>
      <c r="BV8" s="2">
        <f t="shared" si="7"/>
        <v>9.906383603811264E-2</v>
      </c>
      <c r="BW8" s="2">
        <f t="shared" si="7"/>
        <v>-9.3610800802707672E-2</v>
      </c>
      <c r="BX8" s="2">
        <f t="shared" si="7"/>
        <v>4.7259576618671417E-2</v>
      </c>
      <c r="BY8" s="2">
        <f t="shared" si="7"/>
        <v>4.9359224736690521E-2</v>
      </c>
      <c r="BZ8" s="2">
        <f t="shared" si="7"/>
        <v>6.5151117742061615E-2</v>
      </c>
      <c r="CA8" s="2">
        <f t="shared" si="7"/>
        <v>4.5838907361030579E-2</v>
      </c>
      <c r="CB8" s="2">
        <f t="shared" si="7"/>
        <v>3.8924302905797958E-2</v>
      </c>
      <c r="CC8" s="2">
        <f t="shared" si="7"/>
        <v>5.2212677896022797E-2</v>
      </c>
      <c r="CD8" s="2">
        <f t="shared" si="7"/>
        <v>-4.9464032053947449E-2</v>
      </c>
      <c r="CE8" s="2">
        <f t="shared" si="7"/>
        <v>4.7712299972772598E-2</v>
      </c>
      <c r="CF8" s="2">
        <f t="shared" si="7"/>
        <v>5.1156952977180481E-2</v>
      </c>
      <c r="CG8" s="2">
        <f t="shared" si="7"/>
        <v>-3.9963260293006897E-2</v>
      </c>
      <c r="CH8" s="2">
        <f t="shared" si="7"/>
        <v>5.0260737538337708E-2</v>
      </c>
      <c r="CI8" s="2">
        <f t="shared" si="7"/>
        <v>9.1768182814121246E-2</v>
      </c>
      <c r="CJ8" s="2">
        <f t="shared" si="7"/>
        <v>4.9879353493452072E-2</v>
      </c>
      <c r="CK8" s="2">
        <f t="shared" si="7"/>
        <v>-2.7694102376699451E-2</v>
      </c>
      <c r="CL8" s="2">
        <f t="shared" si="7"/>
        <v>5.1040831953287118E-2</v>
      </c>
      <c r="CM8" s="2">
        <f t="shared" si="7"/>
        <v>7.0432275533676147E-2</v>
      </c>
      <c r="CN8" s="2">
        <f t="shared" si="7"/>
        <v>4.9308884888887412E-2</v>
      </c>
      <c r="CO8" s="2">
        <f t="shared" si="7"/>
        <v>0.14323921501636511</v>
      </c>
      <c r="CP8" s="2">
        <f t="shared" si="7"/>
        <v>-2.108084037899971E-2</v>
      </c>
      <c r="CQ8" s="2">
        <f t="shared" si="7"/>
        <v>4.8940815031528473E-2</v>
      </c>
      <c r="CR8" s="2">
        <f t="shared" si="7"/>
        <v>0.1063184291124344</v>
      </c>
      <c r="CS8" s="2">
        <f t="shared" si="7"/>
        <v>-3.9905324578285217E-2</v>
      </c>
      <c r="CT8" s="2">
        <f t="shared" si="7"/>
        <v>-5.8815300464630127E-2</v>
      </c>
      <c r="CU8" s="2">
        <f t="shared" ref="CU8:DZ8" si="8">IF(CU6=1,CU3,IF(CU6=2,CU4,IF(CU6=3,CU5)))</f>
        <v>-0.21441565454006201</v>
      </c>
      <c r="CV8" s="2">
        <f t="shared" si="8"/>
        <v>-0.14599728584289551</v>
      </c>
      <c r="CW8" s="2">
        <f t="shared" si="8"/>
        <v>6.59809410572052E-2</v>
      </c>
      <c r="CX8" s="2">
        <f t="shared" si="8"/>
        <v>-0.33112818002700811</v>
      </c>
      <c r="CY8" s="2">
        <f t="shared" si="8"/>
        <v>5.2212778478860862E-2</v>
      </c>
      <c r="CZ8" s="2">
        <f t="shared" si="8"/>
        <v>-0.23087161779403689</v>
      </c>
      <c r="DA8" s="2">
        <f t="shared" si="8"/>
        <v>-9.6895664930343628E-2</v>
      </c>
      <c r="DB8" s="2">
        <f t="shared" si="8"/>
        <v>2.638174407184124E-2</v>
      </c>
      <c r="DC8" s="2">
        <f t="shared" si="8"/>
        <v>9.5405779778957367E-2</v>
      </c>
      <c r="DD8" s="2">
        <f t="shared" si="8"/>
        <v>-5.3469959646463387E-2</v>
      </c>
      <c r="DE8" s="2">
        <f t="shared" si="8"/>
        <v>-0.13113583624362951</v>
      </c>
      <c r="DF8" s="2">
        <f t="shared" si="8"/>
        <v>-0.13658058643341059</v>
      </c>
      <c r="DG8" s="2">
        <f t="shared" si="8"/>
        <v>-9.4920694828033447E-2</v>
      </c>
      <c r="DH8" s="2">
        <f t="shared" si="8"/>
        <v>0.22446863353252411</v>
      </c>
      <c r="DI8" s="2">
        <f t="shared" si="8"/>
        <v>-4.0931046009063721E-2</v>
      </c>
      <c r="DJ8" s="2">
        <f t="shared" si="8"/>
        <v>5.2645519375801093E-2</v>
      </c>
      <c r="DK8" s="2">
        <f t="shared" si="8"/>
        <v>4.6334173530340188E-2</v>
      </c>
      <c r="DL8" s="2">
        <f t="shared" si="8"/>
        <v>7.6330825686454773E-2</v>
      </c>
      <c r="DM8" s="2">
        <f t="shared" si="8"/>
        <v>-0.25882810354232788</v>
      </c>
      <c r="DN8" s="2">
        <f t="shared" si="8"/>
        <v>4.6702113002538681E-2</v>
      </c>
      <c r="DO8" s="2">
        <f t="shared" si="8"/>
        <v>0.1028218641877174</v>
      </c>
      <c r="DP8" s="2">
        <f t="shared" si="8"/>
        <v>-0.26931414008140558</v>
      </c>
      <c r="DQ8" s="2">
        <f t="shared" si="8"/>
        <v>4.92582768201828E-2</v>
      </c>
      <c r="DR8" s="2">
        <f t="shared" si="8"/>
        <v>7.612089067697525E-2</v>
      </c>
      <c r="DS8" s="2">
        <f t="shared" si="8"/>
        <v>-4.2000178247690201E-2</v>
      </c>
      <c r="DT8" s="2">
        <f t="shared" si="8"/>
        <v>4.7626849263906479E-2</v>
      </c>
      <c r="DU8" s="2">
        <f t="shared" si="8"/>
        <v>4.7286637127399438E-2</v>
      </c>
      <c r="DV8" s="2">
        <f t="shared" si="8"/>
        <v>-0.12697815895080569</v>
      </c>
      <c r="DW8" s="2">
        <f t="shared" si="8"/>
        <v>-6.3924841582775116E-2</v>
      </c>
      <c r="DX8" s="2">
        <f t="shared" si="8"/>
        <v>-7.1560792624950409E-2</v>
      </c>
      <c r="DY8" s="2">
        <f t="shared" si="8"/>
        <v>-3.8502730429172523E-2</v>
      </c>
      <c r="DZ8" s="2">
        <f t="shared" si="8"/>
        <v>8.7747782468795776E-2</v>
      </c>
      <c r="EA8" s="2">
        <f t="shared" ref="EA8:EM8" si="9">IF(EA6=1,EA3,IF(EA6=2,EA4,IF(EA6=3,EA5)))</f>
        <v>4.5896410942077637E-2</v>
      </c>
      <c r="EB8" s="2">
        <f t="shared" si="9"/>
        <v>-3.0745090916752819E-2</v>
      </c>
      <c r="EC8" s="2">
        <f t="shared" si="9"/>
        <v>-5.1103539764881127E-2</v>
      </c>
      <c r="ED8" s="2">
        <f t="shared" si="9"/>
        <v>3.9232797920703888E-2</v>
      </c>
      <c r="EE8" s="2">
        <f t="shared" si="9"/>
        <v>-0.1043576747179031</v>
      </c>
      <c r="EF8" s="2">
        <f t="shared" si="9"/>
        <v>2.1230563521385189E-2</v>
      </c>
      <c r="EG8" s="2">
        <f t="shared" si="9"/>
        <v>8.221927285194397E-2</v>
      </c>
      <c r="EH8" s="2">
        <f t="shared" si="9"/>
        <v>7.1446478366851807E-2</v>
      </c>
      <c r="EI8" s="2">
        <f t="shared" si="9"/>
        <v>9.3854136765003204E-2</v>
      </c>
      <c r="EJ8" s="2">
        <f t="shared" si="9"/>
        <v>5.9465162456035607E-2</v>
      </c>
      <c r="EK8" s="2">
        <f t="shared" si="9"/>
        <v>5.0296429544687271E-2</v>
      </c>
      <c r="EL8" s="2">
        <f t="shared" si="9"/>
        <v>-7.0758596062660217E-2</v>
      </c>
      <c r="EM8" s="2">
        <f t="shared" si="9"/>
        <v>-0.20883294939994809</v>
      </c>
    </row>
    <row r="10" spans="1:145" x14ac:dyDescent="0.3">
      <c r="A10" s="20" t="s">
        <v>147</v>
      </c>
      <c r="B10" s="21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8">
        <v>10</v>
      </c>
      <c r="B12" s="18">
        <f t="shared" ref="B12:B24" si="10">ROUND($D$10/A12,0)</f>
        <v>105</v>
      </c>
      <c r="C12" s="3">
        <v>4.5470821524180881E-2</v>
      </c>
      <c r="D12" s="3">
        <v>2.8187943285654441E-2</v>
      </c>
      <c r="E12" s="3">
        <v>6.679733950437871E-3</v>
      </c>
      <c r="F12" s="3">
        <v>1.343686184104372E-2</v>
      </c>
      <c r="G12" s="3">
        <v>-5.2505574877710348E-3</v>
      </c>
      <c r="H12" s="3">
        <v>4.3063012145177312E-2</v>
      </c>
      <c r="I12" s="3">
        <v>-2.3146302660808658E-2</v>
      </c>
      <c r="J12" s="3">
        <v>5.6681659589527762E-2</v>
      </c>
      <c r="K12" s="3">
        <v>-6.1517658167592817E-3</v>
      </c>
      <c r="L12" s="3">
        <v>-8.4970380289747793E-4</v>
      </c>
      <c r="M12" s="3">
        <v>-3.6873954015990708E-3</v>
      </c>
      <c r="N12" s="3">
        <v>4.4637394675003668E-2</v>
      </c>
      <c r="O12" s="3">
        <v>2.6262838934360731E-2</v>
      </c>
      <c r="P12" s="3">
        <v>1.7497659709287891E-3</v>
      </c>
      <c r="Q12" s="3">
        <v>-2.457856848083766E-2</v>
      </c>
      <c r="R12" s="3">
        <v>-1.6873411771104491E-2</v>
      </c>
      <c r="S12" s="3">
        <v>-6.4337506511986317E-2</v>
      </c>
      <c r="T12" s="3">
        <v>-4.7307127974092249E-2</v>
      </c>
      <c r="U12" s="3">
        <v>-2.0802966490777591E-2</v>
      </c>
      <c r="V12" s="3">
        <v>2.553853060319855E-3</v>
      </c>
      <c r="W12" s="3">
        <v>-3.3108214591750208E-2</v>
      </c>
      <c r="X12" s="3">
        <v>0.12042309580878641</v>
      </c>
      <c r="Y12" s="3">
        <v>-1.559717168503774E-2</v>
      </c>
      <c r="Z12" s="3">
        <v>3.4122483481835199E-3</v>
      </c>
      <c r="AA12" s="3">
        <v>1.5643859058730052E-2</v>
      </c>
      <c r="AB12" s="3">
        <v>-3.2343373937008262E-3</v>
      </c>
      <c r="AC12" s="3">
        <v>1.071831749993747E-2</v>
      </c>
      <c r="AD12" s="3">
        <v>1.2076822520636179E-2</v>
      </c>
      <c r="AE12" s="3">
        <v>-3.8003609102383679E-2</v>
      </c>
      <c r="AF12" s="3">
        <v>-3.4669063969598742E-2</v>
      </c>
      <c r="AG12" s="3">
        <v>-6.9186945673739434E-3</v>
      </c>
      <c r="AH12" s="3">
        <v>-2.4404384646849211E-2</v>
      </c>
      <c r="AI12" s="3">
        <v>1.6159122773231178E-2</v>
      </c>
      <c r="AJ12" s="3">
        <v>2.582474078637606E-2</v>
      </c>
      <c r="AK12" s="3">
        <v>4.1114693252788923E-2</v>
      </c>
      <c r="AL12" s="3">
        <v>3.6103996712563403E-2</v>
      </c>
      <c r="AM12" s="3">
        <v>2.5435995419533428E-2</v>
      </c>
      <c r="AN12" s="3">
        <v>-5.9852191203249902E-2</v>
      </c>
      <c r="AO12" s="3">
        <v>-2.0909476389994099E-2</v>
      </c>
      <c r="AP12" s="3">
        <v>-2.153954826191519E-2</v>
      </c>
      <c r="AQ12" s="3">
        <v>-7.260712968734144E-3</v>
      </c>
      <c r="AR12" s="3">
        <v>2.127670173322397E-2</v>
      </c>
      <c r="AS12" s="3">
        <v>-2.9038603307229179E-2</v>
      </c>
      <c r="AT12" s="3">
        <v>2.5082472207950929E-2</v>
      </c>
      <c r="AU12" s="3">
        <v>-3.1643730035819259E-2</v>
      </c>
      <c r="AV12" s="3">
        <v>-5.9343044862035801E-2</v>
      </c>
      <c r="AW12" s="3">
        <v>1.177437316019162E-2</v>
      </c>
      <c r="AX12" s="3">
        <v>5.579031389003495E-2</v>
      </c>
      <c r="AY12" s="3">
        <v>1.003395302767624E-2</v>
      </c>
      <c r="AZ12" s="3">
        <v>5.6338485107914289E-2</v>
      </c>
      <c r="BA12" s="3">
        <v>-4.9042623580592033E-3</v>
      </c>
      <c r="BB12" s="3">
        <v>2.3603629904787472E-2</v>
      </c>
      <c r="BC12" s="3">
        <v>3.7833203905467132E-3</v>
      </c>
      <c r="BD12" s="3">
        <v>5.068041266858643E-2</v>
      </c>
      <c r="BE12" s="3">
        <v>-4.613774146674713E-2</v>
      </c>
      <c r="BF12" s="3">
        <v>-9.6457869915822607E-3</v>
      </c>
      <c r="BG12" s="3">
        <v>3.4757242281770642E-2</v>
      </c>
      <c r="BH12" s="3">
        <v>2.341301817775435E-2</v>
      </c>
      <c r="BI12" s="3">
        <v>-5.8150960934774433E-2</v>
      </c>
      <c r="BJ12" s="3">
        <v>-9.9367884921129357E-3</v>
      </c>
      <c r="BK12" s="3">
        <v>-1.7434305485757699E-2</v>
      </c>
      <c r="BL12" s="3">
        <v>1.6034070777655559E-2</v>
      </c>
      <c r="BM12" s="3">
        <v>-2.2159903178142382E-3</v>
      </c>
      <c r="BN12" s="3">
        <v>1.1793423495001541E-2</v>
      </c>
      <c r="BO12" s="3">
        <v>2.4587825224843561E-2</v>
      </c>
      <c r="BP12" s="3">
        <v>-1.2482492910663541E-2</v>
      </c>
      <c r="BQ12" s="3">
        <v>5.6548259598195923E-3</v>
      </c>
      <c r="BR12" s="3">
        <v>-5.8061681396759917E-3</v>
      </c>
      <c r="BS12" s="3">
        <v>1.575274089212392E-3</v>
      </c>
      <c r="BT12" s="3">
        <v>1.328651559026642E-2</v>
      </c>
      <c r="BU12" s="3">
        <v>-3.5413040825291738E-2</v>
      </c>
      <c r="BV12" s="3">
        <v>-2.5457016832642121E-2</v>
      </c>
      <c r="BW12" s="3">
        <v>5.2391898025049559E-2</v>
      </c>
      <c r="BX12" s="3">
        <v>7.1965923770129468E-3</v>
      </c>
      <c r="BY12" s="3">
        <v>-1.9509277229804719E-2</v>
      </c>
      <c r="BZ12" s="3">
        <v>-7.0500167289666293E-3</v>
      </c>
      <c r="CA12" s="3">
        <v>-4.1453840487307159E-3</v>
      </c>
      <c r="CB12" s="3">
        <v>-5.6271326942508179E-2</v>
      </c>
      <c r="CC12" s="3">
        <v>-1.3336581487285349E-2</v>
      </c>
      <c r="CD12" s="3">
        <v>4.1016506723565618E-2</v>
      </c>
      <c r="CE12" s="3">
        <v>1.443753877649045E-2</v>
      </c>
      <c r="CF12" s="3">
        <v>3.2181788455636733E-2</v>
      </c>
      <c r="CG12" s="3">
        <v>-2.8681922930943178E-3</v>
      </c>
      <c r="CH12" s="3">
        <v>6.7832672140520189E-2</v>
      </c>
      <c r="CI12" s="3">
        <v>-2.9303637480726809E-2</v>
      </c>
      <c r="CJ12" s="3">
        <v>1.0480510665371159E-2</v>
      </c>
      <c r="CK12" s="3">
        <v>2.6440691677839859E-2</v>
      </c>
      <c r="CL12" s="3">
        <v>0.15371706302118329</v>
      </c>
      <c r="CM12" s="3">
        <v>-3.2046777892736168E-2</v>
      </c>
      <c r="CN12" s="3">
        <v>-3.2484644992415608E-2</v>
      </c>
      <c r="CO12" s="3">
        <v>-2.1696127838307568E-2</v>
      </c>
      <c r="CP12" s="3">
        <v>-5.3085747166010796E-3</v>
      </c>
      <c r="CQ12" s="3">
        <v>4.2889598320918917E-2</v>
      </c>
      <c r="CR12" s="3">
        <v>-4.7945989568147183E-2</v>
      </c>
      <c r="CS12" s="3">
        <v>-5.2591903544904721E-3</v>
      </c>
      <c r="CT12" s="3">
        <v>3.1936084663007618E-2</v>
      </c>
      <c r="CU12" s="3">
        <v>2.38028429767882E-2</v>
      </c>
      <c r="CV12" s="3">
        <v>-1.8180069235170619E-3</v>
      </c>
      <c r="CW12" s="3">
        <v>-2.6773031323951889E-2</v>
      </c>
      <c r="CX12" s="3">
        <v>3.2881491702707079E-2</v>
      </c>
      <c r="CY12" s="3">
        <v>-7.8516961663366233E-3</v>
      </c>
      <c r="CZ12" s="3">
        <v>8.7521582430393915E-2</v>
      </c>
      <c r="DA12" s="3">
        <v>3.0372587723068022E-2</v>
      </c>
      <c r="DB12" s="3">
        <v>-7.6905201867884826E-2</v>
      </c>
      <c r="DC12" s="3">
        <v>3.0502687371468249E-2</v>
      </c>
      <c r="DD12" s="3">
        <v>-1.5871145094522952E-2</v>
      </c>
      <c r="DE12" s="3">
        <v>-3.3746355510019303E-2</v>
      </c>
      <c r="DF12" s="3">
        <v>4.89042761722863E-2</v>
      </c>
      <c r="DG12" s="3">
        <v>-4.3686975841222428E-2</v>
      </c>
      <c r="DH12" s="3">
        <v>-7.5523350946613693E-4</v>
      </c>
      <c r="DI12" s="3">
        <v>5.3725325267119428E-2</v>
      </c>
      <c r="DJ12" s="3">
        <v>2.527743597366237E-2</v>
      </c>
      <c r="DK12" s="3">
        <v>-2.3688497805083648E-2</v>
      </c>
      <c r="DL12" s="3">
        <v>4.7722316393857336E-3</v>
      </c>
      <c r="DM12" s="3">
        <v>-1.8296611990327508E-2</v>
      </c>
      <c r="DN12" s="3">
        <v>3.0259151157478199E-2</v>
      </c>
      <c r="DO12" s="3">
        <v>-3.026499115088821E-2</v>
      </c>
      <c r="DP12" s="3">
        <v>5.8352003779694087E-2</v>
      </c>
      <c r="DQ12" s="3">
        <v>-3.3638118112593193E-2</v>
      </c>
      <c r="DR12" s="3">
        <v>-1.031772592439068E-2</v>
      </c>
      <c r="DS12" s="3">
        <v>4.2520942460889853E-2</v>
      </c>
      <c r="DT12" s="3">
        <v>-4.8408620712189078E-2</v>
      </c>
      <c r="DU12" s="3">
        <v>7.6017813164762733E-3</v>
      </c>
      <c r="DV12" s="3">
        <v>2.0472109894068231E-2</v>
      </c>
      <c r="DW12" s="3">
        <v>-3.2254659175870157E-2</v>
      </c>
      <c r="DX12" s="3">
        <v>3.7626044642679539E-2</v>
      </c>
      <c r="DY12" s="3">
        <v>4.8638639077399258E-2</v>
      </c>
      <c r="DZ12" s="3">
        <v>-1.3599532274000301E-2</v>
      </c>
      <c r="EA12" s="3">
        <v>7.3750385002300425E-2</v>
      </c>
      <c r="EB12" s="3">
        <v>-1.9742936719338721E-3</v>
      </c>
      <c r="EC12" s="3">
        <v>-1.394849305952618E-2</v>
      </c>
      <c r="ED12" s="3">
        <v>-6.1427254421337493E-2</v>
      </c>
      <c r="EE12" s="3">
        <v>-2.8166727241797949E-2</v>
      </c>
      <c r="EF12" s="3">
        <v>3.1921081011591287E-2</v>
      </c>
      <c r="EG12" s="3">
        <v>-2.9207236096195719E-2</v>
      </c>
      <c r="EH12" s="3">
        <v>-1.974026137920324E-2</v>
      </c>
      <c r="EI12" s="3">
        <v>8.9612566733749469E-3</v>
      </c>
      <c r="EJ12" s="3">
        <v>3.614039119329969E-2</v>
      </c>
      <c r="EK12" s="3">
        <v>9.9731216518727881E-3</v>
      </c>
      <c r="EL12" s="3">
        <v>-9.0027878996878363E-3</v>
      </c>
      <c r="EM12">
        <f t="shared" ref="EM12:EM24" si="11">AVERAGE(C12:EL12)</f>
        <v>3.6067080424575025E-3</v>
      </c>
      <c r="EN12">
        <f t="shared" ref="EN12:EN25" si="12">STDEV(C12:EL12)</f>
        <v>3.5848843913770558E-2</v>
      </c>
      <c r="EO12">
        <f t="shared" ref="EO12:EO25" si="13">EM12/EN12</f>
        <v>0.10060876861560558</v>
      </c>
    </row>
    <row r="13" spans="1:145" x14ac:dyDescent="0.3">
      <c r="A13" s="18">
        <v>20</v>
      </c>
      <c r="B13" s="18">
        <f t="shared" si="10"/>
        <v>53</v>
      </c>
      <c r="C13" s="3">
        <v>4.4694390228506117E-2</v>
      </c>
      <c r="D13" s="3">
        <v>4.5809477924638832E-2</v>
      </c>
      <c r="E13" s="3">
        <v>3.2064059982368498E-2</v>
      </c>
      <c r="F13" s="3">
        <v>4.3691921681067551E-2</v>
      </c>
      <c r="G13" s="3">
        <v>1.3714035268271771E-2</v>
      </c>
      <c r="H13" s="3">
        <v>2.925126379166074E-2</v>
      </c>
      <c r="I13" s="3">
        <v>1.1094158143847529E-2</v>
      </c>
      <c r="J13" s="3">
        <v>5.9989715914165423E-2</v>
      </c>
      <c r="K13" s="3">
        <v>-3.1981281571947288E-2</v>
      </c>
      <c r="L13" s="3">
        <v>-3.0337316201105718E-3</v>
      </c>
      <c r="M13" s="3">
        <v>1.9915206400358119E-2</v>
      </c>
      <c r="N13" s="3">
        <v>3.6181968854739593E-2</v>
      </c>
      <c r="O13" s="3">
        <v>1.683525059847514E-2</v>
      </c>
      <c r="P13" s="3">
        <v>-1.5955720806170949E-2</v>
      </c>
      <c r="Q13" s="3">
        <v>-5.5097990574834353E-2</v>
      </c>
      <c r="R13" s="3">
        <v>-2.7470092888155471E-2</v>
      </c>
      <c r="S13" s="3">
        <v>-7.2847901270377186E-2</v>
      </c>
      <c r="T13" s="3">
        <v>-7.0405105572706045E-2</v>
      </c>
      <c r="U13" s="3">
        <v>-1.461799562874341E-2</v>
      </c>
      <c r="V13" s="3">
        <v>3.4322849657213582E-3</v>
      </c>
      <c r="W13" s="3">
        <v>-1.759060101918378E-2</v>
      </c>
      <c r="X13" s="3">
        <v>0.1392784985278113</v>
      </c>
      <c r="Y13" s="3">
        <v>-9.2373912673244449E-3</v>
      </c>
      <c r="Z13" s="3">
        <v>1.507364960633519E-2</v>
      </c>
      <c r="AA13" s="3">
        <v>2.0729236696588681E-2</v>
      </c>
      <c r="AB13" s="3">
        <v>-1.6852038093097581E-2</v>
      </c>
      <c r="AC13" s="3">
        <v>7.3530211933808334E-3</v>
      </c>
      <c r="AD13" s="3">
        <v>6.4663371653198298E-3</v>
      </c>
      <c r="AE13" s="3">
        <v>-4.2459961574410059E-2</v>
      </c>
      <c r="AF13" s="3">
        <v>-3.2817535634127468E-2</v>
      </c>
      <c r="AG13" s="3">
        <v>-5.0412953408421439E-3</v>
      </c>
      <c r="AH13" s="3">
        <v>-2.6267439591638891E-2</v>
      </c>
      <c r="AI13" s="3">
        <v>1.2512959993696461E-2</v>
      </c>
      <c r="AJ13" s="3">
        <v>2.37198626285221E-3</v>
      </c>
      <c r="AK13" s="3">
        <v>6.3693124550481303E-2</v>
      </c>
      <c r="AL13" s="3">
        <v>3.4676361246245388E-2</v>
      </c>
      <c r="AM13" s="3">
        <v>2.8672215639817301E-2</v>
      </c>
      <c r="AN13" s="3">
        <v>-9.6939841924799333E-2</v>
      </c>
      <c r="AO13" s="3">
        <v>-1.6168646372897621E-2</v>
      </c>
      <c r="AP13" s="3">
        <v>-4.5398469090540697E-2</v>
      </c>
      <c r="AQ13" s="3">
        <v>-2.989844811575759E-3</v>
      </c>
      <c r="AR13" s="3">
        <v>3.1551920929703242E-2</v>
      </c>
      <c r="AS13" s="3">
        <v>-3.4877568004709689E-2</v>
      </c>
      <c r="AT13" s="3">
        <v>-8.7646428562015936E-3</v>
      </c>
      <c r="AU13" s="3">
        <v>-4.8177357913813508E-2</v>
      </c>
      <c r="AV13" s="3">
        <v>-9.6710763821907048E-2</v>
      </c>
      <c r="AW13" s="3">
        <v>3.5176783968494933E-2</v>
      </c>
      <c r="AX13" s="3">
        <v>5.210077315508603E-2</v>
      </c>
      <c r="AY13" s="3">
        <v>2.9071266322073241E-3</v>
      </c>
      <c r="AZ13" s="3">
        <v>6.5669863324838457E-2</v>
      </c>
      <c r="BA13" s="3">
        <v>-1.0876447369980091E-2</v>
      </c>
      <c r="BB13" s="3">
        <v>4.8762443627020063E-2</v>
      </c>
      <c r="BC13" s="3">
        <v>6.1704012924434642E-3</v>
      </c>
      <c r="BD13" s="3">
        <v>3.7273885501137201E-2</v>
      </c>
      <c r="BE13" s="3">
        <v>-5.0521462631845232E-2</v>
      </c>
      <c r="BF13" s="3">
        <v>-1.235613097131359E-2</v>
      </c>
      <c r="BG13" s="3">
        <v>4.0793748775259292E-2</v>
      </c>
      <c r="BH13" s="3">
        <v>2.529991477032829E-2</v>
      </c>
      <c r="BI13" s="3">
        <v>-5.6277194494778103E-2</v>
      </c>
      <c r="BJ13" s="3">
        <v>1.886380784574556E-2</v>
      </c>
      <c r="BK13" s="3">
        <v>-3.2887619306840143E-2</v>
      </c>
      <c r="BL13" s="3">
        <v>3.0149626958874041E-2</v>
      </c>
      <c r="BM13" s="3">
        <v>1.161553153237949E-2</v>
      </c>
      <c r="BN13" s="3">
        <v>4.387547147273926E-3</v>
      </c>
      <c r="BO13" s="3">
        <v>4.1090334773843627E-2</v>
      </c>
      <c r="BP13" s="3">
        <v>-5.3202148200600721E-3</v>
      </c>
      <c r="BQ13" s="3">
        <v>2.067169344822321E-2</v>
      </c>
      <c r="BR13" s="3">
        <v>-5.9375523757729393E-3</v>
      </c>
      <c r="BS13" s="3">
        <v>-6.9397851550220746E-3</v>
      </c>
      <c r="BT13" s="3">
        <v>1.731020379908467E-2</v>
      </c>
      <c r="BU13" s="3">
        <v>-6.0633378589253037E-2</v>
      </c>
      <c r="BV13" s="3">
        <v>-1.7125324583562859E-2</v>
      </c>
      <c r="BW13" s="3">
        <v>0.10489004166697111</v>
      </c>
      <c r="BX13" s="3">
        <v>1.5755333566071891E-2</v>
      </c>
      <c r="BY13" s="3">
        <v>-9.0636847544997567E-3</v>
      </c>
      <c r="BZ13" s="3">
        <v>-2.4459567102379509E-3</v>
      </c>
      <c r="CA13" s="3">
        <v>1.622127064651737E-2</v>
      </c>
      <c r="CB13" s="3">
        <v>-0.1109042348135552</v>
      </c>
      <c r="CC13" s="3">
        <v>2.609690366108672E-3</v>
      </c>
      <c r="CD13" s="3">
        <v>4.8839900488750997E-2</v>
      </c>
      <c r="CE13" s="3">
        <v>1.5735213891371901E-2</v>
      </c>
      <c r="CF13" s="3">
        <v>4.7483484975403521E-2</v>
      </c>
      <c r="CG13" s="3">
        <v>-4.2958450382159369E-3</v>
      </c>
      <c r="CH13" s="3">
        <v>4.9554743070930649E-2</v>
      </c>
      <c r="CI13" s="3">
        <v>-1.9628790837295011E-2</v>
      </c>
      <c r="CJ13" s="3">
        <v>-2.09059253114105E-3</v>
      </c>
      <c r="CK13" s="3">
        <v>1.663571767897962E-2</v>
      </c>
      <c r="CL13" s="3">
        <v>0.1607960949578546</v>
      </c>
      <c r="CM13" s="3">
        <v>-3.4989394109715542E-2</v>
      </c>
      <c r="CN13" s="3">
        <v>-3.7478846520031493E-2</v>
      </c>
      <c r="CO13" s="3">
        <v>-4.3873849832557758E-2</v>
      </c>
      <c r="CP13" s="3">
        <v>-5.9087102225873168E-3</v>
      </c>
      <c r="CQ13" s="3">
        <v>4.2893906698259807E-2</v>
      </c>
      <c r="CR13" s="3">
        <v>-7.1519219412671517E-2</v>
      </c>
      <c r="CS13" s="3">
        <v>-9.8166212820124388E-3</v>
      </c>
      <c r="CT13" s="3">
        <v>2.897168250597796E-2</v>
      </c>
      <c r="CU13" s="3">
        <v>3.5215497946164548E-2</v>
      </c>
      <c r="CV13" s="3">
        <v>2.104681439461138E-4</v>
      </c>
      <c r="CW13" s="3">
        <v>-2.272005943024356E-2</v>
      </c>
      <c r="CX13" s="3">
        <v>-4.9397915595369019E-3</v>
      </c>
      <c r="CY13" s="3">
        <v>-1.898489829125095E-2</v>
      </c>
      <c r="CZ13" s="3">
        <v>0.112977446937128</v>
      </c>
      <c r="DA13" s="3">
        <v>1.482978302679655E-2</v>
      </c>
      <c r="DB13" s="3">
        <v>-7.8082554401336171E-2</v>
      </c>
      <c r="DC13" s="3">
        <v>2.516539273218844E-2</v>
      </c>
      <c r="DD13" s="3">
        <v>-1.6442308122780198E-2</v>
      </c>
      <c r="DE13" s="3">
        <v>-2.9035878066323479E-2</v>
      </c>
      <c r="DF13" s="3">
        <v>6.3934165702345558E-2</v>
      </c>
      <c r="DG13" s="3">
        <v>-3.7529260637764378E-2</v>
      </c>
      <c r="DH13" s="3">
        <v>4.5463580011863991E-4</v>
      </c>
      <c r="DI13" s="3">
        <v>7.1009667649761563E-2</v>
      </c>
      <c r="DJ13" s="3">
        <v>2.136437683832124E-2</v>
      </c>
      <c r="DK13" s="3">
        <v>-6.3421154921078854E-3</v>
      </c>
      <c r="DL13" s="3">
        <v>-2.489269888435609E-2</v>
      </c>
      <c r="DM13" s="3">
        <v>1.017251418486353E-2</v>
      </c>
      <c r="DN13" s="3">
        <v>-4.1533676536651548E-4</v>
      </c>
      <c r="DO13" s="3">
        <v>-3.6038690279196102E-2</v>
      </c>
      <c r="DP13" s="3">
        <v>6.2650721360849745E-2</v>
      </c>
      <c r="DQ13" s="3">
        <v>-3.803275480350686E-2</v>
      </c>
      <c r="DR13" s="3">
        <v>-1.6606877227439022E-2</v>
      </c>
      <c r="DS13" s="3">
        <v>5.4267429282953868E-2</v>
      </c>
      <c r="DT13" s="3">
        <v>-5.0025913724424331E-2</v>
      </c>
      <c r="DU13" s="3">
        <v>1.6444116995753329E-2</v>
      </c>
      <c r="DV13" s="3">
        <v>3.5576138544501937E-2</v>
      </c>
      <c r="DW13" s="3">
        <v>-3.1190225743631141E-2</v>
      </c>
      <c r="DX13" s="3">
        <v>5.5875507689239802E-2</v>
      </c>
      <c r="DY13" s="3">
        <v>6.349586820188044E-2</v>
      </c>
      <c r="DZ13" s="3">
        <v>-1.7528666783201009E-2</v>
      </c>
      <c r="EA13" s="3">
        <v>6.6132134602200437E-2</v>
      </c>
      <c r="EB13" s="3">
        <v>-1.0643745311261551E-2</v>
      </c>
      <c r="EC13" s="3">
        <v>-1.6616406541991299E-2</v>
      </c>
      <c r="ED13" s="3">
        <v>-6.5938452986503679E-2</v>
      </c>
      <c r="EE13" s="3">
        <v>-3.7157511717812938E-2</v>
      </c>
      <c r="EF13" s="3">
        <v>5.5587355043285408E-2</v>
      </c>
      <c r="EG13" s="3">
        <v>-5.3261638121428589E-2</v>
      </c>
      <c r="EH13" s="3">
        <v>-1.120523021333945E-2</v>
      </c>
      <c r="EI13" s="3">
        <v>1.362226048758707E-2</v>
      </c>
      <c r="EJ13" s="3">
        <v>3.1971336258269353E-2</v>
      </c>
      <c r="EK13" s="3">
        <v>4.094982878573801E-3</v>
      </c>
      <c r="EL13" s="3">
        <v>-2.9581854877551869E-2</v>
      </c>
      <c r="EM13">
        <f t="shared" si="11"/>
        <v>3.4780619238771551E-3</v>
      </c>
      <c r="EN13">
        <f t="shared" si="12"/>
        <v>4.3199064453511293E-2</v>
      </c>
      <c r="EO13">
        <f t="shared" si="13"/>
        <v>8.0512436273245544E-2</v>
      </c>
    </row>
    <row r="14" spans="1:145" x14ac:dyDescent="0.3">
      <c r="A14" s="18">
        <v>50</v>
      </c>
      <c r="B14" s="18">
        <f t="shared" si="10"/>
        <v>21</v>
      </c>
      <c r="C14" s="3">
        <v>-4.5717172709255648E-2</v>
      </c>
      <c r="D14" s="3">
        <v>4.1634583372972357E-2</v>
      </c>
      <c r="E14" s="3">
        <v>3.3393749290559271E-2</v>
      </c>
      <c r="F14" s="3">
        <v>7.6524169241268675E-2</v>
      </c>
      <c r="G14" s="3">
        <v>3.9157300585518501E-2</v>
      </c>
      <c r="H14" s="3">
        <v>7.6211003064836511E-2</v>
      </c>
      <c r="I14" s="3">
        <v>2.971182433387488E-2</v>
      </c>
      <c r="J14" s="3">
        <v>6.4091148046200197E-2</v>
      </c>
      <c r="K14" s="3">
        <v>-0.1047792351316086</v>
      </c>
      <c r="L14" s="3">
        <v>-5.8513564069971061E-2</v>
      </c>
      <c r="M14" s="3">
        <v>-8.3093354972449858E-3</v>
      </c>
      <c r="N14" s="3">
        <v>7.7795135254071307E-2</v>
      </c>
      <c r="O14" s="3">
        <v>-6.9838309719343333E-3</v>
      </c>
      <c r="P14" s="3">
        <v>-5.4679978269078763E-2</v>
      </c>
      <c r="Q14" s="3">
        <v>-8.760922597337209E-2</v>
      </c>
      <c r="R14" s="3">
        <v>-5.7744306755231782E-2</v>
      </c>
      <c r="S14" s="3">
        <v>-8.2611034610092893E-2</v>
      </c>
      <c r="T14" s="3">
        <v>-4.3640636712842663E-2</v>
      </c>
      <c r="U14" s="3">
        <v>1.8672251333920802E-2</v>
      </c>
      <c r="V14" s="3">
        <v>-3.4231499798857618E-2</v>
      </c>
      <c r="W14" s="3">
        <v>-2.6873789517261031E-2</v>
      </c>
      <c r="X14" s="3">
        <v>0.15214957883971131</v>
      </c>
      <c r="Y14" s="3">
        <v>4.0638129852715192E-2</v>
      </c>
      <c r="Z14" s="3">
        <v>4.0558913315397883E-2</v>
      </c>
      <c r="AA14" s="3">
        <v>-1.464695365552721E-2</v>
      </c>
      <c r="AB14" s="3">
        <v>-6.3311691669184988E-2</v>
      </c>
      <c r="AC14" s="3">
        <v>-1.5948312516811551E-2</v>
      </c>
      <c r="AD14" s="3">
        <v>1.374396919104851E-2</v>
      </c>
      <c r="AE14" s="3">
        <v>-8.9297689327916319E-2</v>
      </c>
      <c r="AF14" s="3">
        <v>-7.2375898337257064E-2</v>
      </c>
      <c r="AG14" s="3">
        <v>-5.8792649675238201E-3</v>
      </c>
      <c r="AH14" s="3">
        <v>-5.6536548945862707E-2</v>
      </c>
      <c r="AI14" s="3">
        <v>6.879689977993092E-2</v>
      </c>
      <c r="AJ14" s="3">
        <v>3.4305961768448127E-2</v>
      </c>
      <c r="AK14" s="3">
        <v>5.8451122638718933E-2</v>
      </c>
      <c r="AL14" s="3">
        <v>4.2015348377505549E-2</v>
      </c>
      <c r="AM14" s="3">
        <v>5.075574272085917E-2</v>
      </c>
      <c r="AN14" s="3">
        <v>-0.1044155732278423</v>
      </c>
      <c r="AO14" s="3">
        <v>1.6455988823444859E-2</v>
      </c>
      <c r="AP14" s="3">
        <v>-5.4501731434774173E-2</v>
      </c>
      <c r="AQ14" s="3">
        <v>-1.981008370123865E-2</v>
      </c>
      <c r="AR14" s="3">
        <v>6.6160219858102776E-2</v>
      </c>
      <c r="AS14" s="3">
        <v>1.3478001554976559E-2</v>
      </c>
      <c r="AT14" s="3">
        <v>1.422090842877069E-2</v>
      </c>
      <c r="AU14" s="3">
        <v>-5.837864673545623E-2</v>
      </c>
      <c r="AV14" s="3">
        <v>-0.1107126743226524</v>
      </c>
      <c r="AW14" s="3">
        <v>3.7803967151079483E-2</v>
      </c>
      <c r="AX14" s="3">
        <v>4.0769983534298428E-2</v>
      </c>
      <c r="AY14" s="3">
        <v>-9.727674926682181E-4</v>
      </c>
      <c r="AZ14" s="3">
        <v>5.3410775043785819E-3</v>
      </c>
      <c r="BA14" s="3">
        <v>-3.6761616107432463E-2</v>
      </c>
      <c r="BB14" s="3">
        <v>5.8943089787233602E-2</v>
      </c>
      <c r="BC14" s="3">
        <v>2.052320405610537E-2</v>
      </c>
      <c r="BD14" s="3">
        <v>2.7350925499414751E-2</v>
      </c>
      <c r="BE14" s="3">
        <v>-3.3401943930245669E-2</v>
      </c>
      <c r="BF14" s="3">
        <v>5.6265665791791434E-3</v>
      </c>
      <c r="BG14" s="3">
        <v>8.23295680681847E-2</v>
      </c>
      <c r="BH14" s="3">
        <v>7.914477122701169E-2</v>
      </c>
      <c r="BI14" s="3">
        <v>-3.008741729199943E-2</v>
      </c>
      <c r="BJ14" s="3">
        <v>3.007958127451392E-2</v>
      </c>
      <c r="BK14" s="3">
        <v>2.104432704364215E-2</v>
      </c>
      <c r="BL14" s="3">
        <v>4.9479917565059157E-2</v>
      </c>
      <c r="BM14" s="3">
        <v>3.459009463942983E-2</v>
      </c>
      <c r="BN14" s="3">
        <v>2.6584135379415171E-2</v>
      </c>
      <c r="BO14" s="3">
        <v>2.4215815950696402E-2</v>
      </c>
      <c r="BP14" s="3">
        <v>1.3303581563541051E-2</v>
      </c>
      <c r="BQ14" s="3">
        <v>7.4654789912314279E-3</v>
      </c>
      <c r="BR14" s="3">
        <v>-4.3166544756196211E-2</v>
      </c>
      <c r="BS14" s="3">
        <v>-4.2854182405706293E-2</v>
      </c>
      <c r="BT14" s="3">
        <v>3.4833772542780861E-2</v>
      </c>
      <c r="BU14" s="3">
        <v>-0.1073950379134682</v>
      </c>
      <c r="BV14" s="3">
        <v>-1.366274116239047E-2</v>
      </c>
      <c r="BW14" s="3">
        <v>0.145179513349457</v>
      </c>
      <c r="BX14" s="3">
        <v>5.7360046534479757E-2</v>
      </c>
      <c r="BY14" s="3">
        <v>-4.9494010577350561E-2</v>
      </c>
      <c r="BZ14" s="3">
        <v>-4.9772173607772342E-2</v>
      </c>
      <c r="CA14" s="3">
        <v>7.8723597363891562E-2</v>
      </c>
      <c r="CB14" s="3">
        <v>-0.1117942463201053</v>
      </c>
      <c r="CC14" s="3">
        <v>1.996979195089672E-2</v>
      </c>
      <c r="CD14" s="3">
        <v>5.6136825161885243E-2</v>
      </c>
      <c r="CE14" s="3">
        <v>-2.9083892802831381E-2</v>
      </c>
      <c r="CF14" s="3">
        <v>7.7361645537265072E-2</v>
      </c>
      <c r="CG14" s="3">
        <v>8.7124276740915094E-2</v>
      </c>
      <c r="CH14" s="3">
        <v>5.8613306871574657E-2</v>
      </c>
      <c r="CI14" s="3">
        <v>3.1238083619163168E-2</v>
      </c>
      <c r="CJ14" s="3">
        <v>-6.6208015381626073E-3</v>
      </c>
      <c r="CK14" s="3">
        <v>3.1409432938182588E-2</v>
      </c>
      <c r="CL14" s="3">
        <v>0.20644370301115531</v>
      </c>
      <c r="CM14" s="3">
        <v>-3.6520584560599902E-2</v>
      </c>
      <c r="CN14" s="3">
        <v>-4.5793102108443333E-2</v>
      </c>
      <c r="CO14" s="3">
        <v>-7.1290727465447318E-2</v>
      </c>
      <c r="CP14" s="3">
        <v>-7.4964725178596869E-2</v>
      </c>
      <c r="CQ14" s="3">
        <v>3.072415417800102E-2</v>
      </c>
      <c r="CR14" s="3">
        <v>-4.9620609800332199E-2</v>
      </c>
      <c r="CS14" s="3">
        <v>-1.216908669153303E-2</v>
      </c>
      <c r="CT14" s="3">
        <v>7.4203932055766031E-2</v>
      </c>
      <c r="CU14" s="3">
        <v>8.6087365626370607E-2</v>
      </c>
      <c r="CV14" s="3">
        <v>1.7672945252460201E-2</v>
      </c>
      <c r="CW14" s="3">
        <v>-9.4659146830421946E-3</v>
      </c>
      <c r="CX14" s="3">
        <v>-2.9742265544493721E-2</v>
      </c>
      <c r="CY14" s="3">
        <v>-3.428408043506647E-2</v>
      </c>
      <c r="CZ14" s="3">
        <v>0.1016529014146528</v>
      </c>
      <c r="DA14" s="3">
        <v>4.7399854232221567E-2</v>
      </c>
      <c r="DB14" s="3">
        <v>-8.363887939681891E-2</v>
      </c>
      <c r="DC14" s="3">
        <v>1.2420966394114521E-2</v>
      </c>
      <c r="DD14" s="3">
        <v>3.5820502941925361E-2</v>
      </c>
      <c r="DE14" s="3">
        <v>-1.2156800599748571E-2</v>
      </c>
      <c r="DF14" s="3">
        <v>0.16325273418346661</v>
      </c>
      <c r="DG14" s="3">
        <v>-4.3741274114486028E-2</v>
      </c>
      <c r="DH14" s="3">
        <v>-1.564418954166383E-3</v>
      </c>
      <c r="DI14" s="3">
        <v>0.1289200992298529</v>
      </c>
      <c r="DJ14" s="3">
        <v>3.055085148071297E-2</v>
      </c>
      <c r="DK14" s="3">
        <v>-7.2751817379380426E-3</v>
      </c>
      <c r="DL14" s="3">
        <v>-1.1418147675855E-2</v>
      </c>
      <c r="DM14" s="3">
        <v>1.5879651958918359E-2</v>
      </c>
      <c r="DN14" s="3">
        <v>4.221925511219779E-2</v>
      </c>
      <c r="DO14" s="3">
        <v>-7.9032555473244004E-2</v>
      </c>
      <c r="DP14" s="3">
        <v>6.0649114161821879E-2</v>
      </c>
      <c r="DQ14" s="3">
        <v>-9.6101137863941852E-2</v>
      </c>
      <c r="DR14" s="3">
        <v>-2.2141557120284639E-2</v>
      </c>
      <c r="DS14" s="3">
        <v>5.4531248892000617E-2</v>
      </c>
      <c r="DT14" s="3">
        <v>-6.9811811869239238E-2</v>
      </c>
      <c r="DU14" s="3">
        <v>-5.1027210478129942E-2</v>
      </c>
      <c r="DV14" s="3">
        <v>4.6847071346960787E-3</v>
      </c>
      <c r="DW14" s="3">
        <v>-6.1005850197016029E-2</v>
      </c>
      <c r="DX14" s="3">
        <v>9.6137869163774814E-2</v>
      </c>
      <c r="DY14" s="3">
        <v>6.0570737892259231E-2</v>
      </c>
      <c r="DZ14" s="3">
        <v>-1.3236454912968539E-2</v>
      </c>
      <c r="EA14" s="3">
        <v>5.5083876255416421E-2</v>
      </c>
      <c r="EB14" s="3">
        <v>-3.3848340115001541E-2</v>
      </c>
      <c r="EC14" s="3">
        <v>3.7857105599235111E-3</v>
      </c>
      <c r="ED14" s="3">
        <v>-9.8937325993809042E-2</v>
      </c>
      <c r="EE14" s="3">
        <v>-1.253499266974247E-2</v>
      </c>
      <c r="EF14" s="3">
        <v>5.0666320547840413E-2</v>
      </c>
      <c r="EG14" s="3">
        <v>-0.12596481166948539</v>
      </c>
      <c r="EH14" s="3">
        <v>-1.1678053250898889E-2</v>
      </c>
      <c r="EI14" s="3">
        <v>5.69536739345574E-3</v>
      </c>
      <c r="EJ14" s="3">
        <v>2.653232647605696E-2</v>
      </c>
      <c r="EK14" s="3">
        <v>-1.596079838203854E-3</v>
      </c>
      <c r="EL14" s="3">
        <v>-9.4198619241897069E-2</v>
      </c>
      <c r="EM14">
        <f t="shared" si="11"/>
        <v>4.2551276374375915E-3</v>
      </c>
      <c r="EN14">
        <f t="shared" si="12"/>
        <v>6.0900065141768038E-2</v>
      </c>
      <c r="EO14">
        <f t="shared" si="13"/>
        <v>6.9870658225605592E-2</v>
      </c>
    </row>
    <row r="15" spans="1:145" x14ac:dyDescent="0.3">
      <c r="A15" s="18">
        <v>110</v>
      </c>
      <c r="B15" s="18">
        <f t="shared" si="10"/>
        <v>10</v>
      </c>
      <c r="C15" s="3">
        <v>-0.1135310321318275</v>
      </c>
      <c r="D15" s="3">
        <v>3.2031079571160817E-2</v>
      </c>
      <c r="E15" s="3">
        <v>-5.6626460875028609E-2</v>
      </c>
      <c r="F15" s="3">
        <v>0.17619684140038511</v>
      </c>
      <c r="G15" s="3">
        <v>6.3731429270821066E-2</v>
      </c>
      <c r="H15" s="3">
        <v>8.1815649923674238E-2</v>
      </c>
      <c r="I15" s="3">
        <v>0.1078732733718917</v>
      </c>
      <c r="J15" s="3">
        <v>0.13535866244314329</v>
      </c>
      <c r="K15" s="3">
        <v>-0.24975052157846889</v>
      </c>
      <c r="L15" s="3">
        <v>-0.1035081220587549</v>
      </c>
      <c r="M15" s="3">
        <v>-0.14710226331423629</v>
      </c>
      <c r="N15" s="3">
        <v>0.10167565845691411</v>
      </c>
      <c r="O15" s="3">
        <v>-1.8896543000180489E-2</v>
      </c>
      <c r="P15" s="3">
        <v>-6.7357960555196841E-2</v>
      </c>
      <c r="Q15" s="3">
        <v>-4.2372616617837811E-2</v>
      </c>
      <c r="R15" s="3">
        <v>-1.416396649466981E-3</v>
      </c>
      <c r="S15" s="3">
        <v>-0.1035157133355431</v>
      </c>
      <c r="T15" s="3">
        <v>-5.8198486768288482E-2</v>
      </c>
      <c r="U15" s="3">
        <v>8.4116383526341848E-2</v>
      </c>
      <c r="V15" s="3">
        <v>-6.0599995689698663E-2</v>
      </c>
      <c r="W15" s="3">
        <v>-1.544097769719144E-2</v>
      </c>
      <c r="X15" s="3">
        <v>0.20484095586740189</v>
      </c>
      <c r="Y15" s="3">
        <v>6.4150713367900764E-3</v>
      </c>
      <c r="Z15" s="3">
        <v>7.9971018338183361E-2</v>
      </c>
      <c r="AA15" s="3">
        <v>-2.3796849603205189E-2</v>
      </c>
      <c r="AB15" s="3">
        <v>-0.1096631027298412</v>
      </c>
      <c r="AC15" s="3">
        <v>-2.8054511608024559E-2</v>
      </c>
      <c r="AD15" s="3">
        <v>-4.7007358577018508E-2</v>
      </c>
      <c r="AE15" s="3">
        <v>-8.7545829366010366E-2</v>
      </c>
      <c r="AF15" s="3">
        <v>-4.0748554859815517E-2</v>
      </c>
      <c r="AG15" s="3">
        <v>2.8616357951262608E-3</v>
      </c>
      <c r="AH15" s="3">
        <v>6.6286235669350043E-3</v>
      </c>
      <c r="AI15" s="3">
        <v>5.7025540334767227E-2</v>
      </c>
      <c r="AJ15" s="3">
        <v>-1.2097322435928211E-2</v>
      </c>
      <c r="AK15" s="3">
        <v>5.7963941149427933E-2</v>
      </c>
      <c r="AL15" s="3">
        <v>2.8443609450190841E-2</v>
      </c>
      <c r="AM15" s="3">
        <v>3.4533291566364407E-2</v>
      </c>
      <c r="AN15" s="3">
        <v>-0.1187039663124473</v>
      </c>
      <c r="AO15" s="3">
        <v>-4.7046881532334377E-2</v>
      </c>
      <c r="AP15" s="3">
        <v>-3.7834339344812867E-2</v>
      </c>
      <c r="AQ15" s="3">
        <v>-4.3749869403351023E-2</v>
      </c>
      <c r="AR15" s="3">
        <v>0.1091901271180222</v>
      </c>
      <c r="AS15" s="3">
        <v>6.5028803619250217E-2</v>
      </c>
      <c r="AT15" s="3">
        <v>-5.56912962068698E-3</v>
      </c>
      <c r="AU15" s="3">
        <v>-5.2743659965515E-2</v>
      </c>
      <c r="AV15" s="3">
        <v>-9.1083809565469548E-2</v>
      </c>
      <c r="AW15" s="3">
        <v>9.0158082259649969E-2</v>
      </c>
      <c r="AX15" s="3">
        <v>0.1140796931468484</v>
      </c>
      <c r="AY15" s="3">
        <v>-1.2308096600947281E-2</v>
      </c>
      <c r="AZ15" s="3">
        <v>3.2014301780964267E-2</v>
      </c>
      <c r="BA15" s="3">
        <v>-1.6457938493464719E-2</v>
      </c>
      <c r="BB15" s="3">
        <v>0.13753343966627751</v>
      </c>
      <c r="BC15" s="3">
        <v>6.7540883800242132E-2</v>
      </c>
      <c r="BD15" s="3">
        <v>-2.0834013336984751E-2</v>
      </c>
      <c r="BE15" s="3">
        <v>-5.4722500662893928E-2</v>
      </c>
      <c r="BF15" s="3">
        <v>-5.7792733795554677E-2</v>
      </c>
      <c r="BG15" s="3">
        <v>4.3080381043251501E-2</v>
      </c>
      <c r="BH15" s="3">
        <v>6.8660013198335687E-2</v>
      </c>
      <c r="BI15" s="3">
        <v>-4.4085977791574048E-2</v>
      </c>
      <c r="BJ15" s="3">
        <v>3.8155577102036493E-2</v>
      </c>
      <c r="BK15" s="3">
        <v>2.2584606544302409E-2</v>
      </c>
      <c r="BL15" s="3">
        <v>6.5636459623843166E-2</v>
      </c>
      <c r="BM15" s="3">
        <v>5.0065386796773047E-2</v>
      </c>
      <c r="BN15" s="3">
        <v>4.6581169900477289E-2</v>
      </c>
      <c r="BO15" s="3">
        <v>3.139537347461429E-2</v>
      </c>
      <c r="BP15" s="3">
        <v>2.433842937662337E-2</v>
      </c>
      <c r="BQ15" s="3">
        <v>1.5695153147145501E-2</v>
      </c>
      <c r="BR15" s="3">
        <v>-7.5056995812548238E-2</v>
      </c>
      <c r="BS15" s="3">
        <v>-1.9853277814635362E-2</v>
      </c>
      <c r="BT15" s="3">
        <v>7.3710425454050876E-2</v>
      </c>
      <c r="BU15" s="3">
        <v>-5.3351350971269758E-2</v>
      </c>
      <c r="BV15" s="3">
        <v>-3.3638788543710267E-2</v>
      </c>
      <c r="BW15" s="3">
        <v>0.19426949603978569</v>
      </c>
      <c r="BX15" s="3">
        <v>-7.9095404982131249E-3</v>
      </c>
      <c r="BY15" s="3">
        <v>-0.10390759790657569</v>
      </c>
      <c r="BZ15" s="3">
        <v>-8.6772760457739267E-2</v>
      </c>
      <c r="CA15" s="3">
        <v>0.17956376560331061</v>
      </c>
      <c r="CB15" s="3">
        <v>-6.4451767288689149E-2</v>
      </c>
      <c r="CC15" s="3">
        <v>-3.053001654273714E-2</v>
      </c>
      <c r="CD15" s="3">
        <v>9.5156376760311689E-2</v>
      </c>
      <c r="CE15" s="3">
        <v>-0.1050109564905078</v>
      </c>
      <c r="CF15" s="3">
        <v>7.8920461694775179E-2</v>
      </c>
      <c r="CG15" s="3">
        <v>0.25914900062156759</v>
      </c>
      <c r="CH15" s="3">
        <v>6.751977914793833E-2</v>
      </c>
      <c r="CI15" s="3">
        <v>1.190852745856851E-2</v>
      </c>
      <c r="CJ15" s="3">
        <v>-4.3972103903508523E-2</v>
      </c>
      <c r="CK15" s="3">
        <v>6.8437952865628371E-2</v>
      </c>
      <c r="CL15" s="3">
        <v>0.29060109198450368</v>
      </c>
      <c r="CM15" s="3">
        <v>-2.616074050996969E-2</v>
      </c>
      <c r="CN15" s="3">
        <v>-8.5872132847714805E-2</v>
      </c>
      <c r="CO15" s="3">
        <v>-0.19509607170964541</v>
      </c>
      <c r="CP15" s="3">
        <v>-7.8391201374523982E-3</v>
      </c>
      <c r="CQ15" s="3">
        <v>2.8900461109499318E-3</v>
      </c>
      <c r="CR15" s="3">
        <v>-3.4388283639996638E-2</v>
      </c>
      <c r="CS15" s="3">
        <v>-9.0012600330832485E-3</v>
      </c>
      <c r="CT15" s="3">
        <v>1.987805414315829E-2</v>
      </c>
      <c r="CU15" s="3">
        <v>0.17082912064995279</v>
      </c>
      <c r="CV15" s="3">
        <v>2.9146428322050919E-2</v>
      </c>
      <c r="CW15" s="3">
        <v>1.127937966769206E-2</v>
      </c>
      <c r="CX15" s="3">
        <v>-4.0029383604067367E-2</v>
      </c>
      <c r="CY15" s="3">
        <v>-4.2666444999690092E-2</v>
      </c>
      <c r="CZ15" s="3">
        <v>0.14391984190004001</v>
      </c>
      <c r="DA15" s="3">
        <v>6.8598067734650631E-2</v>
      </c>
      <c r="DB15" s="3">
        <v>-3.9932392948441107E-2</v>
      </c>
      <c r="DC15" s="3">
        <v>1.7598376414005291E-2</v>
      </c>
      <c r="DD15" s="3">
        <v>0.18692140142605129</v>
      </c>
      <c r="DE15" s="3">
        <v>-5.7837855920199577E-2</v>
      </c>
      <c r="DF15" s="3">
        <v>0.29943562896720732</v>
      </c>
      <c r="DG15" s="3">
        <v>-4.017163325563592E-2</v>
      </c>
      <c r="DH15" s="3">
        <v>-6.5923812279217592E-2</v>
      </c>
      <c r="DI15" s="3">
        <v>2.0190924426962249E-2</v>
      </c>
      <c r="DJ15" s="3">
        <v>1.8145110584716899E-2</v>
      </c>
      <c r="DK15" s="3">
        <v>9.6228485645540582E-2</v>
      </c>
      <c r="DL15" s="3">
        <v>3.4074647137679229E-2</v>
      </c>
      <c r="DM15" s="3">
        <v>-5.2410072269874167E-2</v>
      </c>
      <c r="DN15" s="3">
        <v>1.1986824213629709E-2</v>
      </c>
      <c r="DO15" s="3">
        <v>-0.13844702445621851</v>
      </c>
      <c r="DP15" s="3">
        <v>-1.3411425974077859E-2</v>
      </c>
      <c r="DQ15" s="3">
        <v>-0.13393214683499249</v>
      </c>
      <c r="DR15" s="3">
        <v>-1.678338788040943E-2</v>
      </c>
      <c r="DS15" s="3">
        <v>9.6666961613897678E-2</v>
      </c>
      <c r="DT15" s="3">
        <v>-9.9958338323679508E-2</v>
      </c>
      <c r="DU15" s="3">
        <v>-4.0494317446442378E-2</v>
      </c>
      <c r="DV15" s="3">
        <v>1.8984707114096611E-2</v>
      </c>
      <c r="DW15" s="3">
        <v>-3.9984847713346733E-2</v>
      </c>
      <c r="DX15" s="3">
        <v>3.800440562168661E-2</v>
      </c>
      <c r="DY15" s="3">
        <v>0.11749143031016419</v>
      </c>
      <c r="DZ15" s="3">
        <v>-3.4082280835076868E-2</v>
      </c>
      <c r="EA15" s="3">
        <v>-5.9115363905846846E-3</v>
      </c>
      <c r="EB15" s="3">
        <v>-3.065153528945783E-2</v>
      </c>
      <c r="EC15" s="3">
        <v>-4.9872125571237824E-3</v>
      </c>
      <c r="ED15" s="3">
        <v>-0.14216139430498731</v>
      </c>
      <c r="EE15" s="3">
        <v>-9.617559296918831E-3</v>
      </c>
      <c r="EF15" s="3">
        <v>3.5515733602531969E-2</v>
      </c>
      <c r="EG15" s="3">
        <v>-0.26144874157893622</v>
      </c>
      <c r="EH15" s="3">
        <v>-2.3350353236254201E-2</v>
      </c>
      <c r="EI15" s="3">
        <v>2.8455498797761641E-2</v>
      </c>
      <c r="EJ15" s="3">
        <v>5.7632244059381048E-2</v>
      </c>
      <c r="EK15" s="3">
        <v>0.1019987360567204</v>
      </c>
      <c r="EL15" s="3">
        <v>-4.0770374240280419E-2</v>
      </c>
      <c r="EM15">
        <f t="shared" si="11"/>
        <v>6.2884936178402521E-3</v>
      </c>
      <c r="EN15">
        <f t="shared" si="12"/>
        <v>9.1461489767095269E-2</v>
      </c>
      <c r="EO15">
        <f t="shared" si="13"/>
        <v>6.8755643865563168E-2</v>
      </c>
    </row>
    <row r="16" spans="1:145" x14ac:dyDescent="0.3">
      <c r="A16" s="18">
        <v>120</v>
      </c>
      <c r="B16" s="18">
        <f t="shared" si="10"/>
        <v>9</v>
      </c>
      <c r="C16" s="3">
        <v>-0.13004583325497349</v>
      </c>
      <c r="D16" s="3">
        <v>8.3437315666353984E-3</v>
      </c>
      <c r="E16" s="3">
        <v>-7.4460244455112887E-2</v>
      </c>
      <c r="F16" s="3">
        <v>0.16699154982308381</v>
      </c>
      <c r="G16" s="3">
        <v>7.0739527563112553E-2</v>
      </c>
      <c r="H16" s="3">
        <v>8.2581288923990526E-2</v>
      </c>
      <c r="I16" s="3">
        <v>0.11603830556345569</v>
      </c>
      <c r="J16" s="3">
        <v>0.14986077687311791</v>
      </c>
      <c r="K16" s="3">
        <v>-0.28787756032952228</v>
      </c>
      <c r="L16" s="3">
        <v>-9.2506160017111649E-2</v>
      </c>
      <c r="M16" s="3">
        <v>-0.15885956315251279</v>
      </c>
      <c r="N16" s="3">
        <v>0.10888348295094639</v>
      </c>
      <c r="O16" s="3">
        <v>-2.9371948062139708E-2</v>
      </c>
      <c r="P16" s="3">
        <v>-7.9649562113123101E-2</v>
      </c>
      <c r="Q16" s="3">
        <v>-4.802033055303033E-2</v>
      </c>
      <c r="R16" s="3">
        <v>8.5771421301602951E-3</v>
      </c>
      <c r="S16" s="3">
        <v>-0.1085885293524063</v>
      </c>
      <c r="T16" s="3">
        <v>-9.4226726153592844E-2</v>
      </c>
      <c r="U16" s="3">
        <v>7.1987230887573209E-2</v>
      </c>
      <c r="V16" s="3">
        <v>-7.5295882228626876E-2</v>
      </c>
      <c r="W16" s="3">
        <v>-6.2744042721163962E-2</v>
      </c>
      <c r="X16" s="3">
        <v>0.1834115625918912</v>
      </c>
      <c r="Y16" s="3">
        <v>1.695610344561755E-2</v>
      </c>
      <c r="Z16" s="3">
        <v>8.0735182249339565E-2</v>
      </c>
      <c r="AA16" s="3">
        <v>-3.9190475483846077E-2</v>
      </c>
      <c r="AB16" s="3">
        <v>-0.1209893013996107</v>
      </c>
      <c r="AC16" s="3">
        <v>-2.9167401485752299E-2</v>
      </c>
      <c r="AD16" s="3">
        <v>-1.1883533968536541E-2</v>
      </c>
      <c r="AE16" s="3">
        <v>-0.1117077976445722</v>
      </c>
      <c r="AF16" s="3">
        <v>-4.7054931987802001E-2</v>
      </c>
      <c r="AG16" s="3">
        <v>-2.6570564569897222E-3</v>
      </c>
      <c r="AH16" s="3">
        <v>-1.2400628853758059E-2</v>
      </c>
      <c r="AI16" s="3">
        <v>5.3932803571996701E-2</v>
      </c>
      <c r="AJ16" s="3">
        <v>-3.5720082909992207E-2</v>
      </c>
      <c r="AK16" s="3">
        <v>6.4421400832372078E-2</v>
      </c>
      <c r="AL16" s="3">
        <v>2.4777897995460239E-2</v>
      </c>
      <c r="AM16" s="3">
        <v>2.85912264822701E-2</v>
      </c>
      <c r="AN16" s="3">
        <v>-0.1374029139074828</v>
      </c>
      <c r="AO16" s="3">
        <v>-4.4419672341327737E-2</v>
      </c>
      <c r="AP16" s="3">
        <v>-6.2955476002942351E-2</v>
      </c>
      <c r="AQ16" s="3">
        <v>-4.5395594867893942E-2</v>
      </c>
      <c r="AR16" s="3">
        <v>0.1106530340880735</v>
      </c>
      <c r="AS16" s="3">
        <v>6.572009184837771E-2</v>
      </c>
      <c r="AT16" s="3">
        <v>-4.9592347179244177E-3</v>
      </c>
      <c r="AU16" s="3">
        <v>-6.4757423988965862E-2</v>
      </c>
      <c r="AV16" s="3">
        <v>-8.9459284740005834E-2</v>
      </c>
      <c r="AW16" s="3">
        <v>9.4834369614056946E-2</v>
      </c>
      <c r="AX16" s="3">
        <v>0.113595596911948</v>
      </c>
      <c r="AY16" s="3">
        <v>-1.1168144858505541E-2</v>
      </c>
      <c r="AZ16" s="3">
        <v>2.6619999076609491E-2</v>
      </c>
      <c r="BA16" s="3">
        <v>-1.2096985808141791E-2</v>
      </c>
      <c r="BB16" s="3">
        <v>0.13297865675970799</v>
      </c>
      <c r="BC16" s="3">
        <v>6.5392330536299823E-2</v>
      </c>
      <c r="BD16" s="3">
        <v>-2.5047737019217121E-2</v>
      </c>
      <c r="BE16" s="3">
        <v>-4.7261609618519607E-2</v>
      </c>
      <c r="BF16" s="3">
        <v>-5.9047856730823467E-2</v>
      </c>
      <c r="BG16" s="3">
        <v>5.6929802358028879E-2</v>
      </c>
      <c r="BH16" s="3">
        <v>5.9214978910822183E-2</v>
      </c>
      <c r="BI16" s="3">
        <v>-4.0348434529685812E-2</v>
      </c>
      <c r="BJ16" s="3">
        <v>2.901271914462749E-2</v>
      </c>
      <c r="BK16" s="3">
        <v>3.6488351201592967E-2</v>
      </c>
      <c r="BL16" s="3">
        <v>7.2083773809532653E-2</v>
      </c>
      <c r="BM16" s="3">
        <v>4.3487516945000068E-2</v>
      </c>
      <c r="BN16" s="3">
        <v>4.4841329445366993E-2</v>
      </c>
      <c r="BO16" s="3">
        <v>2.5701078886255359E-2</v>
      </c>
      <c r="BP16" s="3">
        <v>3.4920012822141251E-2</v>
      </c>
      <c r="BQ16" s="3">
        <v>1.6526033585724551E-2</v>
      </c>
      <c r="BR16" s="3">
        <v>-6.0589298079074913E-2</v>
      </c>
      <c r="BS16" s="3">
        <v>-9.2733534181936965E-3</v>
      </c>
      <c r="BT16" s="3">
        <v>5.9812780797562567E-2</v>
      </c>
      <c r="BU16" s="3">
        <v>-4.2485239717766472E-2</v>
      </c>
      <c r="BV16" s="3">
        <v>-2.6126170779363841E-2</v>
      </c>
      <c r="BW16" s="3">
        <v>0.21283064117570519</v>
      </c>
      <c r="BX16" s="3">
        <v>8.0992436044694735E-3</v>
      </c>
      <c r="BY16" s="3">
        <v>-0.1012022173734102</v>
      </c>
      <c r="BZ16" s="3">
        <v>-7.9934571903241991E-2</v>
      </c>
      <c r="CA16" s="3">
        <v>0.17145332351057069</v>
      </c>
      <c r="CB16" s="3">
        <v>-6.5264696494031535E-2</v>
      </c>
      <c r="CC16" s="3">
        <v>-6.114939209377817E-2</v>
      </c>
      <c r="CD16" s="3">
        <v>0.1064543418042266</v>
      </c>
      <c r="CE16" s="3">
        <v>-0.1208822519030792</v>
      </c>
      <c r="CF16" s="3">
        <v>8.2940336196751507E-2</v>
      </c>
      <c r="CG16" s="3">
        <v>0.2440479115327541</v>
      </c>
      <c r="CH16" s="3">
        <v>4.8054504545709149E-2</v>
      </c>
      <c r="CI16" s="3">
        <v>-7.9549352008626784E-2</v>
      </c>
      <c r="CJ16" s="3">
        <v>-5.6743180121133011E-2</v>
      </c>
      <c r="CK16" s="3">
        <v>0.1086849264973081</v>
      </c>
      <c r="CL16" s="3">
        <v>0.31154279527443551</v>
      </c>
      <c r="CM16" s="3">
        <v>-2.1263889802606038E-2</v>
      </c>
      <c r="CN16" s="3">
        <v>-6.1379874937325371E-2</v>
      </c>
      <c r="CO16" s="3">
        <v>-0.21015560075498099</v>
      </c>
      <c r="CP16" s="3">
        <v>-1.3523032461328251E-2</v>
      </c>
      <c r="CQ16" s="3">
        <v>-3.5265009817312312E-3</v>
      </c>
      <c r="CR16" s="3">
        <v>-3.0724191644627481E-2</v>
      </c>
      <c r="CS16" s="3">
        <v>-1.0001400036759169E-2</v>
      </c>
      <c r="CT16" s="3">
        <v>2.8909286021341341E-2</v>
      </c>
      <c r="CU16" s="3">
        <v>0.1728962212160351</v>
      </c>
      <c r="CV16" s="3">
        <v>2.0301294582288909E-2</v>
      </c>
      <c r="CW16" s="3">
        <v>6.558908378256241E-3</v>
      </c>
      <c r="CX16" s="3">
        <v>-2.692330345138896E-2</v>
      </c>
      <c r="CY16" s="3">
        <v>-4.9637639404829813E-2</v>
      </c>
      <c r="CZ16" s="3">
        <v>0.15985823868698651</v>
      </c>
      <c r="DA16" s="3">
        <v>9.5888548540856988E-2</v>
      </c>
      <c r="DB16" s="3">
        <v>-5.7360444555607203E-2</v>
      </c>
      <c r="DC16" s="3">
        <v>1.559517627743354E-2</v>
      </c>
      <c r="DD16" s="3">
        <v>0.2096615572825862</v>
      </c>
      <c r="DE16" s="3">
        <v>-4.7239952286129018E-2</v>
      </c>
      <c r="DF16" s="3">
        <v>0.32192975016651382</v>
      </c>
      <c r="DG16" s="3">
        <v>-4.4449392942329309E-2</v>
      </c>
      <c r="DH16" s="3">
        <v>-4.8064130080596928E-2</v>
      </c>
      <c r="DI16" s="3">
        <v>4.330313126788761E-2</v>
      </c>
      <c r="DJ16" s="3">
        <v>1.8812061678516311E-2</v>
      </c>
      <c r="DK16" s="3">
        <v>0.1045578724924081</v>
      </c>
      <c r="DL16" s="3">
        <v>3.6594481849546959E-2</v>
      </c>
      <c r="DM16" s="3">
        <v>-5.059106283650449E-2</v>
      </c>
      <c r="DN16" s="3">
        <v>2.2233966780175519E-2</v>
      </c>
      <c r="DO16" s="3">
        <v>-0.17548976935170091</v>
      </c>
      <c r="DP16" s="3">
        <v>5.1931575302151334E-3</v>
      </c>
      <c r="DQ16" s="3">
        <v>-0.13624209025000489</v>
      </c>
      <c r="DR16" s="3">
        <v>-3.1953668878991398E-2</v>
      </c>
      <c r="DS16" s="3">
        <v>0.11644656854764381</v>
      </c>
      <c r="DT16" s="3">
        <v>-0.1127077706341119</v>
      </c>
      <c r="DU16" s="3">
        <v>-1.537532745498487E-2</v>
      </c>
      <c r="DV16" s="3">
        <v>1.917334026721049E-2</v>
      </c>
      <c r="DW16" s="3">
        <v>-2.07110304636248E-2</v>
      </c>
      <c r="DX16" s="3">
        <v>4.4218675002053023E-2</v>
      </c>
      <c r="DY16" s="3">
        <v>0.11447030232105861</v>
      </c>
      <c r="DZ16" s="3">
        <v>-4.6178940834958021E-2</v>
      </c>
      <c r="EA16" s="3">
        <v>1.1425697299403069E-3</v>
      </c>
      <c r="EB16" s="3">
        <v>-3.0689109397802939E-2</v>
      </c>
      <c r="EC16" s="3">
        <v>-1.4751245536073151E-2</v>
      </c>
      <c r="ED16" s="3">
        <v>-0.14742156790967209</v>
      </c>
      <c r="EE16" s="3">
        <v>-1.153760730163971E-2</v>
      </c>
      <c r="EF16" s="3">
        <v>2.8909886459456389E-2</v>
      </c>
      <c r="EG16" s="3">
        <v>-0.28106449452732468</v>
      </c>
      <c r="EH16" s="3">
        <v>-2.0533961936404031E-2</v>
      </c>
      <c r="EI16" s="3">
        <v>2.5811730105797591E-2</v>
      </c>
      <c r="EJ16" s="3">
        <v>5.5428965937572079E-2</v>
      </c>
      <c r="EK16" s="3">
        <v>0.1391821417081118</v>
      </c>
      <c r="EL16" s="3">
        <v>-3.3589824503176019E-2</v>
      </c>
      <c r="EM16">
        <f t="shared" si="11"/>
        <v>4.8128786885717756E-3</v>
      </c>
      <c r="EN16">
        <f t="shared" si="12"/>
        <v>9.7377323143745975E-2</v>
      </c>
      <c r="EO16">
        <f t="shared" si="13"/>
        <v>4.9425046131809598E-2</v>
      </c>
    </row>
    <row r="17" spans="1:145" x14ac:dyDescent="0.3">
      <c r="A17" s="18">
        <v>130</v>
      </c>
      <c r="B17" s="18">
        <f t="shared" si="10"/>
        <v>8</v>
      </c>
      <c r="C17" s="3">
        <v>-0.14910464483620869</v>
      </c>
      <c r="D17" s="3">
        <v>4.0944947898279021E-4</v>
      </c>
      <c r="E17" s="3">
        <v>-5.7551406694435432E-2</v>
      </c>
      <c r="F17" s="3">
        <v>0.18889770420584201</v>
      </c>
      <c r="G17" s="3">
        <v>3.939989470171483E-2</v>
      </c>
      <c r="H17" s="3">
        <v>3.995329522451764E-2</v>
      </c>
      <c r="I17" s="3">
        <v>0.12310737588239171</v>
      </c>
      <c r="J17" s="3">
        <v>0.15964101098343059</v>
      </c>
      <c r="K17" s="3">
        <v>-0.28166528206009911</v>
      </c>
      <c r="L17" s="3">
        <v>-7.3232188041334925E-2</v>
      </c>
      <c r="M17" s="3">
        <v>-0.18055640141264581</v>
      </c>
      <c r="N17" s="3">
        <v>0.11706289663700579</v>
      </c>
      <c r="O17" s="3">
        <v>-2.4067294318932831E-2</v>
      </c>
      <c r="P17" s="3">
        <v>-8.7196549040837179E-2</v>
      </c>
      <c r="Q17" s="3">
        <v>-5.0219076893250669E-2</v>
      </c>
      <c r="R17" s="3">
        <v>-2.080901850849762E-4</v>
      </c>
      <c r="S17" s="3">
        <v>-0.1332262103635998</v>
      </c>
      <c r="T17" s="3">
        <v>-9.3876727456493281E-2</v>
      </c>
      <c r="U17" s="3">
        <v>7.3605682023133237E-2</v>
      </c>
      <c r="V17" s="3">
        <v>-7.1459287832526613E-2</v>
      </c>
      <c r="W17" s="3">
        <v>-7.6581696676687225E-2</v>
      </c>
      <c r="X17" s="3">
        <v>0.17625245536268239</v>
      </c>
      <c r="Y17" s="3">
        <v>2.7441499559298331E-2</v>
      </c>
      <c r="Z17" s="3">
        <v>8.583002649492498E-2</v>
      </c>
      <c r="AA17" s="3">
        <v>-4.5854850994780698E-2</v>
      </c>
      <c r="AB17" s="3">
        <v>-0.1208022917806303</v>
      </c>
      <c r="AC17" s="3">
        <v>-3.9488261160628951E-2</v>
      </c>
      <c r="AD17" s="3">
        <v>-1.223794750048187E-2</v>
      </c>
      <c r="AE17" s="3">
        <v>-0.12410093615335881</v>
      </c>
      <c r="AF17" s="3">
        <v>-3.2582226763555322E-2</v>
      </c>
      <c r="AG17" s="3">
        <v>-1.265023247571453E-3</v>
      </c>
      <c r="AH17" s="3">
        <v>-2.060342264877934E-3</v>
      </c>
      <c r="AI17" s="3">
        <v>3.7243729794268279E-2</v>
      </c>
      <c r="AJ17" s="3">
        <v>-4.2559655860073133E-2</v>
      </c>
      <c r="AK17" s="3">
        <v>3.1812485999819867E-2</v>
      </c>
      <c r="AL17" s="3">
        <v>3.4172977367034937E-2</v>
      </c>
      <c r="AM17" s="3">
        <v>4.4527643935009492E-2</v>
      </c>
      <c r="AN17" s="3">
        <v>-0.1150317075315794</v>
      </c>
      <c r="AO17" s="3">
        <v>-2.8750923747251439E-2</v>
      </c>
      <c r="AP17" s="3">
        <v>-8.5202770622020807E-2</v>
      </c>
      <c r="AQ17" s="3">
        <v>-3.5840387988483297E-2</v>
      </c>
      <c r="AR17" s="3">
        <v>0.1261104456344071</v>
      </c>
      <c r="AS17" s="3">
        <v>8.6099673056289988E-2</v>
      </c>
      <c r="AT17" s="3">
        <v>-2.8459488727532171E-2</v>
      </c>
      <c r="AU17" s="3">
        <v>-4.4354463207573087E-2</v>
      </c>
      <c r="AV17" s="3">
        <v>-5.6706304857920872E-2</v>
      </c>
      <c r="AW17" s="3">
        <v>0.1140002593049446</v>
      </c>
      <c r="AX17" s="3">
        <v>9.6011082808542647E-2</v>
      </c>
      <c r="AY17" s="3">
        <v>-1.0766339922778921E-2</v>
      </c>
      <c r="AZ17" s="3">
        <v>2.6112752622131471E-2</v>
      </c>
      <c r="BA17" s="3">
        <v>-9.6964031887086036E-3</v>
      </c>
      <c r="BB17" s="3">
        <v>0.14231737533917449</v>
      </c>
      <c r="BC17" s="3">
        <v>8.1917917659997619E-2</v>
      </c>
      <c r="BD17" s="3">
        <v>-1.5834289731736291E-2</v>
      </c>
      <c r="BE17" s="3">
        <v>-3.6598392584075781E-2</v>
      </c>
      <c r="BF17" s="3">
        <v>-2.3357909879356899E-2</v>
      </c>
      <c r="BG17" s="3">
        <v>1.349434926079399E-2</v>
      </c>
      <c r="BH17" s="3">
        <v>6.4097655517053986E-2</v>
      </c>
      <c r="BI17" s="3">
        <v>-2.4448208911691249E-2</v>
      </c>
      <c r="BJ17" s="3">
        <v>3.9818315173440352E-2</v>
      </c>
      <c r="BK17" s="3">
        <v>4.0770554277135287E-2</v>
      </c>
      <c r="BL17" s="3">
        <v>7.8287345494603117E-2</v>
      </c>
      <c r="BM17" s="3">
        <v>6.9910421708314643E-2</v>
      </c>
      <c r="BN17" s="3">
        <v>5.638205174788475E-2</v>
      </c>
      <c r="BO17" s="3">
        <v>1.0268629779396901E-2</v>
      </c>
      <c r="BP17" s="3">
        <v>3.5844841455134203E-2</v>
      </c>
      <c r="BQ17" s="3">
        <v>3.9513525861328079E-2</v>
      </c>
      <c r="BR17" s="3">
        <v>-3.2468675473830998E-2</v>
      </c>
      <c r="BS17" s="3">
        <v>-1.0628500977726539E-2</v>
      </c>
      <c r="BT17" s="3">
        <v>5.1282041117934447E-2</v>
      </c>
      <c r="BU17" s="3">
        <v>-7.1890941464683278E-2</v>
      </c>
      <c r="BV17" s="3">
        <v>-2.3776920127193239E-2</v>
      </c>
      <c r="BW17" s="3">
        <v>0.23425066051151591</v>
      </c>
      <c r="BX17" s="3">
        <v>2.430471463428575E-3</v>
      </c>
      <c r="BY17" s="3">
        <v>-0.10484634790929739</v>
      </c>
      <c r="BZ17" s="3">
        <v>-8.7603173155947484E-2</v>
      </c>
      <c r="CA17" s="3">
        <v>0.12925304455486569</v>
      </c>
      <c r="CB17" s="3">
        <v>-6.6333613323674254E-2</v>
      </c>
      <c r="CC17" s="3">
        <v>-6.4615077413882324E-2</v>
      </c>
      <c r="CD17" s="3">
        <v>0.117653824838826</v>
      </c>
      <c r="CE17" s="3">
        <v>-0.15827879924712221</v>
      </c>
      <c r="CF17" s="3">
        <v>7.5392684084332307E-2</v>
      </c>
      <c r="CG17" s="3">
        <v>0.15746127382976441</v>
      </c>
      <c r="CH17" s="3">
        <v>8.287237979966898E-2</v>
      </c>
      <c r="CI17" s="3">
        <v>-7.186677986695221E-2</v>
      </c>
      <c r="CJ17" s="3">
        <v>-8.1625098873259805E-2</v>
      </c>
      <c r="CK17" s="3">
        <v>0.1184401385349646</v>
      </c>
      <c r="CL17" s="3">
        <v>0.34028819532159721</v>
      </c>
      <c r="CM17" s="3">
        <v>-3.0255388402135808E-2</v>
      </c>
      <c r="CN17" s="3">
        <v>-7.1601733869625178E-2</v>
      </c>
      <c r="CO17" s="3">
        <v>-0.21719509557040159</v>
      </c>
      <c r="CP17" s="3">
        <v>1.1679112302192441E-3</v>
      </c>
      <c r="CQ17" s="3">
        <v>-6.1938036636649046E-3</v>
      </c>
      <c r="CR17" s="3">
        <v>-2.9283680717415859E-2</v>
      </c>
      <c r="CS17" s="3">
        <v>-3.2669997289126028E-2</v>
      </c>
      <c r="CT17" s="3">
        <v>3.9818933144977468E-2</v>
      </c>
      <c r="CU17" s="3">
        <v>0.1423385733270735</v>
      </c>
      <c r="CV17" s="3">
        <v>1.201214067051529E-2</v>
      </c>
      <c r="CW17" s="3">
        <v>9.2302209120647544E-3</v>
      </c>
      <c r="CX17" s="3">
        <v>-1.403207535178785E-2</v>
      </c>
      <c r="CY17" s="3">
        <v>-5.8010683239434202E-2</v>
      </c>
      <c r="CZ17" s="3">
        <v>0.163570007510248</v>
      </c>
      <c r="DA17" s="3">
        <v>8.4473677696731947E-2</v>
      </c>
      <c r="DB17" s="3">
        <v>-5.8532682781620111E-2</v>
      </c>
      <c r="DC17" s="3">
        <v>2.5802332302496251E-2</v>
      </c>
      <c r="DD17" s="3">
        <v>-4.8534466911192488E-2</v>
      </c>
      <c r="DE17" s="3">
        <v>-6.3938770023400079E-2</v>
      </c>
      <c r="DF17" s="3">
        <v>0.34811952842700339</v>
      </c>
      <c r="DG17" s="3">
        <v>-5.0927877609217728E-2</v>
      </c>
      <c r="DH17" s="3">
        <v>-6.4818960550774463E-2</v>
      </c>
      <c r="DI17" s="3">
        <v>5.9029959988282373E-2</v>
      </c>
      <c r="DJ17" s="3">
        <v>5.9706748452380623E-4</v>
      </c>
      <c r="DK17" s="3">
        <v>0.1160938449799824</v>
      </c>
      <c r="DL17" s="3">
        <v>7.3635048303704029E-2</v>
      </c>
      <c r="DM17" s="3">
        <v>-8.8702295744612608E-2</v>
      </c>
      <c r="DN17" s="3">
        <v>5.4541208058773008E-2</v>
      </c>
      <c r="DO17" s="3">
        <v>-0.1863991019328087</v>
      </c>
      <c r="DP17" s="3">
        <v>8.5510285133897947E-3</v>
      </c>
      <c r="DQ17" s="3">
        <v>-0.14463219226151761</v>
      </c>
      <c r="DR17" s="3">
        <v>1.5658500579443409E-2</v>
      </c>
      <c r="DS17" s="3">
        <v>0.1498474763074365</v>
      </c>
      <c r="DT17" s="3">
        <v>-0.1074964644932431</v>
      </c>
      <c r="DU17" s="3">
        <v>-4.6007890527309178E-2</v>
      </c>
      <c r="DV17" s="3">
        <v>2.9012843398603459E-2</v>
      </c>
      <c r="DW17" s="3">
        <v>2.6854981725081082E-3</v>
      </c>
      <c r="DX17" s="3">
        <v>5.69552720772694E-2</v>
      </c>
      <c r="DY17" s="3">
        <v>0.14093027568997349</v>
      </c>
      <c r="DZ17" s="3">
        <v>-3.3849733520320363E-2</v>
      </c>
      <c r="EA17" s="3">
        <v>3.3147699829744533E-2</v>
      </c>
      <c r="EB17" s="3">
        <v>-5.1169314695963919E-2</v>
      </c>
      <c r="EC17" s="3">
        <v>1.2176774842515401E-2</v>
      </c>
      <c r="ED17" s="3">
        <v>-0.16432986689100751</v>
      </c>
      <c r="EE17" s="3">
        <v>-2.611293959404028E-2</v>
      </c>
      <c r="EF17" s="3">
        <v>1.447501637623212E-2</v>
      </c>
      <c r="EG17" s="3">
        <v>-0.29206160514271601</v>
      </c>
      <c r="EH17" s="3">
        <v>-1.5751083219620252E-2</v>
      </c>
      <c r="EI17" s="3">
        <v>2.282926836822334E-2</v>
      </c>
      <c r="EJ17" s="3">
        <v>4.4788383857553203E-2</v>
      </c>
      <c r="EK17" s="3">
        <v>0.12823431721011849</v>
      </c>
      <c r="EL17" s="3">
        <v>7.6679884106524501E-3</v>
      </c>
      <c r="EM17">
        <f t="shared" si="11"/>
        <v>3.6831801557318457E-3</v>
      </c>
      <c r="EN17">
        <f t="shared" si="12"/>
        <v>9.909115389854381E-2</v>
      </c>
      <c r="EO17">
        <f t="shared" si="13"/>
        <v>3.7169616164758092E-2</v>
      </c>
    </row>
    <row r="18" spans="1:145" x14ac:dyDescent="0.3">
      <c r="A18" s="18">
        <v>150</v>
      </c>
      <c r="B18" s="18">
        <f t="shared" si="10"/>
        <v>7</v>
      </c>
      <c r="C18" s="3">
        <v>-7.8087830712471495E-2</v>
      </c>
      <c r="D18" s="3">
        <v>2.081849577268631E-2</v>
      </c>
      <c r="E18" s="3">
        <v>-7.6276062620007676E-2</v>
      </c>
      <c r="F18" s="3">
        <v>0.21312367800434159</v>
      </c>
      <c r="G18" s="3">
        <v>4.8420896568012663E-2</v>
      </c>
      <c r="H18" s="3">
        <v>6.2052684049543103E-2</v>
      </c>
      <c r="I18" s="3">
        <v>0.1546692730658151</v>
      </c>
      <c r="J18" s="3">
        <v>0.19319962712648889</v>
      </c>
      <c r="K18" s="3">
        <v>-0.31472281199170671</v>
      </c>
      <c r="L18" s="3">
        <v>-6.071099636825536E-2</v>
      </c>
      <c r="M18" s="3">
        <v>-0.1872515498287286</v>
      </c>
      <c r="N18" s="3">
        <v>0.1214089582381661</v>
      </c>
      <c r="O18" s="3">
        <v>-5.1258915333106045E-4</v>
      </c>
      <c r="P18" s="3">
        <v>-0.1070047671871618</v>
      </c>
      <c r="Q18" s="3">
        <v>-5.6066275128662739E-2</v>
      </c>
      <c r="R18" s="3">
        <v>-2.2134840260328279E-2</v>
      </c>
      <c r="S18" s="3">
        <v>-0.15843131621589801</v>
      </c>
      <c r="T18" s="3">
        <v>-8.8495999226994942E-2</v>
      </c>
      <c r="U18" s="3">
        <v>6.3715020301069139E-2</v>
      </c>
      <c r="V18" s="3">
        <v>-6.8181928002782111E-2</v>
      </c>
      <c r="W18" s="3">
        <v>-8.9030265334534606E-2</v>
      </c>
      <c r="X18" s="3">
        <v>0.2236503524855743</v>
      </c>
      <c r="Y18" s="3">
        <v>5.5793281906932682E-2</v>
      </c>
      <c r="Z18" s="3">
        <v>8.6003953511038206E-2</v>
      </c>
      <c r="AA18" s="3">
        <v>-3.9881884966574202E-2</v>
      </c>
      <c r="AB18" s="3">
        <v>-0.13770845010880259</v>
      </c>
      <c r="AC18" s="3">
        <v>-1.2020657151231819E-2</v>
      </c>
      <c r="AD18" s="3">
        <v>-3.834699391362445E-2</v>
      </c>
      <c r="AE18" s="3">
        <v>-0.14388359760565739</v>
      </c>
      <c r="AF18" s="3">
        <v>-2.607031597541444E-2</v>
      </c>
      <c r="AG18" s="3">
        <v>-7.9201247878502787E-3</v>
      </c>
      <c r="AH18" s="3">
        <v>-7.6207714340203302E-3</v>
      </c>
      <c r="AI18" s="3">
        <v>4.5546369815387407E-2</v>
      </c>
      <c r="AJ18" s="3">
        <v>-3.0587096843848569E-2</v>
      </c>
      <c r="AK18" s="3">
        <v>-2.1874809686740931E-3</v>
      </c>
      <c r="AL18" s="3">
        <v>5.1371435185213962E-2</v>
      </c>
      <c r="AM18" s="3">
        <v>3.2364637877036827E-2</v>
      </c>
      <c r="AN18" s="3">
        <v>-0.12728849630120859</v>
      </c>
      <c r="AO18" s="3">
        <v>-3.6526969433976049E-2</v>
      </c>
      <c r="AP18" s="3">
        <v>-8.6893121332880269E-2</v>
      </c>
      <c r="AQ18" s="3">
        <v>-4.2830181032528787E-2</v>
      </c>
      <c r="AR18" s="3">
        <v>0.11118730456053209</v>
      </c>
      <c r="AS18" s="3">
        <v>3.4980856502051363E-2</v>
      </c>
      <c r="AT18" s="3">
        <v>-2.8113714628129779E-2</v>
      </c>
      <c r="AU18" s="3">
        <v>-5.1625498769338397E-2</v>
      </c>
      <c r="AV18" s="3">
        <v>-3.6288328527260619E-2</v>
      </c>
      <c r="AW18" s="3">
        <v>0.1159983480527748</v>
      </c>
      <c r="AX18" s="3">
        <v>0.1384838600667897</v>
      </c>
      <c r="AY18" s="3">
        <v>6.8985503348623745E-2</v>
      </c>
      <c r="AZ18" s="3">
        <v>4.1349640095088569E-2</v>
      </c>
      <c r="BA18" s="3">
        <v>1.7861028417374091E-2</v>
      </c>
      <c r="BB18" s="3">
        <v>0.1502839869469775</v>
      </c>
      <c r="BC18" s="3">
        <v>8.2288825297534743E-2</v>
      </c>
      <c r="BD18" s="3">
        <v>-1.023203207894959E-2</v>
      </c>
      <c r="BE18" s="3">
        <v>-4.4777878899004038E-2</v>
      </c>
      <c r="BF18" s="3">
        <v>-4.3881157048926409E-2</v>
      </c>
      <c r="BG18" s="3">
        <v>1.739298012590685E-2</v>
      </c>
      <c r="BH18" s="3">
        <v>5.5177647217037037E-2</v>
      </c>
      <c r="BI18" s="3">
        <v>-3.8239825099776331E-2</v>
      </c>
      <c r="BJ18" s="3">
        <v>3.1906855555977373E-2</v>
      </c>
      <c r="BK18" s="3">
        <v>4.0177172098229248E-2</v>
      </c>
      <c r="BL18" s="3">
        <v>8.7221486712669383E-2</v>
      </c>
      <c r="BM18" s="3">
        <v>5.7689530410745669E-2</v>
      </c>
      <c r="BN18" s="3">
        <v>5.7391553739660588E-2</v>
      </c>
      <c r="BO18" s="3">
        <v>2.051646755136657E-2</v>
      </c>
      <c r="BP18" s="3">
        <v>2.5169253131422941E-2</v>
      </c>
      <c r="BQ18" s="3">
        <v>1.6229383412170121E-2</v>
      </c>
      <c r="BR18" s="3">
        <v>2.010587854894344E-4</v>
      </c>
      <c r="BS18" s="3">
        <v>-2.058139974292459E-2</v>
      </c>
      <c r="BT18" s="3">
        <v>9.0698395428288739E-2</v>
      </c>
      <c r="BU18" s="3">
        <v>-8.9383805301203045E-2</v>
      </c>
      <c r="BV18" s="3">
        <v>-2.7819769292191369E-2</v>
      </c>
      <c r="BW18" s="3">
        <v>0.2397913125340442</v>
      </c>
      <c r="BX18" s="3">
        <v>3.100890105256008E-2</v>
      </c>
      <c r="BY18" s="3">
        <v>-8.9681819437862104E-2</v>
      </c>
      <c r="BZ18" s="3">
        <v>-0.1098145711266066</v>
      </c>
      <c r="CA18" s="3">
        <v>0.1598689439725248</v>
      </c>
      <c r="CB18" s="3">
        <v>-7.8724290447068121E-2</v>
      </c>
      <c r="CC18" s="3">
        <v>-7.3642759984045361E-2</v>
      </c>
      <c r="CD18" s="3">
        <v>0.12298068703166989</v>
      </c>
      <c r="CE18" s="3">
        <v>-0.13393260690958211</v>
      </c>
      <c r="CF18" s="3">
        <v>9.2314423162157919E-2</v>
      </c>
      <c r="CG18" s="3">
        <v>0.170995340573634</v>
      </c>
      <c r="CH18" s="3">
        <v>0.1081134112752155</v>
      </c>
      <c r="CI18" s="3">
        <v>-4.8081429226966912E-2</v>
      </c>
      <c r="CJ18" s="3">
        <v>-9.8939506341008163E-2</v>
      </c>
      <c r="CK18" s="3">
        <v>8.2295295402708454E-2</v>
      </c>
      <c r="CL18" s="3">
        <v>0.36775011654527789</v>
      </c>
      <c r="CM18" s="3">
        <v>-1.485562655522701E-2</v>
      </c>
      <c r="CN18" s="3">
        <v>-8.3229964807617754E-2</v>
      </c>
      <c r="CO18" s="3">
        <v>-0.210802125471416</v>
      </c>
      <c r="CP18" s="3">
        <v>1.53182364535154E-2</v>
      </c>
      <c r="CQ18" s="3">
        <v>4.4174875072631337E-3</v>
      </c>
      <c r="CR18" s="3">
        <v>-3.8174055630705833E-2</v>
      </c>
      <c r="CS18" s="3">
        <v>-4.3224755098983443E-2</v>
      </c>
      <c r="CT18" s="3">
        <v>3.0788311959130909E-2</v>
      </c>
      <c r="CU18" s="3">
        <v>0.14258984759129689</v>
      </c>
      <c r="CV18" s="3">
        <v>1.323266270408196E-2</v>
      </c>
      <c r="CW18" s="3">
        <v>3.3294541218572601E-2</v>
      </c>
      <c r="CX18" s="3">
        <v>-1.650822417605723E-2</v>
      </c>
      <c r="CY18" s="3">
        <v>-5.9585487656366468E-2</v>
      </c>
      <c r="CZ18" s="3">
        <v>0.17469677625329841</v>
      </c>
      <c r="DA18" s="3">
        <v>7.6047417049891319E-2</v>
      </c>
      <c r="DB18" s="3">
        <v>-5.5546530457130143E-2</v>
      </c>
      <c r="DC18" s="3">
        <v>1.6338911009788432E-2</v>
      </c>
      <c r="DD18" s="3">
        <v>-7.1532874276341293E-2</v>
      </c>
      <c r="DE18" s="3">
        <v>-5.3332797282308171E-2</v>
      </c>
      <c r="DF18" s="3">
        <v>0.36199940864890767</v>
      </c>
      <c r="DG18" s="3">
        <v>-6.1064662602275298E-2</v>
      </c>
      <c r="DH18" s="3">
        <v>-6.2544708742313021E-2</v>
      </c>
      <c r="DI18" s="3">
        <v>5.7437414038540469E-2</v>
      </c>
      <c r="DJ18" s="3">
        <v>-9.3277804485150488E-5</v>
      </c>
      <c r="DK18" s="3">
        <v>0.12624860123311479</v>
      </c>
      <c r="DL18" s="3">
        <v>6.2900090402165904E-2</v>
      </c>
      <c r="DM18" s="3">
        <v>-8.3310379948091942E-2</v>
      </c>
      <c r="DN18" s="3">
        <v>2.2669504658172419E-2</v>
      </c>
      <c r="DO18" s="3">
        <v>-0.21535047661917861</v>
      </c>
      <c r="DP18" s="3">
        <v>2.6587698231591898E-2</v>
      </c>
      <c r="DQ18" s="3">
        <v>-0.17417910656600669</v>
      </c>
      <c r="DR18" s="3">
        <v>-4.8667407460921408E-5</v>
      </c>
      <c r="DS18" s="3">
        <v>0.17690064588330481</v>
      </c>
      <c r="DT18" s="3">
        <v>-0.13242597846308171</v>
      </c>
      <c r="DU18" s="3">
        <v>-7.1505873954361795E-2</v>
      </c>
      <c r="DV18" s="3">
        <v>4.6161207687141277E-2</v>
      </c>
      <c r="DW18" s="3">
        <v>1.1205081234196409E-2</v>
      </c>
      <c r="DX18" s="3">
        <v>7.8512284432182236E-2</v>
      </c>
      <c r="DY18" s="3">
        <v>0.17083083897310719</v>
      </c>
      <c r="DZ18" s="3">
        <v>-1.17147528093297E-3</v>
      </c>
      <c r="EA18" s="3">
        <v>3.5242727412802342E-2</v>
      </c>
      <c r="EB18" s="3">
        <v>-3.1091115703289322E-2</v>
      </c>
      <c r="EC18" s="3">
        <v>1.4626816287311989E-2</v>
      </c>
      <c r="ED18" s="3">
        <v>-0.16122648709016321</v>
      </c>
      <c r="EE18" s="3">
        <v>-2.0407385609320341E-2</v>
      </c>
      <c r="EF18" s="3">
        <v>2.0799080934146529E-2</v>
      </c>
      <c r="EG18" s="3">
        <v>-0.32935670666564248</v>
      </c>
      <c r="EH18" s="3">
        <v>-1.6992386962088581E-2</v>
      </c>
      <c r="EI18" s="3">
        <v>1.4951567267490929E-2</v>
      </c>
      <c r="EJ18" s="3">
        <v>6.2676685123802006E-2</v>
      </c>
      <c r="EK18" s="3">
        <v>0.13366995328833181</v>
      </c>
      <c r="EL18" s="3">
        <v>1.9109232824252712E-2</v>
      </c>
      <c r="EM18">
        <f t="shared" si="11"/>
        <v>6.2836168974454848E-3</v>
      </c>
      <c r="EN18">
        <f t="shared" si="12"/>
        <v>0.10683572334045248</v>
      </c>
      <c r="EO18">
        <f t="shared" si="13"/>
        <v>5.8815691053277531E-2</v>
      </c>
    </row>
    <row r="19" spans="1:145" x14ac:dyDescent="0.3">
      <c r="A19" s="18">
        <v>180</v>
      </c>
      <c r="B19" s="18">
        <f t="shared" si="10"/>
        <v>6</v>
      </c>
      <c r="C19" s="3">
        <v>-0.1092862861274565</v>
      </c>
      <c r="D19" s="3">
        <v>2.7103841223633809E-2</v>
      </c>
      <c r="E19" s="3">
        <v>-5.0483367083355497E-2</v>
      </c>
      <c r="F19" s="3">
        <v>0.27482865707023602</v>
      </c>
      <c r="G19" s="3">
        <v>5.4295142469587367E-2</v>
      </c>
      <c r="H19" s="3">
        <v>8.6533790412176764E-2</v>
      </c>
      <c r="I19" s="3">
        <v>0.16891771414991311</v>
      </c>
      <c r="J19" s="3">
        <v>0.2060553049937506</v>
      </c>
      <c r="K19" s="3">
        <v>-0.38875637270889152</v>
      </c>
      <c r="L19" s="3">
        <v>-4.5025444540175798E-2</v>
      </c>
      <c r="M19" s="3">
        <v>-0.23290702175527889</v>
      </c>
      <c r="N19" s="3">
        <v>7.0167171802275011E-2</v>
      </c>
      <c r="O19" s="3">
        <v>5.1189915141745167E-2</v>
      </c>
      <c r="P19" s="3">
        <v>-9.1939631457083199E-2</v>
      </c>
      <c r="Q19" s="3">
        <v>-6.7562475747228831E-2</v>
      </c>
      <c r="R19" s="3">
        <v>-2.026474637911474E-2</v>
      </c>
      <c r="S19" s="3">
        <v>-0.1665705674290347</v>
      </c>
      <c r="T19" s="3">
        <v>-7.0706363175496681E-2</v>
      </c>
      <c r="U19" s="3">
        <v>6.4758127497753892E-2</v>
      </c>
      <c r="V19" s="3">
        <v>-7.6793573733846959E-2</v>
      </c>
      <c r="W19" s="3">
        <v>-0.1122630936464145</v>
      </c>
      <c r="X19" s="3">
        <v>0.22802402860092669</v>
      </c>
      <c r="Y19" s="3">
        <v>8.0435134826053925E-2</v>
      </c>
      <c r="Z19" s="3">
        <v>4.4520439716174198E-2</v>
      </c>
      <c r="AA19" s="3">
        <v>-5.2724182193371563E-2</v>
      </c>
      <c r="AB19" s="3">
        <v>-9.8178581924216149E-2</v>
      </c>
      <c r="AC19" s="3">
        <v>-1.092529449700118E-2</v>
      </c>
      <c r="AD19" s="3">
        <v>-2.4650669750622E-3</v>
      </c>
      <c r="AE19" s="3">
        <v>-0.1572519122050417</v>
      </c>
      <c r="AF19" s="3">
        <v>3.9012881725855458E-2</v>
      </c>
      <c r="AG19" s="3">
        <v>-2.962899401710074E-2</v>
      </c>
      <c r="AH19" s="3">
        <v>2.9547768045408051E-2</v>
      </c>
      <c r="AI19" s="3">
        <v>7.7183847179742734E-2</v>
      </c>
      <c r="AJ19" s="3">
        <v>-1.4969070204455081E-2</v>
      </c>
      <c r="AK19" s="3">
        <v>7.5520425059527104E-3</v>
      </c>
      <c r="AL19" s="3">
        <v>5.9399001189050768E-2</v>
      </c>
      <c r="AM19" s="3">
        <v>3.258501675727029E-2</v>
      </c>
      <c r="AN19" s="3">
        <v>-0.11732233838426109</v>
      </c>
      <c r="AO19" s="3">
        <v>-3.7871325725249649E-2</v>
      </c>
      <c r="AP19" s="3">
        <v>-9.5720650647838565E-2</v>
      </c>
      <c r="AQ19" s="3">
        <v>-7.8588045128809875E-2</v>
      </c>
      <c r="AR19" s="3">
        <v>0.1266893665896385</v>
      </c>
      <c r="AS19" s="3">
        <v>5.7025232144876439E-2</v>
      </c>
      <c r="AT19" s="3">
        <v>-5.9961129146392927E-2</v>
      </c>
      <c r="AU19" s="3">
        <v>-4.2729750971164729E-2</v>
      </c>
      <c r="AV19" s="3">
        <v>-4.0899918655252318E-2</v>
      </c>
      <c r="AW19" s="3">
        <v>0.12882150008880619</v>
      </c>
      <c r="AX19" s="3">
        <v>0.18062020604609161</v>
      </c>
      <c r="AY19" s="3">
        <v>-5.0755236648175051E-2</v>
      </c>
      <c r="AZ19" s="3">
        <v>5.4875564024250978E-2</v>
      </c>
      <c r="BA19" s="3">
        <v>2.9599194625857899E-2</v>
      </c>
      <c r="BB19" s="3">
        <v>0.1797702510461088</v>
      </c>
      <c r="BC19" s="3">
        <v>8.2725621214935138E-2</v>
      </c>
      <c r="BD19" s="3">
        <v>-2.037236273749906E-2</v>
      </c>
      <c r="BE19" s="3">
        <v>-5.698350264302169E-2</v>
      </c>
      <c r="BF19" s="3">
        <v>-5.6130857506398013E-2</v>
      </c>
      <c r="BG19" s="3">
        <v>2.3555433244620689E-2</v>
      </c>
      <c r="BH19" s="3">
        <v>4.2278232919636879E-2</v>
      </c>
      <c r="BI19" s="3">
        <v>-6.2583964077389878E-2</v>
      </c>
      <c r="BJ19" s="3">
        <v>1.0727507060600029E-2</v>
      </c>
      <c r="BK19" s="3">
        <v>8.9766859427346149E-2</v>
      </c>
      <c r="BL19" s="3">
        <v>9.664760565959124E-2</v>
      </c>
      <c r="BM19" s="3">
        <v>8.9561859302539001E-2</v>
      </c>
      <c r="BN19" s="3">
        <v>6.6626952027252717E-2</v>
      </c>
      <c r="BO19" s="3">
        <v>2.1019849988848791E-2</v>
      </c>
      <c r="BP19" s="3">
        <v>4.3032708198786948E-2</v>
      </c>
      <c r="BQ19" s="3">
        <v>3.3457614969847158E-2</v>
      </c>
      <c r="BR19" s="3">
        <v>-7.6937408196493286E-3</v>
      </c>
      <c r="BS19" s="3">
        <v>-7.9851875243131046E-3</v>
      </c>
      <c r="BT19" s="3">
        <v>8.404280173599292E-2</v>
      </c>
      <c r="BU19" s="3">
        <v>-9.8343719672102842E-2</v>
      </c>
      <c r="BV19" s="3">
        <v>-4.9504513394679588E-2</v>
      </c>
      <c r="BW19" s="3">
        <v>0.27753079185167168</v>
      </c>
      <c r="BX19" s="3">
        <v>3.7240914294484777E-2</v>
      </c>
      <c r="BY19" s="3">
        <v>-0.13650970561905751</v>
      </c>
      <c r="BZ19" s="3">
        <v>-0.14474202182844201</v>
      </c>
      <c r="CA19" s="3">
        <v>7.2708877660603174E-2</v>
      </c>
      <c r="CB19" s="3">
        <v>-1.3789670800873731E-2</v>
      </c>
      <c r="CC19" s="3">
        <v>-8.2088549108047706E-2</v>
      </c>
      <c r="CD19" s="3">
        <v>8.8535197450444414E-2</v>
      </c>
      <c r="CE19" s="3">
        <v>-0.17925424783212451</v>
      </c>
      <c r="CF19" s="3">
        <v>5.7049273106916203E-2</v>
      </c>
      <c r="CG19" s="3">
        <v>0.21243621512996749</v>
      </c>
      <c r="CH19" s="3">
        <v>0.12967081230693789</v>
      </c>
      <c r="CI19" s="3">
        <v>-4.5644222280679936E-3</v>
      </c>
      <c r="CJ19" s="3">
        <v>-9.4477767867255952E-2</v>
      </c>
      <c r="CK19" s="3">
        <v>6.7004503674310975E-2</v>
      </c>
      <c r="CL19" s="3">
        <v>0.39173754358099672</v>
      </c>
      <c r="CM19" s="3">
        <v>3.4344857156288863E-2</v>
      </c>
      <c r="CN19" s="3">
        <v>-7.6655302389225299E-2</v>
      </c>
      <c r="CO19" s="3">
        <v>-0.2235154197732051</v>
      </c>
      <c r="CP19" s="3">
        <v>4.1130118970366114E-3</v>
      </c>
      <c r="CQ19" s="3">
        <v>2.259781890410521E-2</v>
      </c>
      <c r="CR19" s="3">
        <v>-3.6247752819522333E-2</v>
      </c>
      <c r="CS19" s="3">
        <v>-5.5060464824476879E-2</v>
      </c>
      <c r="CT19" s="3">
        <v>3.6441795876638698E-2</v>
      </c>
      <c r="CU19" s="3">
        <v>4.4209008269060823E-2</v>
      </c>
      <c r="CV19" s="3">
        <v>1.91387535014024E-2</v>
      </c>
      <c r="CW19" s="3">
        <v>2.505812855588805E-2</v>
      </c>
      <c r="CX19" s="3">
        <v>-1.3126100955632771E-2</v>
      </c>
      <c r="CY19" s="3">
        <v>-6.3588986714886775E-2</v>
      </c>
      <c r="CZ19" s="3">
        <v>0.12725469998217481</v>
      </c>
      <c r="DA19" s="3">
        <v>4.4898319176260248E-2</v>
      </c>
      <c r="DB19" s="3">
        <v>-5.8652618130978502E-2</v>
      </c>
      <c r="DC19" s="3">
        <v>-5.8594248802098133E-2</v>
      </c>
      <c r="DD19" s="3">
        <v>-6.4085967582743569E-2</v>
      </c>
      <c r="DE19" s="3">
        <v>-2.236905285801305E-2</v>
      </c>
      <c r="DF19" s="3">
        <v>0.20002704446833819</v>
      </c>
      <c r="DG19" s="3">
        <v>-6.6791453364122733E-2</v>
      </c>
      <c r="DH19" s="3">
        <v>-5.5045784975749371E-2</v>
      </c>
      <c r="DI19" s="3">
        <v>7.6023014282883078E-2</v>
      </c>
      <c r="DJ19" s="3">
        <v>2.1504479446855081E-2</v>
      </c>
      <c r="DK19" s="3">
        <v>7.2559133466476536E-2</v>
      </c>
      <c r="DL19" s="3">
        <v>6.9870274921240927E-2</v>
      </c>
      <c r="DM19" s="3">
        <v>-4.2875893136251952E-2</v>
      </c>
      <c r="DN19" s="3">
        <v>3.2923718278986588E-2</v>
      </c>
      <c r="DO19" s="3">
        <v>-0.21989531833396631</v>
      </c>
      <c r="DP19" s="3">
        <v>3.1808370140774388E-2</v>
      </c>
      <c r="DQ19" s="3">
        <v>-0.2335224693002409</v>
      </c>
      <c r="DR19" s="3">
        <v>5.2948970110011824E-3</v>
      </c>
      <c r="DS19" s="3">
        <v>0.2120373022908045</v>
      </c>
      <c r="DT19" s="3">
        <v>-0.15227185369680471</v>
      </c>
      <c r="DU19" s="3">
        <v>-0.10853361069017881</v>
      </c>
      <c r="DV19" s="3">
        <v>5.3911897243555398E-2</v>
      </c>
      <c r="DW19" s="3">
        <v>-1.456002706821544E-2</v>
      </c>
      <c r="DX19" s="3">
        <v>9.3094438984653596E-2</v>
      </c>
      <c r="DY19" s="3">
        <v>0.20371081284057471</v>
      </c>
      <c r="DZ19" s="3">
        <v>-2.7232235020934119E-2</v>
      </c>
      <c r="EA19" s="3">
        <v>8.4631946970834329E-3</v>
      </c>
      <c r="EB19" s="3">
        <v>-8.5257431438371806E-3</v>
      </c>
      <c r="EC19" s="3">
        <v>6.9379780695587673E-2</v>
      </c>
      <c r="ED19" s="3">
        <v>-0.19894254760628341</v>
      </c>
      <c r="EE19" s="3">
        <v>-3.0408354668542661E-2</v>
      </c>
      <c r="EF19" s="3">
        <v>-2.195419132811794E-2</v>
      </c>
      <c r="EG19" s="3">
        <v>-0.44044150042745428</v>
      </c>
      <c r="EH19" s="3">
        <v>1.2381003743444649E-2</v>
      </c>
      <c r="EI19" s="3">
        <v>-2.0693682020204301E-2</v>
      </c>
      <c r="EJ19" s="3">
        <v>4.8870154774312453E-2</v>
      </c>
      <c r="EK19" s="3">
        <v>0.1055429377737104</v>
      </c>
      <c r="EL19" s="3">
        <v>-2.8358765712586248E-4</v>
      </c>
      <c r="EM19">
        <f t="shared" si="11"/>
        <v>2.8634165786007191E-3</v>
      </c>
      <c r="EN19">
        <f t="shared" si="12"/>
        <v>0.11521933765699209</v>
      </c>
      <c r="EO19">
        <f t="shared" si="13"/>
        <v>2.4851875013594583E-2</v>
      </c>
    </row>
    <row r="20" spans="1:145" x14ac:dyDescent="0.3">
      <c r="A20" s="18">
        <v>200</v>
      </c>
      <c r="B20" s="18">
        <f t="shared" si="10"/>
        <v>5</v>
      </c>
      <c r="C20" s="3">
        <v>-0.13735351362965331</v>
      </c>
      <c r="D20" s="3">
        <v>4.3065520217970429E-2</v>
      </c>
      <c r="E20" s="3">
        <v>-5.6638508994396389E-2</v>
      </c>
      <c r="F20" s="3">
        <v>0.25013325855098878</v>
      </c>
      <c r="G20" s="3">
        <v>4.6020970473452938E-2</v>
      </c>
      <c r="H20" s="3">
        <v>0.12733285728101729</v>
      </c>
      <c r="I20" s="3">
        <v>0.17916341421510079</v>
      </c>
      <c r="J20" s="3">
        <v>0.22900574536443169</v>
      </c>
      <c r="K20" s="3">
        <v>-0.46432765621036759</v>
      </c>
      <c r="L20" s="3">
        <v>-6.3366714195723942E-2</v>
      </c>
      <c r="M20" s="3">
        <v>-0.27765416652084418</v>
      </c>
      <c r="N20" s="3">
        <v>7.170807238039284E-2</v>
      </c>
      <c r="O20" s="3">
        <v>4.2734024757790479E-2</v>
      </c>
      <c r="P20" s="3">
        <v>-4.9665695109844102E-2</v>
      </c>
      <c r="Q20" s="3">
        <v>-8.6440521610681997E-2</v>
      </c>
      <c r="R20" s="3">
        <v>-4.5930790583953607E-2</v>
      </c>
      <c r="S20" s="3">
        <v>-0.15518261832774261</v>
      </c>
      <c r="T20" s="3">
        <v>-9.2488241977941019E-2</v>
      </c>
      <c r="U20" s="3">
        <v>4.4860999039582378E-2</v>
      </c>
      <c r="V20" s="3">
        <v>-7.2880284363465539E-2</v>
      </c>
      <c r="W20" s="3">
        <v>-0.1666084892431455</v>
      </c>
      <c r="X20" s="3">
        <v>0.1929023104414854</v>
      </c>
      <c r="Y20" s="3">
        <v>4.6750321179991249E-2</v>
      </c>
      <c r="Z20" s="3">
        <v>2.7386029387607459E-2</v>
      </c>
      <c r="AA20" s="3">
        <v>-7.1851059093311742E-2</v>
      </c>
      <c r="AB20" s="3">
        <v>-8.9106463432834987E-2</v>
      </c>
      <c r="AC20" s="3">
        <v>-1.0208303585079971E-2</v>
      </c>
      <c r="AD20" s="3">
        <v>-4.0734777719304643E-2</v>
      </c>
      <c r="AE20" s="3">
        <v>-0.18177431870150151</v>
      </c>
      <c r="AF20" s="3">
        <v>5.980416000074254E-2</v>
      </c>
      <c r="AG20" s="3">
        <v>-0.1003996103364951</v>
      </c>
      <c r="AH20" s="3">
        <v>4.4377375644109679E-2</v>
      </c>
      <c r="AI20" s="3">
        <v>9.0498963542606309E-2</v>
      </c>
      <c r="AJ20" s="3">
        <v>-1.532179842042147E-2</v>
      </c>
      <c r="AK20" s="3">
        <v>-1.359511549600285E-2</v>
      </c>
      <c r="AL20" s="3">
        <v>6.7328439719529967E-2</v>
      </c>
      <c r="AM20" s="3">
        <v>3.535123710176763E-2</v>
      </c>
      <c r="AN20" s="3">
        <v>-0.1208414664731992</v>
      </c>
      <c r="AO20" s="3">
        <v>-3.0197796643377031E-2</v>
      </c>
      <c r="AP20" s="3">
        <v>-8.6745238092895305E-2</v>
      </c>
      <c r="AQ20" s="3">
        <v>-9.2187322841269848E-2</v>
      </c>
      <c r="AR20" s="3">
        <v>0.15552049601251119</v>
      </c>
      <c r="AS20" s="3">
        <v>7.3246355688317957E-2</v>
      </c>
      <c r="AT20" s="3">
        <v>-5.3733446018077453E-2</v>
      </c>
      <c r="AU20" s="3">
        <v>-4.4673516955324073E-2</v>
      </c>
      <c r="AV20" s="3">
        <v>-2.6086323130645791E-2</v>
      </c>
      <c r="AW20" s="3">
        <v>0.15438110343776351</v>
      </c>
      <c r="AX20" s="3">
        <v>0.1790139480206687</v>
      </c>
      <c r="AY20" s="3">
        <v>-7.4627353203724864E-2</v>
      </c>
      <c r="AZ20" s="3">
        <v>5.0576081072186342E-2</v>
      </c>
      <c r="BA20" s="3">
        <v>4.8327506816448547E-2</v>
      </c>
      <c r="BB20" s="3">
        <v>0.19168428574498189</v>
      </c>
      <c r="BC20" s="3">
        <v>3.9522400124645321E-2</v>
      </c>
      <c r="BD20" s="3">
        <v>-1.599821355701421E-2</v>
      </c>
      <c r="BE20" s="3">
        <v>-7.4243786981171164E-2</v>
      </c>
      <c r="BF20" s="3">
        <v>-6.3250108519336073E-2</v>
      </c>
      <c r="BG20" s="3">
        <v>-1.2799079086689339E-2</v>
      </c>
      <c r="BH20" s="3">
        <v>5.5872391694010148E-2</v>
      </c>
      <c r="BI20" s="3">
        <v>-8.9047957829847313E-2</v>
      </c>
      <c r="BJ20" s="3">
        <v>8.8263027229461902E-3</v>
      </c>
      <c r="BK20" s="3">
        <v>4.470785893660037E-2</v>
      </c>
      <c r="BL20" s="3">
        <v>9.831397321902749E-2</v>
      </c>
      <c r="BM20" s="3">
        <v>9.6772500073541989E-2</v>
      </c>
      <c r="BN20" s="3">
        <v>9.5426685671894731E-2</v>
      </c>
      <c r="BO20" s="3">
        <v>2.361256287382453E-2</v>
      </c>
      <c r="BP20" s="3">
        <v>5.1306747683821652E-2</v>
      </c>
      <c r="BQ20" s="3">
        <v>4.2904946585499093E-2</v>
      </c>
      <c r="BR20" s="3">
        <v>-5.3891578431138863E-3</v>
      </c>
      <c r="BS20" s="3">
        <v>-2.4940862127493382E-2</v>
      </c>
      <c r="BT20" s="3">
        <v>0.1022762499044336</v>
      </c>
      <c r="BU20" s="3">
        <v>-0.106656787346347</v>
      </c>
      <c r="BV20" s="3">
        <v>-5.2158667327559798E-2</v>
      </c>
      <c r="BW20" s="3">
        <v>0.32805179641782201</v>
      </c>
      <c r="BX20" s="3">
        <v>2.22574151216192E-2</v>
      </c>
      <c r="BY20" s="3">
        <v>-0.1398659292453944</v>
      </c>
      <c r="BZ20" s="3">
        <v>-0.18472508748935221</v>
      </c>
      <c r="CA20" s="3">
        <v>8.7851899082509066E-2</v>
      </c>
      <c r="CB20" s="3">
        <v>-2.2364424568948878E-2</v>
      </c>
      <c r="CC20" s="3">
        <v>-9.4881389393729337E-2</v>
      </c>
      <c r="CD20" s="3">
        <v>9.9996406471073218E-2</v>
      </c>
      <c r="CE20" s="3">
        <v>-0.20293368894332689</v>
      </c>
      <c r="CF20" s="3">
        <v>6.5930866054855666E-2</v>
      </c>
      <c r="CG20" s="3">
        <v>0.24959400343469151</v>
      </c>
      <c r="CH20" s="3">
        <v>0.1391514007469502</v>
      </c>
      <c r="CI20" s="3">
        <v>-5.137750414440645E-4</v>
      </c>
      <c r="CJ20" s="3">
        <v>-0.14212644503577981</v>
      </c>
      <c r="CK20" s="3">
        <v>5.994843653855747E-2</v>
      </c>
      <c r="CL20" s="3">
        <v>0.39075318679982252</v>
      </c>
      <c r="CM20" s="3">
        <v>2.9319594991152449E-2</v>
      </c>
      <c r="CN20" s="3">
        <v>-7.8693195965172158E-2</v>
      </c>
      <c r="CO20" s="3">
        <v>-0.28663326181220211</v>
      </c>
      <c r="CP20" s="3">
        <v>2.8663181140260601E-2</v>
      </c>
      <c r="CQ20" s="3">
        <v>3.6504630399462799E-2</v>
      </c>
      <c r="CR20" s="3">
        <v>-4.510373772287965E-2</v>
      </c>
      <c r="CS20" s="3">
        <v>-3.5040747913517453E-2</v>
      </c>
      <c r="CT20" s="3">
        <v>5.7906913371780729E-2</v>
      </c>
      <c r="CU20" s="3">
        <v>1.2896643061345271E-3</v>
      </c>
      <c r="CV20" s="3">
        <v>2.8072662502616079E-2</v>
      </c>
      <c r="CW20" s="3">
        <v>1.7255596773163719E-2</v>
      </c>
      <c r="CX20" s="3">
        <v>5.8017888265177236E-3</v>
      </c>
      <c r="CY20" s="3">
        <v>-8.9512648250412427E-2</v>
      </c>
      <c r="CZ20" s="3">
        <v>0.14371247068834719</v>
      </c>
      <c r="DA20" s="3">
        <v>2.204197736506024E-2</v>
      </c>
      <c r="DB20" s="3">
        <v>-7.696806977078402E-2</v>
      </c>
      <c r="DC20" s="3">
        <v>-3.456113066023539E-2</v>
      </c>
      <c r="DD20" s="3">
        <v>-6.8809216430073622E-2</v>
      </c>
      <c r="DE20" s="3">
        <v>4.7055401607878633E-3</v>
      </c>
      <c r="DF20" s="3">
        <v>0.22982781298180299</v>
      </c>
      <c r="DG20" s="3">
        <v>-7.4371572181915813E-2</v>
      </c>
      <c r="DH20" s="3">
        <v>-7.5531103009774489E-2</v>
      </c>
      <c r="DI20" s="3">
        <v>0.1241607238732243</v>
      </c>
      <c r="DJ20" s="3">
        <v>2.5058641425816319E-2</v>
      </c>
      <c r="DK20" s="3">
        <v>3.2974572419009057E-2</v>
      </c>
      <c r="DL20" s="3">
        <v>9.2719841900374952E-2</v>
      </c>
      <c r="DM20" s="3">
        <v>-7.3288815523190165E-2</v>
      </c>
      <c r="DN20" s="3">
        <v>4.5053324742301643E-2</v>
      </c>
      <c r="DO20" s="3">
        <v>-0.25866686080254608</v>
      </c>
      <c r="DP20" s="3">
        <v>1.8071021259892101E-2</v>
      </c>
      <c r="DQ20" s="3">
        <v>-0.25664285097303108</v>
      </c>
      <c r="DR20" s="3">
        <v>4.0858109508962903E-2</v>
      </c>
      <c r="DS20" s="3">
        <v>0.24693120398255569</v>
      </c>
      <c r="DT20" s="3">
        <v>-0.15640800831508481</v>
      </c>
      <c r="DU20" s="3">
        <v>1.1686578105578689E-2</v>
      </c>
      <c r="DV20" s="3">
        <v>9.3474835834196912E-3</v>
      </c>
      <c r="DW20" s="3">
        <v>-3.5882537595949379E-2</v>
      </c>
      <c r="DX20" s="3">
        <v>0.13335426278951851</v>
      </c>
      <c r="DY20" s="3">
        <v>0.15785680703120589</v>
      </c>
      <c r="DZ20" s="3">
        <v>-2.9062312077681611E-2</v>
      </c>
      <c r="EA20" s="3">
        <v>-1.228093770837262E-2</v>
      </c>
      <c r="EB20" s="3">
        <v>2.992385722584795E-2</v>
      </c>
      <c r="EC20" s="3">
        <v>4.8932641824658597E-2</v>
      </c>
      <c r="ED20" s="3">
        <v>-0.20700659420393019</v>
      </c>
      <c r="EE20" s="3">
        <v>-3.4307818723682257E-2</v>
      </c>
      <c r="EF20" s="3">
        <v>-2.6928214844152591E-2</v>
      </c>
      <c r="EG20" s="3">
        <v>-0.45349068161603578</v>
      </c>
      <c r="EH20" s="3">
        <v>8.7684410243298316E-3</v>
      </c>
      <c r="EI20" s="3">
        <v>-1.632278486099659E-2</v>
      </c>
      <c r="EJ20" s="3">
        <v>6.2018697969400342E-2</v>
      </c>
      <c r="EK20" s="3">
        <v>0.12158543210204779</v>
      </c>
      <c r="EL20" s="3">
        <v>-1.9673717563836391E-2</v>
      </c>
      <c r="EM20">
        <f t="shared" si="11"/>
        <v>-2.0748792320290566E-4</v>
      </c>
      <c r="EN20">
        <f t="shared" si="12"/>
        <v>0.12615210169290178</v>
      </c>
      <c r="EO20">
        <f t="shared" si="13"/>
        <v>-1.644744086055765E-3</v>
      </c>
    </row>
    <row r="21" spans="1:145" x14ac:dyDescent="0.3">
      <c r="A21" s="18">
        <v>256</v>
      </c>
      <c r="B21" s="18">
        <f t="shared" si="10"/>
        <v>4</v>
      </c>
      <c r="C21" s="3">
        <v>-0.20901292259212359</v>
      </c>
      <c r="D21" s="3">
        <v>3.7437654196076947E-2</v>
      </c>
      <c r="E21" s="3">
        <v>-5.7637987827859831E-2</v>
      </c>
      <c r="F21" s="3">
        <v>0.1289123477175351</v>
      </c>
      <c r="G21" s="3">
        <v>-4.8397262764229558E-2</v>
      </c>
      <c r="H21" s="3">
        <v>8.3509199203109702E-2</v>
      </c>
      <c r="I21" s="3">
        <v>0.23932306217775401</v>
      </c>
      <c r="J21" s="3">
        <v>0.28503540232140601</v>
      </c>
      <c r="K21" s="3">
        <v>-5.1109754065009741E-2</v>
      </c>
      <c r="L21" s="3">
        <v>-7.3002634445401865E-2</v>
      </c>
      <c r="M21" s="3">
        <v>-0.29690458797810682</v>
      </c>
      <c r="N21" s="3">
        <v>8.5989912658066769E-2</v>
      </c>
      <c r="O21" s="3">
        <v>5.8855140112437657E-2</v>
      </c>
      <c r="P21" s="3">
        <v>-7.1494213626299832E-2</v>
      </c>
      <c r="Q21" s="3">
        <v>-0.1210463862333558</v>
      </c>
      <c r="R21" s="3">
        <v>-8.1597113591979048E-2</v>
      </c>
      <c r="S21" s="3">
        <v>-0.12859028544995699</v>
      </c>
      <c r="T21" s="3">
        <v>-0.1157189576337045</v>
      </c>
      <c r="U21" s="3">
        <v>1.5792011862708909E-2</v>
      </c>
      <c r="V21" s="3">
        <v>-2.8497686040694591E-2</v>
      </c>
      <c r="W21" s="3">
        <v>-0.1630558798265769</v>
      </c>
      <c r="X21" s="3">
        <v>0.19383701512214321</v>
      </c>
      <c r="Y21" s="3">
        <v>1.7106239399932891E-2</v>
      </c>
      <c r="Z21" s="3">
        <v>2.3066613962282059E-2</v>
      </c>
      <c r="AA21" s="3">
        <v>-2.4139600129946221E-2</v>
      </c>
      <c r="AB21" s="3">
        <v>-0.106655108069916</v>
      </c>
      <c r="AC21" s="3">
        <v>-6.4884757718168068E-2</v>
      </c>
      <c r="AD21" s="3">
        <v>-7.3114424521115023E-2</v>
      </c>
      <c r="AE21" s="3">
        <v>-0.18367221734724989</v>
      </c>
      <c r="AF21" s="3">
        <v>7.1446304486725953E-2</v>
      </c>
      <c r="AG21" s="3">
        <v>-8.6544990394223004E-2</v>
      </c>
      <c r="AH21" s="3">
        <v>1.5982702070234001E-2</v>
      </c>
      <c r="AI21" s="3">
        <v>7.9594209333291061E-2</v>
      </c>
      <c r="AJ21" s="3">
        <v>-7.7820320310089466E-3</v>
      </c>
      <c r="AK21" s="3">
        <v>-3.064343373743127E-2</v>
      </c>
      <c r="AL21" s="3">
        <v>0.1109621461614401</v>
      </c>
      <c r="AM21" s="3">
        <v>5.1301939115901897E-2</v>
      </c>
      <c r="AN21" s="3">
        <v>-0.1064311379698018</v>
      </c>
      <c r="AO21" s="3">
        <v>-7.5524154929500695E-2</v>
      </c>
      <c r="AP21" s="3">
        <v>-0.1048081729015958</v>
      </c>
      <c r="AQ21" s="3">
        <v>-7.4443845579531084E-2</v>
      </c>
      <c r="AR21" s="3">
        <v>0.20672232734977269</v>
      </c>
      <c r="AS21" s="3">
        <v>0.1174173206585938</v>
      </c>
      <c r="AT21" s="3">
        <v>-4.5504690911822951E-2</v>
      </c>
      <c r="AU21" s="3">
        <v>-1.2526755026963E-2</v>
      </c>
      <c r="AV21" s="3">
        <v>-1.3890262137370921E-2</v>
      </c>
      <c r="AW21" s="3">
        <v>0.18303435658972411</v>
      </c>
      <c r="AX21" s="3">
        <v>0.15731136441856319</v>
      </c>
      <c r="AY21" s="3">
        <v>-6.8643769529244045E-2</v>
      </c>
      <c r="AZ21" s="3">
        <v>6.1468476749762538E-2</v>
      </c>
      <c r="BA21" s="3">
        <v>4.8067558401640578E-2</v>
      </c>
      <c r="BB21" s="3">
        <v>0.255382212998854</v>
      </c>
      <c r="BC21" s="3">
        <v>5.9896200794398398E-2</v>
      </c>
      <c r="BD21" s="3">
        <v>7.7711636134963494E-3</v>
      </c>
      <c r="BE21" s="3">
        <v>-8.5309525673480019E-2</v>
      </c>
      <c r="BF21" s="3">
        <v>-7.2331459806521906E-2</v>
      </c>
      <c r="BG21" s="3">
        <v>1.324431147469142E-2</v>
      </c>
      <c r="BH21" s="3">
        <v>4.0162712125278291E-2</v>
      </c>
      <c r="BI21" s="3">
        <v>-5.9055113397490817E-2</v>
      </c>
      <c r="BJ21" s="3">
        <v>2.2331209462227969E-2</v>
      </c>
      <c r="BK21" s="3">
        <v>7.2723114748713999E-2</v>
      </c>
      <c r="BL21" s="3">
        <v>0.1139983725192197</v>
      </c>
      <c r="BM21" s="3">
        <v>0.12073680136443191</v>
      </c>
      <c r="BN21" s="3">
        <v>0.123828936860666</v>
      </c>
      <c r="BO21" s="3">
        <v>-0.10661704054188401</v>
      </c>
      <c r="BP21" s="3">
        <v>8.255212019536784E-2</v>
      </c>
      <c r="BQ21" s="3">
        <v>5.8010344931967828E-2</v>
      </c>
      <c r="BR21" s="3">
        <v>1.5383030805276299E-2</v>
      </c>
      <c r="BS21" s="3">
        <v>-6.5336425907419268E-2</v>
      </c>
      <c r="BT21" s="3">
        <v>0.1128745300819549</v>
      </c>
      <c r="BU21" s="3">
        <v>-0.12746595431431471</v>
      </c>
      <c r="BV21" s="3">
        <v>4.0664933064631301E-3</v>
      </c>
      <c r="BW21" s="3">
        <v>0.37017575234320749</v>
      </c>
      <c r="BX21" s="3">
        <v>4.8237903724040992E-2</v>
      </c>
      <c r="BY21" s="3">
        <v>-9.366980481323034E-2</v>
      </c>
      <c r="BZ21" s="3">
        <v>-0.25140177788258627</v>
      </c>
      <c r="CA21" s="3">
        <v>0.1496738934245482</v>
      </c>
      <c r="CB21" s="3">
        <v>-3.6725782607617483E-2</v>
      </c>
      <c r="CC21" s="3">
        <v>-0.12958007904025229</v>
      </c>
      <c r="CD21" s="3">
        <v>0.1135346301105227</v>
      </c>
      <c r="CE21" s="3">
        <v>-0.34015037388082398</v>
      </c>
      <c r="CF21" s="3">
        <v>5.4182445348750309E-2</v>
      </c>
      <c r="CG21" s="3">
        <v>0.3411274132936114</v>
      </c>
      <c r="CH21" s="3">
        <v>2.9607806844142442E-4</v>
      </c>
      <c r="CI21" s="3">
        <v>-7.5619131398056982E-3</v>
      </c>
      <c r="CJ21" s="3">
        <v>-0.23904770620485921</v>
      </c>
      <c r="CK21" s="3">
        <v>8.2370949837972815E-2</v>
      </c>
      <c r="CL21" s="3">
        <v>0.46678162174246129</v>
      </c>
      <c r="CM21" s="3">
        <v>8.7517273868249618E-3</v>
      </c>
      <c r="CN21" s="3">
        <v>-0.10649522043646879</v>
      </c>
      <c r="CO21" s="3">
        <v>-0.29725993832316078</v>
      </c>
      <c r="CP21" s="3">
        <v>5.0765086218549978E-2</v>
      </c>
      <c r="CQ21" s="3">
        <v>4.1279682313091488E-2</v>
      </c>
      <c r="CR21" s="3">
        <v>-4.1319888765932039E-2</v>
      </c>
      <c r="CS21" s="3">
        <v>3.1863383103708537E-2</v>
      </c>
      <c r="CT21" s="3">
        <v>6.7406806572068129E-2</v>
      </c>
      <c r="CU21" s="3">
        <v>8.0967812052500521E-3</v>
      </c>
      <c r="CV21" s="3">
        <v>5.8257805995761539E-2</v>
      </c>
      <c r="CW21" s="3">
        <v>3.8070043377180722E-2</v>
      </c>
      <c r="CX21" s="3">
        <v>1.7597303540154451E-2</v>
      </c>
      <c r="CY21" s="3">
        <v>-3.9342909008623868E-2</v>
      </c>
      <c r="CZ21" s="3">
        <v>0.1124876054706085</v>
      </c>
      <c r="DA21" s="3">
        <v>1.83356518444442E-2</v>
      </c>
      <c r="DB21" s="3">
        <v>-7.1461213773998111E-2</v>
      </c>
      <c r="DC21" s="3">
        <v>-5.2448650016597861E-2</v>
      </c>
      <c r="DD21" s="3">
        <v>-7.7512678418007158E-2</v>
      </c>
      <c r="DE21" s="3">
        <v>-5.8271130446386633E-2</v>
      </c>
      <c r="DF21" s="3">
        <v>0.28613086332294307</v>
      </c>
      <c r="DG21" s="3">
        <v>-5.0042124219812377E-2</v>
      </c>
      <c r="DH21" s="3">
        <v>-1.5541854184012259E-2</v>
      </c>
      <c r="DI21" s="3">
        <v>0.15186656880945859</v>
      </c>
      <c r="DJ21" s="3">
        <v>1.5384495441135E-2</v>
      </c>
      <c r="DK21" s="3">
        <v>3.3959709646771537E-2</v>
      </c>
      <c r="DL21" s="3">
        <v>0.1112410993391294</v>
      </c>
      <c r="DM21" s="3">
        <v>-0.1162525000516713</v>
      </c>
      <c r="DN21" s="3">
        <v>2.9428370634094331E-2</v>
      </c>
      <c r="DO21" s="3">
        <v>-0.33245867655806433</v>
      </c>
      <c r="DP21" s="3">
        <v>1.25692206830125E-2</v>
      </c>
      <c r="DQ21" s="3">
        <v>-0.10955315168457561</v>
      </c>
      <c r="DR21" s="3">
        <v>5.3556989806694252E-2</v>
      </c>
      <c r="DS21" s="3">
        <v>0.25196661464834907</v>
      </c>
      <c r="DT21" s="3">
        <v>-4.1026160354837353E-2</v>
      </c>
      <c r="DU21" s="3">
        <v>-4.2379378069059394E-3</v>
      </c>
      <c r="DV21" s="3">
        <v>3.7688687507114273E-2</v>
      </c>
      <c r="DW21" s="3">
        <v>-6.1062057079917867E-2</v>
      </c>
      <c r="DX21" s="3">
        <v>9.9724610700535204E-2</v>
      </c>
      <c r="DY21" s="3">
        <v>0.23479841945281529</v>
      </c>
      <c r="DZ21" s="3">
        <v>-1.4748173723862329E-2</v>
      </c>
      <c r="EA21" s="3">
        <v>1.9124426032472479E-2</v>
      </c>
      <c r="EB21" s="3">
        <v>7.9572598649565895E-2</v>
      </c>
      <c r="EC21" s="3">
        <v>5.9634218755324007E-2</v>
      </c>
      <c r="ED21" s="3">
        <v>-9.2108522769330708E-2</v>
      </c>
      <c r="EE21" s="3">
        <v>-3.1907536895362978E-2</v>
      </c>
      <c r="EF21" s="3">
        <v>-5.176135047828808E-2</v>
      </c>
      <c r="EG21" s="3">
        <v>-0.57002336715213819</v>
      </c>
      <c r="EH21" s="3">
        <v>2.6426669615196342E-2</v>
      </c>
      <c r="EI21" s="3">
        <v>-2.2718700591800949E-3</v>
      </c>
      <c r="EJ21" s="3">
        <v>5.13599730941929E-2</v>
      </c>
      <c r="EK21" s="3">
        <v>4.7133759794294378E-2</v>
      </c>
      <c r="EL21" s="3">
        <v>-0.1054220111564122</v>
      </c>
      <c r="EM21">
        <f t="shared" si="11"/>
        <v>4.0995558187313453E-3</v>
      </c>
      <c r="EN21">
        <f t="shared" si="12"/>
        <v>0.13606048482857735</v>
      </c>
      <c r="EO21">
        <f t="shared" si="13"/>
        <v>3.0130392552226878E-2</v>
      </c>
    </row>
    <row r="22" spans="1:145" x14ac:dyDescent="0.3">
      <c r="A22" s="18">
        <v>400</v>
      </c>
      <c r="B22" s="18">
        <f t="shared" si="10"/>
        <v>3</v>
      </c>
      <c r="C22" s="3">
        <v>-0.31866693810424712</v>
      </c>
      <c r="D22" s="3">
        <v>-1.278836654555218E-2</v>
      </c>
      <c r="E22" s="3">
        <v>-3.5587164056468459E-2</v>
      </c>
      <c r="F22" s="3">
        <v>9.7433995578986451E-2</v>
      </c>
      <c r="G22" s="3">
        <v>-4.1303043472976093E-2</v>
      </c>
      <c r="H22" s="3">
        <v>6.8510693540499268E-2</v>
      </c>
      <c r="I22" s="3">
        <v>0.25443290291045001</v>
      </c>
      <c r="J22" s="3">
        <v>0.37609347134271992</v>
      </c>
      <c r="K22" s="3">
        <v>-4.8927160558248063E-2</v>
      </c>
      <c r="L22" s="3">
        <v>-0.12894877287545589</v>
      </c>
      <c r="M22" s="3">
        <v>-0.18466278734295011</v>
      </c>
      <c r="N22" s="3">
        <v>0.11515041973674681</v>
      </c>
      <c r="O22" s="3">
        <v>8.4166448593656545E-2</v>
      </c>
      <c r="P22" s="3">
        <v>-9.0630874426634297E-2</v>
      </c>
      <c r="Q22" s="3">
        <v>-0.1167411321085003</v>
      </c>
      <c r="R22" s="3">
        <v>-8.867436594641423E-2</v>
      </c>
      <c r="S22" s="3">
        <v>-0.16964655555794059</v>
      </c>
      <c r="T22" s="3">
        <v>-0.13585714956761111</v>
      </c>
      <c r="U22" s="3">
        <v>4.4683532009678548E-2</v>
      </c>
      <c r="V22" s="3">
        <v>6.1265227232740922E-2</v>
      </c>
      <c r="W22" s="3">
        <v>-0.15624265358615441</v>
      </c>
      <c r="X22" s="3">
        <v>0.1578500516608691</v>
      </c>
      <c r="Y22" s="3">
        <v>6.2742307974803548E-3</v>
      </c>
      <c r="Z22" s="3">
        <v>3.6895251359705381E-2</v>
      </c>
      <c r="AA22" s="3">
        <v>-6.4222746217720672E-2</v>
      </c>
      <c r="AB22" s="3">
        <v>-0.1086951034771748</v>
      </c>
      <c r="AC22" s="3">
        <v>-5.963299967272595E-2</v>
      </c>
      <c r="AD22" s="3">
        <v>-5.7995871092346052E-2</v>
      </c>
      <c r="AE22" s="3">
        <v>-0.23783801059830931</v>
      </c>
      <c r="AF22" s="3">
        <v>0.1057411594900898</v>
      </c>
      <c r="AG22" s="3">
        <v>-0.1084651465802003</v>
      </c>
      <c r="AH22" s="3">
        <v>2.771388151553791E-2</v>
      </c>
      <c r="AI22" s="3">
        <v>9.4141260657386039E-2</v>
      </c>
      <c r="AJ22" s="3">
        <v>-3.5833702302869933E-2</v>
      </c>
      <c r="AK22" s="3">
        <v>0.1012885607403957</v>
      </c>
      <c r="AL22" s="3">
        <v>3.6840806286715461E-2</v>
      </c>
      <c r="AM22" s="3">
        <v>8.4088903467703563E-2</v>
      </c>
      <c r="AN22" s="3">
        <v>-0.17720720373425369</v>
      </c>
      <c r="AO22" s="3">
        <v>-9.8839476887753644E-2</v>
      </c>
      <c r="AP22" s="3">
        <v>-0.18456058935382719</v>
      </c>
      <c r="AQ22" s="3">
        <v>8.2677886708544118E-2</v>
      </c>
      <c r="AR22" s="3">
        <v>0.24753972204563771</v>
      </c>
      <c r="AS22" s="3">
        <v>2.2170482112280659E-2</v>
      </c>
      <c r="AT22" s="3">
        <v>2.8324858248643971E-2</v>
      </c>
      <c r="AU22" s="3">
        <v>-6.0989563910528802E-3</v>
      </c>
      <c r="AV22" s="3">
        <v>-7.9203228670756201E-2</v>
      </c>
      <c r="AW22" s="3">
        <v>0.2294932332459502</v>
      </c>
      <c r="AX22" s="3">
        <v>-4.7737840971480427E-2</v>
      </c>
      <c r="AY22" s="3">
        <v>-4.1015182660395492E-2</v>
      </c>
      <c r="AZ22" s="3">
        <v>6.3956460551186631E-2</v>
      </c>
      <c r="BA22" s="3">
        <v>7.7254544464199326E-2</v>
      </c>
      <c r="BB22" s="3">
        <v>0.30192994454042299</v>
      </c>
      <c r="BC22" s="3">
        <v>-0.1155417258126869</v>
      </c>
      <c r="BD22" s="3">
        <v>3.8662233380213101E-2</v>
      </c>
      <c r="BE22" s="3">
        <v>-0.1281112944276584</v>
      </c>
      <c r="BF22" s="3">
        <v>-6.8274694329917812E-2</v>
      </c>
      <c r="BG22" s="3">
        <v>4.6279512168386029E-2</v>
      </c>
      <c r="BH22" s="3">
        <v>9.6564663399318351E-3</v>
      </c>
      <c r="BI22" s="3">
        <v>1.7540795032593311E-2</v>
      </c>
      <c r="BJ22" s="3">
        <v>4.0877714878813157E-2</v>
      </c>
      <c r="BK22" s="3">
        <v>4.831524105166432E-2</v>
      </c>
      <c r="BL22" s="3">
        <v>0.19567876249087879</v>
      </c>
      <c r="BM22" s="3">
        <v>0.10808023636486939</v>
      </c>
      <c r="BN22" s="3">
        <v>9.7900329238010148E-2</v>
      </c>
      <c r="BO22" s="3">
        <v>-9.2277713600133218E-2</v>
      </c>
      <c r="BP22" s="3">
        <v>8.0067784402279879E-2</v>
      </c>
      <c r="BQ22" s="3">
        <v>7.7351978271746183E-2</v>
      </c>
      <c r="BR22" s="3">
        <v>2.0827019985354332E-2</v>
      </c>
      <c r="BS22" s="3">
        <v>-3.1606202279239173E-2</v>
      </c>
      <c r="BT22" s="3">
        <v>0.10742677406449409</v>
      </c>
      <c r="BU22" s="3">
        <v>-0.1526674050479728</v>
      </c>
      <c r="BV22" s="3">
        <v>5.1095636715343257E-4</v>
      </c>
      <c r="BW22" s="3">
        <v>0.51753358285080375</v>
      </c>
      <c r="BX22" s="3">
        <v>7.1978018305067684E-2</v>
      </c>
      <c r="BY22" s="3">
        <v>-6.2466724529553042E-2</v>
      </c>
      <c r="BZ22" s="3">
        <v>-0.27962933884715457</v>
      </c>
      <c r="CA22" s="3">
        <v>0.25297467918802918</v>
      </c>
      <c r="CB22" s="3">
        <v>-4.3804174111903668E-2</v>
      </c>
      <c r="CC22" s="3">
        <v>-0.1875957329537572</v>
      </c>
      <c r="CD22" s="3">
        <v>9.8739627635233085E-2</v>
      </c>
      <c r="CE22" s="3">
        <v>-0.45437992056022231</v>
      </c>
      <c r="CF22" s="3">
        <v>0.102508103348962</v>
      </c>
      <c r="CG22" s="3">
        <v>0.30280912081577271</v>
      </c>
      <c r="CH22" s="3">
        <v>-2.6427162503829611E-2</v>
      </c>
      <c r="CI22" s="3">
        <v>-3.5613359143686137E-2</v>
      </c>
      <c r="CJ22" s="3">
        <v>-0.2086692910689549</v>
      </c>
      <c r="CK22" s="3">
        <v>5.7710985305578499E-4</v>
      </c>
      <c r="CL22" s="3">
        <v>0.49541388483301863</v>
      </c>
      <c r="CM22" s="3">
        <v>-3.5471159765653799E-2</v>
      </c>
      <c r="CN22" s="3">
        <v>3.078058338277545E-2</v>
      </c>
      <c r="CO22" s="3">
        <v>-0.40281884348616209</v>
      </c>
      <c r="CP22" s="3">
        <v>-6.2505224372433638E-2</v>
      </c>
      <c r="CQ22" s="3">
        <v>3.832167479166966E-2</v>
      </c>
      <c r="CR22" s="3">
        <v>-4.4739600323238288E-2</v>
      </c>
      <c r="CS22" s="3">
        <v>6.8236066991472957E-2</v>
      </c>
      <c r="CT22" s="3">
        <v>9.5120869107279821E-2</v>
      </c>
      <c r="CU22" s="3">
        <v>-5.7338505454889374E-3</v>
      </c>
      <c r="CV22" s="3">
        <v>7.8063151922082755E-2</v>
      </c>
      <c r="CW22" s="3">
        <v>2.9961109309435231E-2</v>
      </c>
      <c r="CX22" s="3">
        <v>4.5295208991449121E-2</v>
      </c>
      <c r="CY22" s="3">
        <v>-4.2966879436222988E-2</v>
      </c>
      <c r="CZ22" s="3">
        <v>0.18697885232936701</v>
      </c>
      <c r="DA22" s="3">
        <v>2.2473098166241889E-2</v>
      </c>
      <c r="DB22" s="3">
        <v>-5.4041621710522049E-2</v>
      </c>
      <c r="DC22" s="3">
        <v>-2.4083459890003728E-2</v>
      </c>
      <c r="DD22" s="3">
        <v>-5.6721151604857169E-2</v>
      </c>
      <c r="DE22" s="3">
        <v>-9.8816590446080155E-2</v>
      </c>
      <c r="DF22" s="3">
        <v>0.38966763369412349</v>
      </c>
      <c r="DG22" s="3">
        <v>-7.4791031782706352E-2</v>
      </c>
      <c r="DH22" s="3">
        <v>0.1074336101253462</v>
      </c>
      <c r="DI22" s="3">
        <v>0.22468946661427019</v>
      </c>
      <c r="DJ22" s="3">
        <v>-3.8617370743096083E-2</v>
      </c>
      <c r="DK22" s="3">
        <v>3.9793055568936718E-2</v>
      </c>
      <c r="DL22" s="3">
        <v>0.12494360701766111</v>
      </c>
      <c r="DM22" s="3">
        <v>-1.9996291673307021E-2</v>
      </c>
      <c r="DN22" s="3">
        <v>1.0117600642261439E-2</v>
      </c>
      <c r="DO22" s="3">
        <v>-7.6824978294130541E-2</v>
      </c>
      <c r="DP22" s="3">
        <v>-3.8861921425484378E-2</v>
      </c>
      <c r="DQ22" s="3">
        <v>-0.15526187179842441</v>
      </c>
      <c r="DR22" s="3">
        <v>7.1236299673135633E-2</v>
      </c>
      <c r="DS22" s="3">
        <v>0.26513443223602767</v>
      </c>
      <c r="DT22" s="3">
        <v>-0.1109620063677149</v>
      </c>
      <c r="DU22" s="3">
        <v>-6.931359564590403E-2</v>
      </c>
      <c r="DV22" s="3">
        <v>-9.2506420341175538E-2</v>
      </c>
      <c r="DW22" s="3">
        <v>1.119135840527373E-2</v>
      </c>
      <c r="DX22" s="3">
        <v>0.17726337258765951</v>
      </c>
      <c r="DY22" s="3">
        <v>0.23796028914737949</v>
      </c>
      <c r="DZ22" s="3">
        <v>2.179721616120317E-3</v>
      </c>
      <c r="EA22" s="3">
        <v>0.1096635278114628</v>
      </c>
      <c r="EB22" s="3">
        <v>8.8418446252773897E-2</v>
      </c>
      <c r="EC22" s="3">
        <v>8.808544742642449E-2</v>
      </c>
      <c r="ED22" s="3">
        <v>-0.12755978895247419</v>
      </c>
      <c r="EE22" s="3">
        <v>-1.670262802637313E-3</v>
      </c>
      <c r="EF22" s="3">
        <v>-5.918581849149978E-2</v>
      </c>
      <c r="EG22" s="3">
        <v>-0.73770718935007829</v>
      </c>
      <c r="EH22" s="3">
        <v>1.2167207592622331E-2</v>
      </c>
      <c r="EI22" s="3">
        <v>9.8367297462538701E-3</v>
      </c>
      <c r="EJ22" s="3">
        <v>4.3268457333161307E-2</v>
      </c>
      <c r="EK22" s="3">
        <v>-5.726193844553823E-2</v>
      </c>
      <c r="EL22" s="3">
        <v>-0.14315607731487029</v>
      </c>
      <c r="EM22">
        <f t="shared" si="11"/>
        <v>5.6517573657202348E-3</v>
      </c>
      <c r="EN22">
        <f t="shared" si="12"/>
        <v>0.15909656564652649</v>
      </c>
      <c r="EO22">
        <f t="shared" si="13"/>
        <v>3.5524068937333647E-2</v>
      </c>
    </row>
    <row r="23" spans="1:145" x14ac:dyDescent="0.3">
      <c r="A23" s="18">
        <v>512</v>
      </c>
      <c r="B23" s="18">
        <f t="shared" si="10"/>
        <v>2</v>
      </c>
      <c r="C23" s="3">
        <v>2.85838949887589E-2</v>
      </c>
      <c r="D23" s="3">
        <v>5.1942903124710671E-2</v>
      </c>
      <c r="E23" s="3">
        <v>-2.3773099352188579E-2</v>
      </c>
      <c r="F23" s="3">
        <v>0.14388341578578401</v>
      </c>
      <c r="G23" s="3">
        <v>-9.1913585714792828E-2</v>
      </c>
      <c r="H23" s="3">
        <v>-1.8188470841484668E-2</v>
      </c>
      <c r="I23" s="3">
        <v>0.25570287206557712</v>
      </c>
      <c r="J23" s="3">
        <v>0.1120353509707598</v>
      </c>
      <c r="K23" s="3">
        <v>-0.16911721623834369</v>
      </c>
      <c r="L23" s="3">
        <v>-0.23244436104246219</v>
      </c>
      <c r="M23" s="3">
        <v>-0.14728696802749691</v>
      </c>
      <c r="N23" s="3">
        <v>0.1473430061236311</v>
      </c>
      <c r="O23" s="3">
        <v>-2.3021517522107062E-3</v>
      </c>
      <c r="P23" s="3">
        <v>-5.46815260345479E-2</v>
      </c>
      <c r="Q23" s="3">
        <v>0.12030220542956831</v>
      </c>
      <c r="R23" s="3">
        <v>-6.2821977969761703E-2</v>
      </c>
      <c r="S23" s="3">
        <v>-0.1137245328272621</v>
      </c>
      <c r="T23" s="3">
        <v>-3.9614189164827618E-2</v>
      </c>
      <c r="U23" s="3">
        <v>0.1939598632503596</v>
      </c>
      <c r="V23" s="3">
        <v>0.16529276572388771</v>
      </c>
      <c r="W23" s="3">
        <v>-0.13653490355992831</v>
      </c>
      <c r="X23" s="3">
        <v>0.1817811857978229</v>
      </c>
      <c r="Y23" s="3">
        <v>8.1246060957765015E-2</v>
      </c>
      <c r="Z23" s="3">
        <v>-1.5495125421108231E-3</v>
      </c>
      <c r="AA23" s="3">
        <v>-0.10593171872482771</v>
      </c>
      <c r="AB23" s="3">
        <v>-0.14897520396148331</v>
      </c>
      <c r="AC23" s="3">
        <v>-0.173320094797487</v>
      </c>
      <c r="AD23" s="3">
        <v>-1.7187803589621329E-2</v>
      </c>
      <c r="AE23" s="3">
        <v>-0.29504182790807898</v>
      </c>
      <c r="AF23" s="3">
        <v>0.17321352204685059</v>
      </c>
      <c r="AG23" s="3">
        <v>-0.21060555382725649</v>
      </c>
      <c r="AH23" s="3">
        <v>-3.7279490370669702E-2</v>
      </c>
      <c r="AI23" s="3">
        <v>2.3228266622481949E-2</v>
      </c>
      <c r="AJ23" s="3">
        <v>2.3587440294024171E-2</v>
      </c>
      <c r="AK23" s="3">
        <v>0.11411109934719101</v>
      </c>
      <c r="AL23" s="3">
        <v>5.0760011006430988E-2</v>
      </c>
      <c r="AM23" s="3">
        <v>7.769489004865255E-3</v>
      </c>
      <c r="AN23" s="3">
        <v>-0.24231469935730071</v>
      </c>
      <c r="AO23" s="3">
        <v>3.2134598262233353E-2</v>
      </c>
      <c r="AP23" s="3">
        <v>-9.2917766517353895E-2</v>
      </c>
      <c r="AQ23" s="3">
        <v>8.9424992259610633E-2</v>
      </c>
      <c r="AR23" s="3">
        <v>0.33674404384506768</v>
      </c>
      <c r="AS23" s="3">
        <v>6.2783843657924859E-2</v>
      </c>
      <c r="AT23" s="3">
        <v>-1.6951230815730939E-2</v>
      </c>
      <c r="AU23" s="3">
        <v>3.7420226835483753E-2</v>
      </c>
      <c r="AV23" s="3">
        <v>-0.15047651129726911</v>
      </c>
      <c r="AW23" s="3">
        <v>0.32642827270511449</v>
      </c>
      <c r="AX23" s="3">
        <v>-1.4812779008540821E-2</v>
      </c>
      <c r="AY23" s="3">
        <v>-0.1261286397305964</v>
      </c>
      <c r="AZ23" s="3">
        <v>7.8071576521207053E-2</v>
      </c>
      <c r="BA23" s="3">
        <v>-9.6467800801007808E-3</v>
      </c>
      <c r="BB23" s="3">
        <v>-5.1049484102885123E-2</v>
      </c>
      <c r="BC23" s="3">
        <v>-0.30082824917306578</v>
      </c>
      <c r="BD23" s="3">
        <v>6.5076817165660855E-2</v>
      </c>
      <c r="BE23" s="3">
        <v>-0.17597478112933951</v>
      </c>
      <c r="BF23" s="3">
        <v>-5.0110962021610701E-2</v>
      </c>
      <c r="BG23" s="3">
        <v>7.4761471196752541E-2</v>
      </c>
      <c r="BH23" s="3">
        <v>-5.3596863934990302E-2</v>
      </c>
      <c r="BI23" s="3">
        <v>-8.1416879871558698E-2</v>
      </c>
      <c r="BJ23" s="3">
        <v>6.3272344331938388E-2</v>
      </c>
      <c r="BK23" s="3">
        <v>4.7849323301188178E-2</v>
      </c>
      <c r="BL23" s="3">
        <v>0.2109600313636607</v>
      </c>
      <c r="BM23" s="3">
        <v>-2.5037461791718039E-2</v>
      </c>
      <c r="BN23" s="3">
        <v>4.7083686754103692E-3</v>
      </c>
      <c r="BO23" s="3">
        <v>-0.19280643096294561</v>
      </c>
      <c r="BP23" s="3">
        <v>0.14328953955384841</v>
      </c>
      <c r="BQ23" s="3">
        <v>0.1042594606837233</v>
      </c>
      <c r="BR23" s="3">
        <v>2.4393962323800509E-2</v>
      </c>
      <c r="BS23" s="3">
        <v>-4.9207723386484208E-2</v>
      </c>
      <c r="BT23" s="3">
        <v>0.1150526881847086</v>
      </c>
      <c r="BU23" s="3">
        <v>-0.23163287017673859</v>
      </c>
      <c r="BV23" s="3">
        <v>1.7018950875927849E-2</v>
      </c>
      <c r="BW23" s="3">
        <v>0.75172452155617908</v>
      </c>
      <c r="BX23" s="3">
        <v>-7.9802590591823735E-2</v>
      </c>
      <c r="BY23" s="3">
        <v>-9.3711269349543963E-2</v>
      </c>
      <c r="BZ23" s="3">
        <v>-0.35239786706502269</v>
      </c>
      <c r="CA23" s="3">
        <v>0.49629383248942283</v>
      </c>
      <c r="CB23" s="3">
        <v>-5.6114329539072832E-2</v>
      </c>
      <c r="CC23" s="3">
        <v>-0.25214379190272651</v>
      </c>
      <c r="CD23" s="3">
        <v>0.1174683164809516</v>
      </c>
      <c r="CE23" s="3">
        <v>-0.56006957897571663</v>
      </c>
      <c r="CF23" s="3">
        <v>0.1676143813103263</v>
      </c>
      <c r="CG23" s="3">
        <v>0.50266725344687857</v>
      </c>
      <c r="CH23" s="3">
        <v>-7.3046097930374615E-2</v>
      </c>
      <c r="CI23" s="3">
        <v>-6.4997663888891943E-2</v>
      </c>
      <c r="CJ23" s="3">
        <v>-0.24860911365428501</v>
      </c>
      <c r="CK23" s="3">
        <v>-1.566645398488407E-3</v>
      </c>
      <c r="CL23" s="3">
        <v>0.34053143333517311</v>
      </c>
      <c r="CM23" s="3">
        <v>-5.1572329591000568E-2</v>
      </c>
      <c r="CN23" s="3">
        <v>2.602429011749285E-3</v>
      </c>
      <c r="CO23" s="3">
        <v>-0.4369130189375362</v>
      </c>
      <c r="CP23" s="3">
        <v>-3.0768383659631419E-2</v>
      </c>
      <c r="CQ23" s="3">
        <v>6.6799436676195534E-2</v>
      </c>
      <c r="CR23" s="3">
        <v>-1.6288977447992781E-3</v>
      </c>
      <c r="CS23" s="3">
        <v>-5.2840662182840267E-3</v>
      </c>
      <c r="CT23" s="3">
        <v>0.1038849588782232</v>
      </c>
      <c r="CU23" s="3">
        <v>1.6525255682172519E-2</v>
      </c>
      <c r="CV23" s="3">
        <v>4.4376370652955389E-2</v>
      </c>
      <c r="CW23" s="3">
        <v>-7.2796851228351667E-4</v>
      </c>
      <c r="CX23" s="3">
        <v>5.3320205627319532E-2</v>
      </c>
      <c r="CY23" s="3">
        <v>-5.9469725006769253E-2</v>
      </c>
      <c r="CZ23" s="3">
        <v>6.52926684533916E-2</v>
      </c>
      <c r="DA23" s="3">
        <v>2.5018510994155991E-2</v>
      </c>
      <c r="DB23" s="3">
        <v>-1.8747066443219641E-2</v>
      </c>
      <c r="DC23" s="3">
        <v>0.114152472901645</v>
      </c>
      <c r="DD23" s="3">
        <v>-2.249858914365245E-2</v>
      </c>
      <c r="DE23" s="3">
        <v>-0.141445299859559</v>
      </c>
      <c r="DF23" s="3">
        <v>0.40879492056092032</v>
      </c>
      <c r="DG23" s="3">
        <v>-2.962550091989281E-2</v>
      </c>
      <c r="DH23" s="3">
        <v>5.5413447308742453E-2</v>
      </c>
      <c r="DI23" s="3">
        <v>9.2924308916942908E-2</v>
      </c>
      <c r="DJ23" s="3">
        <v>-1.0918316728030919E-2</v>
      </c>
      <c r="DK23" s="3">
        <v>0.27783321655884308</v>
      </c>
      <c r="DL23" s="3">
        <v>6.3010369397463739E-2</v>
      </c>
      <c r="DM23" s="3">
        <v>1.345327574630702E-2</v>
      </c>
      <c r="DN23" s="3">
        <v>0.17592581317045269</v>
      </c>
      <c r="DO23" s="3">
        <v>-0.12573218534656561</v>
      </c>
      <c r="DP23" s="3">
        <v>6.0951311724493133E-2</v>
      </c>
      <c r="DQ23" s="3">
        <v>-0.1284444401968855</v>
      </c>
      <c r="DR23" s="3">
        <v>0.1024257952350012</v>
      </c>
      <c r="DS23" s="3">
        <v>0.2177358419514179</v>
      </c>
      <c r="DT23" s="3">
        <v>-0.15706312203694081</v>
      </c>
      <c r="DU23" s="3">
        <v>1.655987804139988E-2</v>
      </c>
      <c r="DV23" s="3">
        <v>8.1332536152743107E-3</v>
      </c>
      <c r="DW23" s="3">
        <v>-6.856609414432252E-3</v>
      </c>
      <c r="DX23" s="3">
        <v>0.31944909562846269</v>
      </c>
      <c r="DY23" s="3">
        <v>0.2022841265369463</v>
      </c>
      <c r="DZ23" s="3">
        <v>-6.055537507254137E-2</v>
      </c>
      <c r="EA23" s="3">
        <v>0.1093313752764352</v>
      </c>
      <c r="EB23" s="3">
        <v>9.3783380151908194E-2</v>
      </c>
      <c r="EC23" s="3">
        <v>9.3644533160520085E-2</v>
      </c>
      <c r="ED23" s="3">
        <v>-0.11627236735564089</v>
      </c>
      <c r="EE23" s="3">
        <v>-2.7630932662962199E-2</v>
      </c>
      <c r="EF23" s="3">
        <v>-2.9042852826891119E-2</v>
      </c>
      <c r="EG23" s="3">
        <v>-3.0354357497334759E-2</v>
      </c>
      <c r="EH23" s="3">
        <v>-9.9209371656780579E-2</v>
      </c>
      <c r="EI23" s="3">
        <v>1.410284926605136E-2</v>
      </c>
      <c r="EJ23" s="3">
        <v>3.8342924834411311E-2</v>
      </c>
      <c r="EK23" s="3">
        <v>-0.19531266633336039</v>
      </c>
      <c r="EL23" s="3">
        <v>-0.12133614100696651</v>
      </c>
      <c r="EM23">
        <f t="shared" si="11"/>
        <v>9.3120913913534633E-3</v>
      </c>
      <c r="EN23">
        <f t="shared" si="12"/>
        <v>0.17066917203646226</v>
      </c>
      <c r="EO23">
        <f t="shared" si="13"/>
        <v>5.4562234528002518E-2</v>
      </c>
    </row>
    <row r="24" spans="1:145" x14ac:dyDescent="0.3">
      <c r="A24" s="18">
        <v>1051</v>
      </c>
      <c r="B24" s="18">
        <f t="shared" si="10"/>
        <v>1</v>
      </c>
      <c r="C24" s="3">
        <v>0.21132471982430739</v>
      </c>
      <c r="D24" s="3">
        <v>0.1161948322536938</v>
      </c>
      <c r="E24" s="3">
        <v>-7.1400330169296908E-2</v>
      </c>
      <c r="F24" s="3">
        <v>0.22715954663674881</v>
      </c>
      <c r="G24" s="3">
        <v>-0.56885734112344344</v>
      </c>
      <c r="H24" s="3">
        <v>3.5855796654956661E-2</v>
      </c>
      <c r="I24" s="3">
        <v>0.2403862447709158</v>
      </c>
      <c r="J24" s="3">
        <v>-5.4302156076947827E-2</v>
      </c>
      <c r="K24" s="3">
        <v>-0.35965557207686999</v>
      </c>
      <c r="L24" s="3">
        <v>-0.33375944447564659</v>
      </c>
      <c r="M24" s="3">
        <v>-0.21778567303774149</v>
      </c>
      <c r="N24" s="3">
        <v>6.0578119921474508E-2</v>
      </c>
      <c r="O24" s="3">
        <v>3.6648790739543732E-2</v>
      </c>
      <c r="P24" s="3">
        <v>-1.736288864347235E-3</v>
      </c>
      <c r="Q24" s="3">
        <v>2.847135602397292E-3</v>
      </c>
      <c r="R24" s="3">
        <v>2.7822823885088121E-2</v>
      </c>
      <c r="S24" s="3">
        <v>-0.35251446106016437</v>
      </c>
      <c r="T24" s="3">
        <v>7.793839649787318E-2</v>
      </c>
      <c r="U24" s="3">
        <v>0.28585628998140078</v>
      </c>
      <c r="V24" s="3">
        <v>0.11654031671685081</v>
      </c>
      <c r="W24" s="3">
        <v>-0.64293352860565944</v>
      </c>
      <c r="X24" s="3">
        <v>-3.6157896361251968E-2</v>
      </c>
      <c r="Y24" s="3">
        <v>0.1203174930645305</v>
      </c>
      <c r="Z24" s="3">
        <v>-2.439454874957615E-2</v>
      </c>
      <c r="AA24" s="3">
        <v>-9.4359582813794432E-2</v>
      </c>
      <c r="AB24" s="3">
        <v>-0.18425142266877839</v>
      </c>
      <c r="AC24" s="3">
        <v>-0.24616895878469969</v>
      </c>
      <c r="AD24" s="3">
        <v>-0.46807019051584892</v>
      </c>
      <c r="AE24" s="3">
        <v>5.1620070258792117E-2</v>
      </c>
      <c r="AF24" s="3">
        <v>0.16570377964654229</v>
      </c>
      <c r="AG24" s="3">
        <v>-0.48921646000461771</v>
      </c>
      <c r="AH24" s="3">
        <v>6.8613799461397618E-2</v>
      </c>
      <c r="AI24" s="3">
        <v>-8.8083310984272967E-3</v>
      </c>
      <c r="AJ24" s="3">
        <v>8.5435201790864113E-2</v>
      </c>
      <c r="AK24" s="3">
        <v>8.4883953068192297E-2</v>
      </c>
      <c r="AL24" s="3">
        <v>8.7173701476634946E-2</v>
      </c>
      <c r="AM24" s="3">
        <v>-1.89192814205267E-2</v>
      </c>
      <c r="AN24" s="3">
        <v>-0.22118946514543131</v>
      </c>
      <c r="AO24" s="3">
        <v>-8.2691715845113409E-2</v>
      </c>
      <c r="AP24" s="3">
        <v>-2.28517154890964E-2</v>
      </c>
      <c r="AQ24" s="3">
        <v>4.7076972834245667E-2</v>
      </c>
      <c r="AR24" s="3">
        <v>9.6392566076069844E-3</v>
      </c>
      <c r="AS24" s="3">
        <v>5.9514127532407722E-2</v>
      </c>
      <c r="AT24" s="3">
        <v>-5.9286095890559252E-3</v>
      </c>
      <c r="AU24" s="3">
        <v>-4.4095319865224331E-2</v>
      </c>
      <c r="AV24" s="3">
        <v>-0.24768466023032751</v>
      </c>
      <c r="AW24" s="3">
        <v>0.1203029234068482</v>
      </c>
      <c r="AX24" s="3">
        <v>0.1114913369162155</v>
      </c>
      <c r="AY24" s="3">
        <v>-0.1180153788734402</v>
      </c>
      <c r="AZ24" s="3">
        <v>0.11862372507117649</v>
      </c>
      <c r="BA24" s="3">
        <v>5.3794732084633153E-2</v>
      </c>
      <c r="BB24" s="3">
        <v>-8.6159033395334803E-2</v>
      </c>
      <c r="BC24" s="3">
        <v>-0.8032160130443774</v>
      </c>
      <c r="BD24" s="3">
        <v>1.8631034086863729E-2</v>
      </c>
      <c r="BE24" s="3">
        <v>-0.18948899555826529</v>
      </c>
      <c r="BF24" s="3">
        <v>-8.001195027253441E-2</v>
      </c>
      <c r="BG24" s="3">
        <v>2.6835965866310919E-2</v>
      </c>
      <c r="BH24" s="3">
        <v>-9.5694510161506985E-3</v>
      </c>
      <c r="BI24" s="3">
        <v>-0.14021392875864461</v>
      </c>
      <c r="BJ24" s="3">
        <v>-3.3483157548845829E-3</v>
      </c>
      <c r="BK24" s="3">
        <v>3.4827647172774007E-2</v>
      </c>
      <c r="BL24" s="3">
        <v>0.31716429392471662</v>
      </c>
      <c r="BM24" s="3">
        <v>1.1473019117737151E-2</v>
      </c>
      <c r="BN24" s="3">
        <v>6.849341845574783E-3</v>
      </c>
      <c r="BO24" s="3">
        <v>-0.16110969109564191</v>
      </c>
      <c r="BP24" s="3">
        <v>0.1233511811293219</v>
      </c>
      <c r="BQ24" s="3">
        <v>-6.4169633330115036E-2</v>
      </c>
      <c r="BR24" s="3">
        <v>4.2356223303417713E-2</v>
      </c>
      <c r="BS24" s="3">
        <v>-1.284717484456964E-3</v>
      </c>
      <c r="BT24" s="3">
        <v>0.1162706960541873</v>
      </c>
      <c r="BU24" s="3">
        <v>-8.7484923148454363E-3</v>
      </c>
      <c r="BV24" s="3">
        <v>0.20330415183045039</v>
      </c>
      <c r="BW24" s="3">
        <v>1.109012070037362</v>
      </c>
      <c r="BX24" s="3">
        <v>-6.7434721383990356E-2</v>
      </c>
      <c r="BY24" s="3">
        <v>0.1185260960376882</v>
      </c>
      <c r="BZ24" s="3">
        <v>-0.81395802674252182</v>
      </c>
      <c r="CA24" s="3">
        <v>8.5352138787233134E-2</v>
      </c>
      <c r="CB24" s="3">
        <v>-5.291730705216989E-2</v>
      </c>
      <c r="CC24" s="3">
        <v>-9.4132184996236351E-3</v>
      </c>
      <c r="CD24" s="3">
        <v>1.8443350750769021E-2</v>
      </c>
      <c r="CE24" s="3">
        <v>-7.3675901971975016E-2</v>
      </c>
      <c r="CF24" s="3">
        <v>0.1168153946325929</v>
      </c>
      <c r="CG24" s="3">
        <v>0.23727783485992521</v>
      </c>
      <c r="CH24" s="3">
        <v>-0.10127492777931051</v>
      </c>
      <c r="CI24" s="3">
        <v>-4.707262470500502E-2</v>
      </c>
      <c r="CJ24" s="3">
        <v>-0.40875838062707592</v>
      </c>
      <c r="CK24" s="3">
        <v>-1.14059564490683E-2</v>
      </c>
      <c r="CL24" s="3">
        <v>0.65620131069974008</v>
      </c>
      <c r="CM24" s="3">
        <v>-0.23495953986462789</v>
      </c>
      <c r="CN24" s="3">
        <v>-9.0548656975183314E-2</v>
      </c>
      <c r="CO24" s="3">
        <v>-0.71572900872536049</v>
      </c>
      <c r="CP24" s="3">
        <v>-3.8014899190810539E-2</v>
      </c>
      <c r="CQ24" s="3">
        <v>0.26665353621529958</v>
      </c>
      <c r="CR24" s="3">
        <v>-2.2126279793981289E-2</v>
      </c>
      <c r="CS24" s="3">
        <v>-0.15934835928025581</v>
      </c>
      <c r="CT24" s="3">
        <v>0.38294619462484147</v>
      </c>
      <c r="CU24" s="3">
        <v>-0.14645564360545801</v>
      </c>
      <c r="CV24" s="3">
        <v>0.1031063212404506</v>
      </c>
      <c r="CW24" s="3">
        <v>3.9824871292930469E-2</v>
      </c>
      <c r="CX24" s="3">
        <v>-7.5681145539315542E-2</v>
      </c>
      <c r="CY24" s="3">
        <v>3.8516131062231278E-2</v>
      </c>
      <c r="CZ24" s="3">
        <v>0.13589801409234711</v>
      </c>
      <c r="DA24" s="3">
        <v>3.3979585092453302E-2</v>
      </c>
      <c r="DB24" s="3">
        <v>1.6501865848996312E-2</v>
      </c>
      <c r="DC24" s="3">
        <v>0.19445359829121789</v>
      </c>
      <c r="DD24" s="3">
        <v>-2.3668650102661591E-3</v>
      </c>
      <c r="DE24" s="3">
        <v>-0.22421824244397531</v>
      </c>
      <c r="DF24" s="3">
        <v>0.52558500614449799</v>
      </c>
      <c r="DG24" s="3">
        <v>-0.11954528640013271</v>
      </c>
      <c r="DH24" s="3">
        <v>9.936698049993925E-2</v>
      </c>
      <c r="DI24" s="3">
        <v>0.14201474180538359</v>
      </c>
      <c r="DJ24" s="3">
        <v>-0.13248861050923971</v>
      </c>
      <c r="DK24" s="3">
        <v>0.33950921063044381</v>
      </c>
      <c r="DL24" s="3">
        <v>0.21310442628588119</v>
      </c>
      <c r="DM24" s="3">
        <v>-8.1409543633570974E-2</v>
      </c>
      <c r="DN24" s="3">
        <v>0.1369604546370787</v>
      </c>
      <c r="DO24" s="3">
        <v>-0.1572878203884783</v>
      </c>
      <c r="DP24" s="3">
        <v>-1.8733007885449279E-2</v>
      </c>
      <c r="DQ24" s="3">
        <v>-0.12982243233474189</v>
      </c>
      <c r="DR24" s="3">
        <v>2.3391731273528969E-2</v>
      </c>
      <c r="DS24" s="3">
        <v>0.51982867985760917</v>
      </c>
      <c r="DT24" s="3">
        <v>-0.1045786638516135</v>
      </c>
      <c r="DU24" s="3">
        <v>-8.3093201700952621E-2</v>
      </c>
      <c r="DV24" s="3">
        <v>9.8046834802625854E-2</v>
      </c>
      <c r="DW24" s="3">
        <v>-0.2422766962946151</v>
      </c>
      <c r="DX24" s="3">
        <v>0.28592948388289841</v>
      </c>
      <c r="DY24" s="3">
        <v>-3.239876608542996E-3</v>
      </c>
      <c r="DZ24" s="3">
        <v>-5.0469182403116652E-2</v>
      </c>
      <c r="EA24" s="3">
        <v>7.7350922227335792E-2</v>
      </c>
      <c r="EB24" s="3">
        <v>2.9582176365294029E-2</v>
      </c>
      <c r="EC24" s="3">
        <v>0.14364347355970919</v>
      </c>
      <c r="ED24" s="3">
        <v>-0.1147491015026024</v>
      </c>
      <c r="EE24" s="3">
        <v>-0.10748065723441801</v>
      </c>
      <c r="EF24" s="3">
        <v>6.7276677043968364E-2</v>
      </c>
      <c r="EG24" s="3">
        <v>7.0451324384900899E-2</v>
      </c>
      <c r="EH24" s="3">
        <v>-0.20538557869251389</v>
      </c>
      <c r="EI24" s="3">
        <v>0.1117442810214329</v>
      </c>
      <c r="EJ24" s="3">
        <v>-6.725982075677317E-3</v>
      </c>
      <c r="EK24" s="3">
        <v>-3.923355085357258E-2</v>
      </c>
      <c r="EL24" s="3">
        <v>6.9056114405587274E-3</v>
      </c>
      <c r="EM24">
        <f t="shared" si="11"/>
        <v>-9.9024248750995206E-3</v>
      </c>
      <c r="EN24">
        <f t="shared" si="12"/>
        <v>0.23780346046022038</v>
      </c>
      <c r="EO24">
        <f t="shared" si="13"/>
        <v>-4.1641214370620953E-2</v>
      </c>
    </row>
    <row r="25" spans="1:145" x14ac:dyDescent="0.3">
      <c r="A25" s="18" t="s">
        <v>154</v>
      </c>
      <c r="B25" s="18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>AVERAGE(C25:EL25)</f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B27" s="17" t="s">
        <v>157</v>
      </c>
      <c r="C27" s="4" t="s">
        <v>158</v>
      </c>
      <c r="D27" s="4" t="s">
        <v>158</v>
      </c>
      <c r="E27" s="4" t="s">
        <v>158</v>
      </c>
      <c r="F27" s="4" t="s">
        <v>158</v>
      </c>
      <c r="G27" s="4" t="s">
        <v>158</v>
      </c>
      <c r="H27" s="4" t="s">
        <v>159</v>
      </c>
      <c r="I27" s="4" t="s">
        <v>160</v>
      </c>
      <c r="J27" s="4" t="s">
        <v>161</v>
      </c>
      <c r="K27" s="4" t="s">
        <v>161</v>
      </c>
      <c r="L27" s="4" t="s">
        <v>162</v>
      </c>
      <c r="M27" s="4" t="s">
        <v>159</v>
      </c>
      <c r="N27" s="4" t="s">
        <v>163</v>
      </c>
      <c r="O27" s="4" t="s">
        <v>162</v>
      </c>
      <c r="P27" s="4" t="s">
        <v>164</v>
      </c>
      <c r="Q27" s="4" t="s">
        <v>164</v>
      </c>
      <c r="R27" s="4" t="s">
        <v>164</v>
      </c>
      <c r="S27" s="4" t="s">
        <v>159</v>
      </c>
      <c r="T27" s="4" t="s">
        <v>165</v>
      </c>
      <c r="U27" s="4" t="s">
        <v>164</v>
      </c>
      <c r="V27" s="4" t="s">
        <v>166</v>
      </c>
      <c r="W27" s="4" t="s">
        <v>167</v>
      </c>
      <c r="X27" s="4" t="s">
        <v>166</v>
      </c>
      <c r="Y27" s="4" t="s">
        <v>164</v>
      </c>
      <c r="Z27" s="4" t="s">
        <v>164</v>
      </c>
      <c r="AA27" s="4" t="s">
        <v>164</v>
      </c>
      <c r="AB27" s="4" t="s">
        <v>164</v>
      </c>
      <c r="AC27" s="4" t="s">
        <v>164</v>
      </c>
      <c r="AD27" s="4" t="s">
        <v>168</v>
      </c>
      <c r="AE27" s="4" t="s">
        <v>169</v>
      </c>
      <c r="AF27" s="4" t="s">
        <v>164</v>
      </c>
      <c r="AG27" s="4" t="s">
        <v>170</v>
      </c>
      <c r="AH27" s="4" t="s">
        <v>164</v>
      </c>
      <c r="AI27" s="4" t="s">
        <v>171</v>
      </c>
      <c r="AJ27" s="4" t="s">
        <v>164</v>
      </c>
      <c r="AK27" s="4" t="s">
        <v>171</v>
      </c>
      <c r="AL27" s="4" t="s">
        <v>164</v>
      </c>
      <c r="AM27" s="4" t="s">
        <v>171</v>
      </c>
      <c r="AN27" s="4" t="s">
        <v>171</v>
      </c>
      <c r="AO27" s="4" t="s">
        <v>164</v>
      </c>
      <c r="AP27" s="4" t="s">
        <v>171</v>
      </c>
      <c r="AQ27" s="4" t="s">
        <v>171</v>
      </c>
      <c r="AR27" s="4" t="s">
        <v>171</v>
      </c>
      <c r="AS27" s="4" t="s">
        <v>169</v>
      </c>
      <c r="AT27" s="4" t="s">
        <v>164</v>
      </c>
      <c r="AU27" s="4" t="s">
        <v>171</v>
      </c>
      <c r="AV27" s="4" t="s">
        <v>172</v>
      </c>
      <c r="AW27" s="4" t="s">
        <v>164</v>
      </c>
      <c r="AX27" s="4" t="s">
        <v>172</v>
      </c>
      <c r="AY27" s="4" t="s">
        <v>165</v>
      </c>
      <c r="AZ27" s="4" t="s">
        <v>164</v>
      </c>
      <c r="BA27" s="4" t="s">
        <v>171</v>
      </c>
      <c r="BB27" s="4" t="s">
        <v>171</v>
      </c>
      <c r="BC27" s="4" t="s">
        <v>171</v>
      </c>
      <c r="BD27" s="4" t="s">
        <v>164</v>
      </c>
      <c r="BE27" s="4" t="s">
        <v>173</v>
      </c>
      <c r="BF27" s="4" t="s">
        <v>174</v>
      </c>
      <c r="BG27" s="4" t="s">
        <v>171</v>
      </c>
      <c r="BH27" s="4" t="s">
        <v>175</v>
      </c>
      <c r="BI27" s="4" t="s">
        <v>176</v>
      </c>
      <c r="BJ27" s="4" t="s">
        <v>171</v>
      </c>
      <c r="BK27" s="4" t="s">
        <v>175</v>
      </c>
      <c r="BL27" s="4" t="s">
        <v>171</v>
      </c>
      <c r="BM27" s="4" t="s">
        <v>171</v>
      </c>
      <c r="BN27" s="4" t="s">
        <v>171</v>
      </c>
      <c r="BO27" s="4" t="s">
        <v>171</v>
      </c>
      <c r="BP27" s="4" t="s">
        <v>171</v>
      </c>
      <c r="BQ27" s="4" t="s">
        <v>171</v>
      </c>
      <c r="BR27" s="4" t="s">
        <v>171</v>
      </c>
      <c r="BS27" s="4" t="s">
        <v>171</v>
      </c>
      <c r="BT27" s="4" t="s">
        <v>171</v>
      </c>
      <c r="BU27" s="4" t="s">
        <v>175</v>
      </c>
      <c r="BV27" s="4" t="s">
        <v>175</v>
      </c>
      <c r="BW27" s="4" t="s">
        <v>175</v>
      </c>
      <c r="BX27" s="4" t="s">
        <v>171</v>
      </c>
      <c r="BY27" s="4" t="s">
        <v>171</v>
      </c>
      <c r="BZ27" s="4" t="s">
        <v>175</v>
      </c>
      <c r="CA27" s="4" t="s">
        <v>177</v>
      </c>
      <c r="CB27" s="4" t="s">
        <v>178</v>
      </c>
      <c r="CC27" s="4" t="s">
        <v>172</v>
      </c>
      <c r="CD27" s="4" t="s">
        <v>179</v>
      </c>
      <c r="CE27" s="4" t="s">
        <v>171</v>
      </c>
      <c r="CF27" s="4" t="s">
        <v>171</v>
      </c>
      <c r="CG27" s="4" t="s">
        <v>179</v>
      </c>
      <c r="CH27" s="4" t="s">
        <v>180</v>
      </c>
      <c r="CI27" s="4" t="s">
        <v>181</v>
      </c>
      <c r="CJ27" s="4" t="s">
        <v>180</v>
      </c>
      <c r="CK27" s="4" t="s">
        <v>179</v>
      </c>
      <c r="CL27" s="4" t="s">
        <v>180</v>
      </c>
      <c r="CM27" s="4" t="s">
        <v>180</v>
      </c>
      <c r="CN27" s="4" t="s">
        <v>180</v>
      </c>
      <c r="CO27" s="4" t="s">
        <v>182</v>
      </c>
      <c r="CP27" s="4" t="s">
        <v>178</v>
      </c>
      <c r="CQ27" s="4" t="s">
        <v>180</v>
      </c>
      <c r="CR27" s="4" t="s">
        <v>179</v>
      </c>
      <c r="CS27" s="4" t="s">
        <v>182</v>
      </c>
      <c r="CT27" s="4" t="s">
        <v>179</v>
      </c>
      <c r="CU27" s="4" t="s">
        <v>178</v>
      </c>
      <c r="CV27" s="4" t="s">
        <v>178</v>
      </c>
      <c r="CW27" s="4" t="s">
        <v>178</v>
      </c>
      <c r="CX27" s="4" t="s">
        <v>183</v>
      </c>
      <c r="CY27" s="4" t="s">
        <v>171</v>
      </c>
      <c r="CZ27" s="4" t="s">
        <v>184</v>
      </c>
      <c r="DA27" s="4" t="s">
        <v>183</v>
      </c>
      <c r="DB27" s="4" t="s">
        <v>185</v>
      </c>
      <c r="DC27" s="4" t="s">
        <v>171</v>
      </c>
      <c r="DD27" s="4" t="s">
        <v>183</v>
      </c>
      <c r="DE27" s="4" t="s">
        <v>184</v>
      </c>
      <c r="DF27" s="4" t="s">
        <v>171</v>
      </c>
      <c r="DG27" s="4" t="s">
        <v>185</v>
      </c>
      <c r="DH27" s="4" t="s">
        <v>171</v>
      </c>
      <c r="DI27" s="4" t="s">
        <v>184</v>
      </c>
      <c r="DJ27" s="4" t="s">
        <v>171</v>
      </c>
      <c r="DK27" s="4" t="s">
        <v>171</v>
      </c>
      <c r="DL27" s="4" t="s">
        <v>171</v>
      </c>
      <c r="DM27" s="4" t="s">
        <v>186</v>
      </c>
      <c r="DN27" s="4" t="s">
        <v>187</v>
      </c>
      <c r="DO27" s="4" t="s">
        <v>184</v>
      </c>
      <c r="DP27" s="4" t="s">
        <v>188</v>
      </c>
      <c r="DQ27" s="4" t="s">
        <v>187</v>
      </c>
      <c r="DR27" s="4" t="s">
        <v>188</v>
      </c>
      <c r="DS27" s="4" t="s">
        <v>180</v>
      </c>
      <c r="DT27" s="4" t="s">
        <v>180</v>
      </c>
      <c r="DU27" s="4" t="s">
        <v>180</v>
      </c>
      <c r="DV27" s="4" t="s">
        <v>184</v>
      </c>
      <c r="DW27" s="4" t="s">
        <v>189</v>
      </c>
      <c r="DX27" s="4" t="s">
        <v>179</v>
      </c>
      <c r="DY27" s="4" t="s">
        <v>184</v>
      </c>
      <c r="DZ27" s="4" t="s">
        <v>189</v>
      </c>
      <c r="EA27" s="4" t="s">
        <v>189</v>
      </c>
      <c r="EB27" s="4" t="s">
        <v>189</v>
      </c>
      <c r="EC27" s="4" t="s">
        <v>184</v>
      </c>
      <c r="ED27" s="4" t="s">
        <v>189</v>
      </c>
      <c r="EE27" s="4" t="s">
        <v>184</v>
      </c>
      <c r="EF27" s="4" t="s">
        <v>185</v>
      </c>
      <c r="EG27" s="4" t="s">
        <v>190</v>
      </c>
      <c r="EH27" s="4" t="s">
        <v>190</v>
      </c>
      <c r="EI27" s="4" t="s">
        <v>184</v>
      </c>
      <c r="EJ27" s="4" t="s">
        <v>184</v>
      </c>
      <c r="EK27" s="4" t="s">
        <v>189</v>
      </c>
      <c r="EL27" s="4" t="s">
        <v>190</v>
      </c>
      <c r="EM27" t="s">
        <v>191</v>
      </c>
    </row>
    <row r="28" spans="1:145" x14ac:dyDescent="0.3">
      <c r="B28" s="17" t="s">
        <v>192</v>
      </c>
      <c r="C28" s="4" t="s">
        <v>193</v>
      </c>
      <c r="D28" s="4" t="s">
        <v>193</v>
      </c>
      <c r="E28" s="4" t="s">
        <v>193</v>
      </c>
      <c r="F28" s="4" t="s">
        <v>193</v>
      </c>
      <c r="G28" s="4" t="s">
        <v>193</v>
      </c>
      <c r="H28" s="4" t="s">
        <v>194</v>
      </c>
      <c r="I28" s="4" t="s">
        <v>195</v>
      </c>
      <c r="J28" s="4" t="s">
        <v>196</v>
      </c>
      <c r="K28" s="4" t="s">
        <v>196</v>
      </c>
      <c r="L28" s="4" t="s">
        <v>197</v>
      </c>
      <c r="M28" s="4" t="s">
        <v>194</v>
      </c>
      <c r="N28" s="4" t="s">
        <v>198</v>
      </c>
      <c r="O28" s="4" t="s">
        <v>197</v>
      </c>
      <c r="P28" s="4" t="s">
        <v>199</v>
      </c>
      <c r="Q28" s="4" t="s">
        <v>199</v>
      </c>
      <c r="R28" s="4" t="s">
        <v>199</v>
      </c>
      <c r="S28" s="4" t="s">
        <v>194</v>
      </c>
      <c r="T28" s="4" t="s">
        <v>200</v>
      </c>
      <c r="U28" s="4" t="s">
        <v>199</v>
      </c>
      <c r="V28" s="4" t="s">
        <v>201</v>
      </c>
      <c r="W28" s="4" t="s">
        <v>202</v>
      </c>
      <c r="X28" s="4" t="s">
        <v>201</v>
      </c>
      <c r="Y28" s="4" t="s">
        <v>199</v>
      </c>
      <c r="Z28" s="4" t="s">
        <v>199</v>
      </c>
      <c r="AA28" s="4" t="s">
        <v>199</v>
      </c>
      <c r="AB28" s="4" t="s">
        <v>199</v>
      </c>
      <c r="AC28" s="4" t="s">
        <v>199</v>
      </c>
      <c r="AD28" s="4" t="s">
        <v>203</v>
      </c>
      <c r="AE28" s="4" t="s">
        <v>204</v>
      </c>
      <c r="AF28" s="4" t="s">
        <v>199</v>
      </c>
      <c r="AG28" s="4" t="s">
        <v>205</v>
      </c>
      <c r="AH28" s="4" t="s">
        <v>199</v>
      </c>
      <c r="AI28" s="4" t="s">
        <v>206</v>
      </c>
      <c r="AJ28" s="4" t="s">
        <v>199</v>
      </c>
      <c r="AK28" s="4" t="s">
        <v>206</v>
      </c>
      <c r="AL28" s="4" t="s">
        <v>199</v>
      </c>
      <c r="AM28" s="4" t="s">
        <v>206</v>
      </c>
      <c r="AN28" s="4" t="s">
        <v>206</v>
      </c>
      <c r="AO28" s="4" t="s">
        <v>199</v>
      </c>
      <c r="AP28" s="4" t="s">
        <v>206</v>
      </c>
      <c r="AQ28" s="4" t="s">
        <v>206</v>
      </c>
      <c r="AR28" s="4" t="s">
        <v>206</v>
      </c>
      <c r="AS28" s="4" t="s">
        <v>204</v>
      </c>
      <c r="AT28" s="4" t="s">
        <v>199</v>
      </c>
      <c r="AU28" s="4" t="s">
        <v>206</v>
      </c>
      <c r="AV28" s="4" t="s">
        <v>207</v>
      </c>
      <c r="AW28" s="4" t="s">
        <v>199</v>
      </c>
      <c r="AX28" s="4" t="s">
        <v>207</v>
      </c>
      <c r="AY28" s="4" t="s">
        <v>200</v>
      </c>
      <c r="AZ28" s="4" t="s">
        <v>199</v>
      </c>
      <c r="BA28" s="4" t="s">
        <v>206</v>
      </c>
      <c r="BB28" s="4" t="s">
        <v>206</v>
      </c>
      <c r="BC28" s="4" t="s">
        <v>206</v>
      </c>
      <c r="BD28" s="4" t="s">
        <v>199</v>
      </c>
      <c r="BE28" s="4" t="s">
        <v>208</v>
      </c>
      <c r="BF28" s="4" t="s">
        <v>209</v>
      </c>
      <c r="BG28" s="4" t="s">
        <v>206</v>
      </c>
      <c r="BH28" s="4" t="s">
        <v>210</v>
      </c>
      <c r="BI28" s="4" t="s">
        <v>211</v>
      </c>
      <c r="BJ28" s="4" t="s">
        <v>206</v>
      </c>
      <c r="BK28" s="4" t="s">
        <v>210</v>
      </c>
      <c r="BL28" s="4" t="s">
        <v>206</v>
      </c>
      <c r="BM28" s="4" t="s">
        <v>206</v>
      </c>
      <c r="BN28" s="4" t="s">
        <v>206</v>
      </c>
      <c r="BO28" s="4" t="s">
        <v>206</v>
      </c>
      <c r="BP28" s="4" t="s">
        <v>206</v>
      </c>
      <c r="BQ28" s="4" t="s">
        <v>206</v>
      </c>
      <c r="BR28" s="4" t="s">
        <v>206</v>
      </c>
      <c r="BS28" s="4" t="s">
        <v>206</v>
      </c>
      <c r="BT28" s="4" t="s">
        <v>206</v>
      </c>
      <c r="BU28" s="4" t="s">
        <v>210</v>
      </c>
      <c r="BV28" s="4" t="s">
        <v>210</v>
      </c>
      <c r="BW28" s="4" t="s">
        <v>210</v>
      </c>
      <c r="BX28" s="4" t="s">
        <v>206</v>
      </c>
      <c r="BY28" s="4" t="s">
        <v>206</v>
      </c>
      <c r="BZ28" s="4" t="s">
        <v>210</v>
      </c>
      <c r="CA28" s="4" t="s">
        <v>212</v>
      </c>
      <c r="CB28" s="4" t="s">
        <v>213</v>
      </c>
      <c r="CC28" s="4" t="s">
        <v>207</v>
      </c>
      <c r="CD28" s="4" t="s">
        <v>214</v>
      </c>
      <c r="CE28" s="4" t="s">
        <v>206</v>
      </c>
      <c r="CF28" s="4" t="s">
        <v>206</v>
      </c>
      <c r="CG28" s="4" t="s">
        <v>214</v>
      </c>
      <c r="CH28" s="4" t="s">
        <v>215</v>
      </c>
      <c r="CI28" s="4" t="s">
        <v>216</v>
      </c>
      <c r="CJ28" s="4" t="s">
        <v>215</v>
      </c>
      <c r="CK28" s="4" t="s">
        <v>214</v>
      </c>
      <c r="CL28" s="4" t="s">
        <v>215</v>
      </c>
      <c r="CM28" s="4" t="s">
        <v>215</v>
      </c>
      <c r="CN28" s="4" t="s">
        <v>215</v>
      </c>
      <c r="CO28" s="4" t="s">
        <v>217</v>
      </c>
      <c r="CP28" s="4" t="s">
        <v>213</v>
      </c>
      <c r="CQ28" s="4" t="s">
        <v>215</v>
      </c>
      <c r="CR28" s="4" t="s">
        <v>214</v>
      </c>
      <c r="CS28" s="4" t="s">
        <v>217</v>
      </c>
      <c r="CT28" s="4" t="s">
        <v>214</v>
      </c>
      <c r="CU28" s="4" t="s">
        <v>213</v>
      </c>
      <c r="CV28" s="4" t="s">
        <v>213</v>
      </c>
      <c r="CW28" s="4" t="s">
        <v>213</v>
      </c>
      <c r="CX28" s="4" t="s">
        <v>218</v>
      </c>
      <c r="CY28" s="4" t="s">
        <v>206</v>
      </c>
      <c r="CZ28" s="4" t="s">
        <v>219</v>
      </c>
      <c r="DA28" s="4" t="s">
        <v>218</v>
      </c>
      <c r="DB28" s="4" t="s">
        <v>220</v>
      </c>
      <c r="DC28" s="4" t="s">
        <v>206</v>
      </c>
      <c r="DD28" s="4" t="s">
        <v>218</v>
      </c>
      <c r="DE28" s="4" t="s">
        <v>219</v>
      </c>
      <c r="DF28" s="4" t="s">
        <v>206</v>
      </c>
      <c r="DG28" s="4" t="s">
        <v>220</v>
      </c>
      <c r="DH28" s="4" t="s">
        <v>206</v>
      </c>
      <c r="DI28" s="4" t="s">
        <v>219</v>
      </c>
      <c r="DJ28" s="4" t="s">
        <v>206</v>
      </c>
      <c r="DK28" s="4" t="s">
        <v>206</v>
      </c>
      <c r="DL28" s="4" t="s">
        <v>206</v>
      </c>
      <c r="DM28" s="4" t="s">
        <v>221</v>
      </c>
      <c r="DN28" s="4" t="s">
        <v>222</v>
      </c>
      <c r="DO28" s="4" t="s">
        <v>219</v>
      </c>
      <c r="DP28" s="4" t="s">
        <v>223</v>
      </c>
      <c r="DQ28" s="4" t="s">
        <v>222</v>
      </c>
      <c r="DR28" s="4" t="s">
        <v>223</v>
      </c>
      <c r="DS28" s="4" t="s">
        <v>215</v>
      </c>
      <c r="DT28" s="4" t="s">
        <v>215</v>
      </c>
      <c r="DU28" s="4" t="s">
        <v>215</v>
      </c>
      <c r="DV28" s="4" t="s">
        <v>219</v>
      </c>
      <c r="DW28" s="4" t="s">
        <v>224</v>
      </c>
      <c r="DX28" s="4" t="s">
        <v>214</v>
      </c>
      <c r="DY28" s="4" t="s">
        <v>219</v>
      </c>
      <c r="DZ28" s="4" t="s">
        <v>224</v>
      </c>
      <c r="EA28" s="4" t="s">
        <v>224</v>
      </c>
      <c r="EB28" s="4" t="s">
        <v>224</v>
      </c>
      <c r="EC28" s="4" t="s">
        <v>219</v>
      </c>
      <c r="ED28" s="4" t="s">
        <v>224</v>
      </c>
      <c r="EE28" s="4" t="s">
        <v>219</v>
      </c>
      <c r="EF28" s="4" t="s">
        <v>220</v>
      </c>
      <c r="EG28" s="4" t="s">
        <v>225</v>
      </c>
      <c r="EH28" s="4" t="s">
        <v>225</v>
      </c>
      <c r="EI28" s="4" t="s">
        <v>219</v>
      </c>
      <c r="EJ28" s="4" t="s">
        <v>219</v>
      </c>
      <c r="EK28" s="4" t="s">
        <v>224</v>
      </c>
      <c r="EL28" s="4" t="s">
        <v>225</v>
      </c>
      <c r="EM28" t="s">
        <v>226</v>
      </c>
    </row>
    <row r="29" spans="1:145" x14ac:dyDescent="0.3">
      <c r="B29" s="17" t="s">
        <v>227</v>
      </c>
      <c r="C29" s="4" t="s">
        <v>228</v>
      </c>
      <c r="D29" s="4" t="s">
        <v>228</v>
      </c>
      <c r="E29" s="4" t="s">
        <v>229</v>
      </c>
      <c r="F29" s="4" t="s">
        <v>229</v>
      </c>
      <c r="G29" s="4" t="s">
        <v>228</v>
      </c>
      <c r="H29" s="4" t="s">
        <v>230</v>
      </c>
      <c r="I29" s="4" t="s">
        <v>231</v>
      </c>
      <c r="J29" s="4" t="s">
        <v>229</v>
      </c>
      <c r="K29" s="4" t="s">
        <v>229</v>
      </c>
      <c r="L29" s="4" t="s">
        <v>232</v>
      </c>
      <c r="M29" s="4" t="s">
        <v>230</v>
      </c>
      <c r="N29" s="4" t="s">
        <v>229</v>
      </c>
      <c r="O29" s="4" t="s">
        <v>233</v>
      </c>
      <c r="P29" s="4" t="s">
        <v>230</v>
      </c>
      <c r="Q29" s="4" t="s">
        <v>230</v>
      </c>
      <c r="R29" s="4" t="s">
        <v>230</v>
      </c>
      <c r="S29" s="4" t="s">
        <v>229</v>
      </c>
      <c r="T29" s="4" t="s">
        <v>233</v>
      </c>
      <c r="U29" s="4" t="s">
        <v>230</v>
      </c>
      <c r="V29" s="4" t="s">
        <v>233</v>
      </c>
      <c r="W29" s="4" t="s">
        <v>159</v>
      </c>
      <c r="X29" s="4" t="s">
        <v>159</v>
      </c>
      <c r="Y29" s="4" t="s">
        <v>230</v>
      </c>
      <c r="Z29" s="4" t="s">
        <v>230</v>
      </c>
      <c r="AA29" s="4" t="s">
        <v>230</v>
      </c>
      <c r="AB29" s="4" t="s">
        <v>230</v>
      </c>
      <c r="AC29" s="4" t="s">
        <v>230</v>
      </c>
      <c r="AD29" s="4" t="s">
        <v>169</v>
      </c>
      <c r="AE29" s="4" t="s">
        <v>229</v>
      </c>
      <c r="AF29" s="4" t="s">
        <v>230</v>
      </c>
      <c r="AG29" s="4" t="s">
        <v>234</v>
      </c>
      <c r="AH29" s="4" t="s">
        <v>230</v>
      </c>
      <c r="AI29" s="4" t="s">
        <v>229</v>
      </c>
      <c r="AJ29" s="4" t="s">
        <v>230</v>
      </c>
      <c r="AK29" s="4" t="s">
        <v>229</v>
      </c>
      <c r="AL29" s="4" t="s">
        <v>230</v>
      </c>
      <c r="AM29" s="4" t="s">
        <v>229</v>
      </c>
      <c r="AN29" s="4" t="s">
        <v>229</v>
      </c>
      <c r="AO29" s="4" t="s">
        <v>230</v>
      </c>
      <c r="AP29" s="4" t="s">
        <v>229</v>
      </c>
      <c r="AQ29" s="4" t="s">
        <v>229</v>
      </c>
      <c r="AR29" s="4" t="s">
        <v>229</v>
      </c>
      <c r="AS29" s="4" t="s">
        <v>235</v>
      </c>
      <c r="AT29" s="4" t="s">
        <v>230</v>
      </c>
      <c r="AU29" s="4" t="s">
        <v>229</v>
      </c>
      <c r="AV29" s="4" t="s">
        <v>236</v>
      </c>
      <c r="AW29" s="4" t="s">
        <v>230</v>
      </c>
      <c r="AX29" s="4" t="s">
        <v>236</v>
      </c>
      <c r="AY29" s="4" t="s">
        <v>175</v>
      </c>
      <c r="AZ29" s="4" t="s">
        <v>230</v>
      </c>
      <c r="BA29" s="4" t="s">
        <v>237</v>
      </c>
      <c r="BB29" s="4" t="s">
        <v>237</v>
      </c>
      <c r="BC29" s="4" t="s">
        <v>238</v>
      </c>
      <c r="BD29" s="4" t="s">
        <v>230</v>
      </c>
      <c r="BE29" s="4" t="s">
        <v>230</v>
      </c>
      <c r="BF29" s="4" t="s">
        <v>230</v>
      </c>
      <c r="BG29" s="4" t="s">
        <v>238</v>
      </c>
      <c r="BH29" s="4" t="s">
        <v>230</v>
      </c>
      <c r="BI29" s="4" t="s">
        <v>239</v>
      </c>
      <c r="BJ29" s="4" t="s">
        <v>238</v>
      </c>
      <c r="BK29" s="4" t="s">
        <v>230</v>
      </c>
      <c r="BL29" s="4" t="s">
        <v>240</v>
      </c>
      <c r="BM29" s="4" t="s">
        <v>241</v>
      </c>
      <c r="BN29" s="4" t="s">
        <v>240</v>
      </c>
      <c r="BO29" s="4" t="s">
        <v>240</v>
      </c>
      <c r="BP29" s="4" t="s">
        <v>240</v>
      </c>
      <c r="BQ29" s="4" t="s">
        <v>237</v>
      </c>
      <c r="BR29" s="4" t="s">
        <v>242</v>
      </c>
      <c r="BS29" s="4" t="s">
        <v>237</v>
      </c>
      <c r="BT29" s="4" t="s">
        <v>243</v>
      </c>
      <c r="BU29" s="4" t="s">
        <v>230</v>
      </c>
      <c r="BV29" s="4" t="s">
        <v>230</v>
      </c>
      <c r="BW29" s="4" t="s">
        <v>230</v>
      </c>
      <c r="BX29" s="4" t="s">
        <v>237</v>
      </c>
      <c r="BY29" s="4" t="s">
        <v>237</v>
      </c>
      <c r="BZ29" s="4" t="s">
        <v>230</v>
      </c>
      <c r="CA29" s="4" t="s">
        <v>244</v>
      </c>
      <c r="CB29" s="4" t="s">
        <v>230</v>
      </c>
      <c r="CC29" s="4" t="s">
        <v>245</v>
      </c>
      <c r="CD29" s="4" t="s">
        <v>230</v>
      </c>
      <c r="CE29" s="4" t="s">
        <v>245</v>
      </c>
      <c r="CF29" s="4" t="s">
        <v>245</v>
      </c>
      <c r="CG29" s="4" t="s">
        <v>230</v>
      </c>
      <c r="CH29" s="4" t="s">
        <v>245</v>
      </c>
      <c r="CI29" s="4" t="s">
        <v>246</v>
      </c>
      <c r="CJ29" s="4" t="s">
        <v>237</v>
      </c>
      <c r="CK29" s="4" t="s">
        <v>230</v>
      </c>
      <c r="CL29" s="4" t="s">
        <v>237</v>
      </c>
      <c r="CM29" s="4" t="s">
        <v>237</v>
      </c>
      <c r="CN29" s="4" t="s">
        <v>237</v>
      </c>
      <c r="CO29" s="4" t="s">
        <v>247</v>
      </c>
      <c r="CP29" s="4" t="s">
        <v>230</v>
      </c>
      <c r="CQ29" s="4" t="s">
        <v>237</v>
      </c>
      <c r="CR29" s="4" t="s">
        <v>230</v>
      </c>
      <c r="CS29" s="4" t="s">
        <v>247</v>
      </c>
      <c r="CT29" s="4" t="s">
        <v>230</v>
      </c>
      <c r="CU29" s="4" t="s">
        <v>230</v>
      </c>
      <c r="CV29" s="4" t="s">
        <v>230</v>
      </c>
      <c r="CW29" s="4" t="s">
        <v>230</v>
      </c>
      <c r="CX29" s="4" t="s">
        <v>230</v>
      </c>
      <c r="CY29" s="4" t="s">
        <v>238</v>
      </c>
      <c r="CZ29" s="4" t="s">
        <v>230</v>
      </c>
      <c r="DA29" s="4" t="s">
        <v>230</v>
      </c>
      <c r="DB29" s="4" t="s">
        <v>230</v>
      </c>
      <c r="DC29" s="4" t="s">
        <v>248</v>
      </c>
      <c r="DD29" s="4" t="s">
        <v>230</v>
      </c>
      <c r="DE29" s="4" t="s">
        <v>230</v>
      </c>
      <c r="DF29" s="4" t="s">
        <v>230</v>
      </c>
      <c r="DG29" s="4" t="s">
        <v>230</v>
      </c>
      <c r="DH29" s="4" t="s">
        <v>237</v>
      </c>
      <c r="DI29" s="4" t="s">
        <v>230</v>
      </c>
      <c r="DJ29" s="4" t="s">
        <v>249</v>
      </c>
      <c r="DK29" s="4" t="s">
        <v>237</v>
      </c>
      <c r="DL29" s="4" t="s">
        <v>245</v>
      </c>
      <c r="DM29" s="4" t="s">
        <v>170</v>
      </c>
      <c r="DN29" s="4" t="s">
        <v>250</v>
      </c>
      <c r="DO29" s="4" t="s">
        <v>230</v>
      </c>
      <c r="DP29" s="4" t="s">
        <v>230</v>
      </c>
      <c r="DQ29" s="4" t="s">
        <v>238</v>
      </c>
      <c r="DR29" s="4" t="s">
        <v>230</v>
      </c>
      <c r="DS29" s="4" t="s">
        <v>245</v>
      </c>
      <c r="DT29" s="4" t="s">
        <v>245</v>
      </c>
      <c r="DU29" s="4" t="s">
        <v>245</v>
      </c>
      <c r="DV29" s="4" t="s">
        <v>230</v>
      </c>
      <c r="DW29" s="4" t="s">
        <v>248</v>
      </c>
      <c r="DX29" s="4" t="s">
        <v>230</v>
      </c>
      <c r="DY29" s="4" t="s">
        <v>230</v>
      </c>
      <c r="DZ29" s="4" t="s">
        <v>248</v>
      </c>
      <c r="EA29" s="4" t="s">
        <v>248</v>
      </c>
      <c r="EB29" s="4" t="s">
        <v>245</v>
      </c>
      <c r="EC29" s="4" t="s">
        <v>230</v>
      </c>
      <c r="ED29" s="4" t="s">
        <v>248</v>
      </c>
      <c r="EE29" s="4" t="s">
        <v>230</v>
      </c>
      <c r="EF29" s="4" t="s">
        <v>245</v>
      </c>
      <c r="EG29" s="4" t="s">
        <v>251</v>
      </c>
      <c r="EH29" s="4" t="s">
        <v>251</v>
      </c>
      <c r="EI29" s="4" t="s">
        <v>230</v>
      </c>
      <c r="EJ29" s="4" t="s">
        <v>230</v>
      </c>
      <c r="EK29" s="4" t="s">
        <v>245</v>
      </c>
      <c r="EL29" s="4" t="s">
        <v>251</v>
      </c>
      <c r="EM29" t="s">
        <v>252</v>
      </c>
    </row>
    <row r="30" spans="1:145" x14ac:dyDescent="0.3">
      <c r="B30" s="17" t="s">
        <v>192</v>
      </c>
      <c r="C30" s="4" t="s">
        <v>253</v>
      </c>
      <c r="D30" s="4" t="s">
        <v>253</v>
      </c>
      <c r="E30" s="4" t="s">
        <v>254</v>
      </c>
      <c r="F30" s="4" t="s">
        <v>254</v>
      </c>
      <c r="G30" s="4" t="s">
        <v>253</v>
      </c>
      <c r="H30" s="4" t="s">
        <v>255</v>
      </c>
      <c r="I30" s="4" t="s">
        <v>256</v>
      </c>
      <c r="J30" s="4" t="s">
        <v>254</v>
      </c>
      <c r="K30" s="4" t="s">
        <v>254</v>
      </c>
      <c r="L30" s="4" t="s">
        <v>257</v>
      </c>
      <c r="M30" s="4" t="s">
        <v>255</v>
      </c>
      <c r="N30" s="4" t="s">
        <v>254</v>
      </c>
      <c r="O30" s="4" t="s">
        <v>258</v>
      </c>
      <c r="P30" s="4" t="s">
        <v>255</v>
      </c>
      <c r="Q30" s="4" t="s">
        <v>255</v>
      </c>
      <c r="R30" s="4" t="s">
        <v>255</v>
      </c>
      <c r="S30" s="4" t="s">
        <v>254</v>
      </c>
      <c r="T30" s="4" t="s">
        <v>258</v>
      </c>
      <c r="U30" s="4" t="s">
        <v>255</v>
      </c>
      <c r="V30" s="4" t="s">
        <v>258</v>
      </c>
      <c r="W30" s="4" t="s">
        <v>194</v>
      </c>
      <c r="X30" s="4" t="s">
        <v>194</v>
      </c>
      <c r="Y30" s="4" t="s">
        <v>255</v>
      </c>
      <c r="Z30" s="4" t="s">
        <v>255</v>
      </c>
      <c r="AA30" s="4" t="s">
        <v>255</v>
      </c>
      <c r="AB30" s="4" t="s">
        <v>255</v>
      </c>
      <c r="AC30" s="4" t="s">
        <v>255</v>
      </c>
      <c r="AD30" s="4" t="s">
        <v>204</v>
      </c>
      <c r="AE30" s="4" t="s">
        <v>254</v>
      </c>
      <c r="AF30" s="4" t="s">
        <v>255</v>
      </c>
      <c r="AG30" s="4" t="s">
        <v>259</v>
      </c>
      <c r="AH30" s="4" t="s">
        <v>255</v>
      </c>
      <c r="AI30" s="4" t="s">
        <v>254</v>
      </c>
      <c r="AJ30" s="4" t="s">
        <v>255</v>
      </c>
      <c r="AK30" s="4" t="s">
        <v>254</v>
      </c>
      <c r="AL30" s="4" t="s">
        <v>255</v>
      </c>
      <c r="AM30" s="4" t="s">
        <v>254</v>
      </c>
      <c r="AN30" s="4" t="s">
        <v>254</v>
      </c>
      <c r="AO30" s="4" t="s">
        <v>255</v>
      </c>
      <c r="AP30" s="4" t="s">
        <v>254</v>
      </c>
      <c r="AQ30" s="4" t="s">
        <v>254</v>
      </c>
      <c r="AR30" s="4" t="s">
        <v>254</v>
      </c>
      <c r="AS30" s="4" t="s">
        <v>260</v>
      </c>
      <c r="AT30" s="4" t="s">
        <v>255</v>
      </c>
      <c r="AU30" s="4" t="s">
        <v>254</v>
      </c>
      <c r="AV30" s="4" t="s">
        <v>261</v>
      </c>
      <c r="AW30" s="4" t="s">
        <v>255</v>
      </c>
      <c r="AX30" s="4" t="s">
        <v>261</v>
      </c>
      <c r="AY30" s="4" t="s">
        <v>210</v>
      </c>
      <c r="AZ30" s="4" t="s">
        <v>255</v>
      </c>
      <c r="BA30" s="4" t="s">
        <v>262</v>
      </c>
      <c r="BB30" s="4" t="s">
        <v>262</v>
      </c>
      <c r="BC30" s="4" t="s">
        <v>263</v>
      </c>
      <c r="BD30" s="4" t="s">
        <v>255</v>
      </c>
      <c r="BE30" s="4" t="s">
        <v>255</v>
      </c>
      <c r="BF30" s="4" t="s">
        <v>255</v>
      </c>
      <c r="BG30" s="4" t="s">
        <v>263</v>
      </c>
      <c r="BH30" s="4" t="s">
        <v>255</v>
      </c>
      <c r="BI30" s="4" t="s">
        <v>264</v>
      </c>
      <c r="BJ30" s="4" t="s">
        <v>263</v>
      </c>
      <c r="BK30" s="4" t="s">
        <v>255</v>
      </c>
      <c r="BL30" s="4" t="s">
        <v>265</v>
      </c>
      <c r="BM30" s="4" t="s">
        <v>266</v>
      </c>
      <c r="BN30" s="4" t="s">
        <v>265</v>
      </c>
      <c r="BO30" s="4" t="s">
        <v>265</v>
      </c>
      <c r="BP30" s="4" t="s">
        <v>265</v>
      </c>
      <c r="BQ30" s="4" t="s">
        <v>262</v>
      </c>
      <c r="BR30" s="4" t="s">
        <v>267</v>
      </c>
      <c r="BS30" s="4" t="s">
        <v>262</v>
      </c>
      <c r="BT30" s="4" t="s">
        <v>268</v>
      </c>
      <c r="BU30" s="4" t="s">
        <v>255</v>
      </c>
      <c r="BV30" s="4" t="s">
        <v>255</v>
      </c>
      <c r="BW30" s="4" t="s">
        <v>255</v>
      </c>
      <c r="BX30" s="4" t="s">
        <v>262</v>
      </c>
      <c r="BY30" s="4" t="s">
        <v>262</v>
      </c>
      <c r="BZ30" s="4" t="s">
        <v>255</v>
      </c>
      <c r="CA30" s="4" t="s">
        <v>269</v>
      </c>
      <c r="CB30" s="4" t="s">
        <v>255</v>
      </c>
      <c r="CC30" s="4" t="s">
        <v>270</v>
      </c>
      <c r="CD30" s="4" t="s">
        <v>255</v>
      </c>
      <c r="CE30" s="4" t="s">
        <v>270</v>
      </c>
      <c r="CF30" s="4" t="s">
        <v>270</v>
      </c>
      <c r="CG30" s="4" t="s">
        <v>255</v>
      </c>
      <c r="CH30" s="4" t="s">
        <v>270</v>
      </c>
      <c r="CI30" s="4" t="s">
        <v>271</v>
      </c>
      <c r="CJ30" s="4" t="s">
        <v>262</v>
      </c>
      <c r="CK30" s="4" t="s">
        <v>255</v>
      </c>
      <c r="CL30" s="4" t="s">
        <v>262</v>
      </c>
      <c r="CM30" s="4" t="s">
        <v>262</v>
      </c>
      <c r="CN30" s="4" t="s">
        <v>262</v>
      </c>
      <c r="CO30" s="4" t="s">
        <v>272</v>
      </c>
      <c r="CP30" s="4" t="s">
        <v>255</v>
      </c>
      <c r="CQ30" s="4" t="s">
        <v>262</v>
      </c>
      <c r="CR30" s="4" t="s">
        <v>255</v>
      </c>
      <c r="CS30" s="4" t="s">
        <v>272</v>
      </c>
      <c r="CT30" s="4" t="s">
        <v>255</v>
      </c>
      <c r="CU30" s="4" t="s">
        <v>255</v>
      </c>
      <c r="CV30" s="4" t="s">
        <v>255</v>
      </c>
      <c r="CW30" s="4" t="s">
        <v>255</v>
      </c>
      <c r="CX30" s="4" t="s">
        <v>255</v>
      </c>
      <c r="CY30" s="4" t="s">
        <v>263</v>
      </c>
      <c r="CZ30" s="4" t="s">
        <v>255</v>
      </c>
      <c r="DA30" s="4" t="s">
        <v>255</v>
      </c>
      <c r="DB30" s="4" t="s">
        <v>255</v>
      </c>
      <c r="DC30" s="4" t="s">
        <v>273</v>
      </c>
      <c r="DD30" s="4" t="s">
        <v>255</v>
      </c>
      <c r="DE30" s="4" t="s">
        <v>255</v>
      </c>
      <c r="DF30" s="4" t="s">
        <v>255</v>
      </c>
      <c r="DG30" s="4" t="s">
        <v>255</v>
      </c>
      <c r="DH30" s="4" t="s">
        <v>262</v>
      </c>
      <c r="DI30" s="4" t="s">
        <v>255</v>
      </c>
      <c r="DJ30" s="4" t="s">
        <v>274</v>
      </c>
      <c r="DK30" s="4" t="s">
        <v>262</v>
      </c>
      <c r="DL30" s="4" t="s">
        <v>270</v>
      </c>
      <c r="DM30" s="4" t="s">
        <v>205</v>
      </c>
      <c r="DN30" s="4" t="s">
        <v>275</v>
      </c>
      <c r="DO30" s="4" t="s">
        <v>255</v>
      </c>
      <c r="DP30" s="4" t="s">
        <v>255</v>
      </c>
      <c r="DQ30" s="4" t="s">
        <v>263</v>
      </c>
      <c r="DR30" s="4" t="s">
        <v>255</v>
      </c>
      <c r="DS30" s="4" t="s">
        <v>270</v>
      </c>
      <c r="DT30" s="4" t="s">
        <v>270</v>
      </c>
      <c r="DU30" s="4" t="s">
        <v>270</v>
      </c>
      <c r="DV30" s="4" t="s">
        <v>255</v>
      </c>
      <c r="DW30" s="4" t="s">
        <v>273</v>
      </c>
      <c r="DX30" s="4" t="s">
        <v>255</v>
      </c>
      <c r="DY30" s="4" t="s">
        <v>255</v>
      </c>
      <c r="DZ30" s="4" t="s">
        <v>273</v>
      </c>
      <c r="EA30" s="4" t="s">
        <v>273</v>
      </c>
      <c r="EB30" s="4" t="s">
        <v>270</v>
      </c>
      <c r="EC30" s="4" t="s">
        <v>255</v>
      </c>
      <c r="ED30" s="4" t="s">
        <v>273</v>
      </c>
      <c r="EE30" s="4" t="s">
        <v>255</v>
      </c>
      <c r="EF30" s="4" t="s">
        <v>270</v>
      </c>
      <c r="EG30" s="4" t="s">
        <v>276</v>
      </c>
      <c r="EH30" s="4" t="s">
        <v>276</v>
      </c>
      <c r="EI30" s="4" t="s">
        <v>255</v>
      </c>
      <c r="EJ30" s="4" t="s">
        <v>255</v>
      </c>
      <c r="EK30" s="4" t="s">
        <v>270</v>
      </c>
      <c r="EL30" s="4" t="s">
        <v>276</v>
      </c>
      <c r="EM30" t="s">
        <v>277</v>
      </c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N12:EN24">
    <cfRule type="expression" dxfId="5" priority="6">
      <formula>EN12&lt;$EN$25</formula>
    </cfRule>
  </conditionalFormatting>
  <conditionalFormatting sqref="EO12:EO24">
    <cfRule type="expression" dxfId="4" priority="5">
      <formula>EO12&gt;$EO$25</formula>
    </cfRule>
  </conditionalFormatting>
  <conditionalFormatting sqref="EM12:EM24">
    <cfRule type="expression" dxfId="0" priority="1">
      <formula>EM12&gt;$EM$25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N163"/>
  <sheetViews>
    <sheetView topLeftCell="DT1" zoomScale="130" zoomScaleNormal="130" workbookViewId="0">
      <selection activeCell="EL7" sqref="EL7"/>
    </sheetView>
  </sheetViews>
  <sheetFormatPr defaultRowHeight="14.5" x14ac:dyDescent="0.3"/>
  <cols>
    <col min="2" max="2" width="10.19921875" bestFit="1" customWidth="1"/>
    <col min="143" max="143" width="9.5" bestFit="1" customWidth="1"/>
  </cols>
  <sheetData>
    <row r="1" spans="1:144" x14ac:dyDescent="0.3">
      <c r="A1" s="6" t="s">
        <v>0</v>
      </c>
    </row>
    <row r="2" spans="1:144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4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4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4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4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4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4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4" x14ac:dyDescent="0.3">
      <c r="A10" s="20" t="s">
        <v>147</v>
      </c>
      <c r="B10" s="21"/>
      <c r="C10" s="6" t="s">
        <v>148</v>
      </c>
      <c r="D10" s="6">
        <v>1051</v>
      </c>
    </row>
    <row r="11" spans="1:144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278</v>
      </c>
      <c r="EN11" s="6" t="s">
        <v>279</v>
      </c>
    </row>
    <row r="12" spans="1:144" x14ac:dyDescent="0.3">
      <c r="A12" s="18">
        <v>10</v>
      </c>
      <c r="B12" s="18">
        <f t="shared" ref="B12:B24" si="10">ROUND($D$10/A12,0)</f>
        <v>105</v>
      </c>
      <c r="C12" s="10">
        <f>IF(預測IC!C12&gt;預測IC!C$25,1,0)</f>
        <v>1</v>
      </c>
      <c r="D12" s="10">
        <f>IF(預測IC!D12&gt;預測IC!D$25,1,0)</f>
        <v>1</v>
      </c>
      <c r="E12" s="10">
        <f>IF(預測IC!E12&gt;預測IC!E$25,1,0)</f>
        <v>0</v>
      </c>
      <c r="F12" s="10">
        <f>IF(預測IC!F12&gt;預測IC!F$25,1,0)</f>
        <v>1</v>
      </c>
      <c r="G12" s="10">
        <f>IF(預測IC!G12&gt;預測IC!G$25,1,0)</f>
        <v>0</v>
      </c>
      <c r="H12" s="10">
        <f>IF(預測IC!H12&gt;預測IC!H$25,1,0)</f>
        <v>1</v>
      </c>
      <c r="I12" s="10">
        <f>IF(預測IC!I12&gt;預測IC!I$25,1,0)</f>
        <v>0</v>
      </c>
      <c r="J12" s="10">
        <f>IF(預測IC!J12&gt;預測IC!J$25,1,0)</f>
        <v>1</v>
      </c>
      <c r="K12" s="10">
        <f>IF(預測IC!K12&gt;預測IC!K$25,1,0)</f>
        <v>1</v>
      </c>
      <c r="L12" s="10">
        <f>IF(預測IC!L12&gt;預測IC!L$25,1,0)</f>
        <v>0</v>
      </c>
      <c r="M12" s="10">
        <f>IF(預測IC!M12&gt;預測IC!M$25,1,0)</f>
        <v>0</v>
      </c>
      <c r="N12" s="10">
        <f>IF(預測IC!N12&gt;預測IC!N$25,1,0)</f>
        <v>1</v>
      </c>
      <c r="O12" s="10">
        <f>IF(預測IC!O12&gt;預測IC!O$25,1,0)</f>
        <v>1</v>
      </c>
      <c r="P12" s="10">
        <f>IF(預測IC!P12&gt;預測IC!P$25,1,0)</f>
        <v>0</v>
      </c>
      <c r="Q12" s="10">
        <f>IF(預測IC!Q12&gt;預測IC!Q$25,1,0)</f>
        <v>0</v>
      </c>
      <c r="R12" s="10">
        <f>IF(預測IC!R12&gt;預測IC!R$25,1,0)</f>
        <v>0</v>
      </c>
      <c r="S12" s="10">
        <f>IF(預測IC!S12&gt;預測IC!S$25,1,0)</f>
        <v>0</v>
      </c>
      <c r="T12" s="10">
        <f>IF(預測IC!T12&gt;預測IC!T$25,1,0)</f>
        <v>0</v>
      </c>
      <c r="U12" s="10">
        <f>IF(預測IC!U12&gt;預測IC!U$25,1,0)</f>
        <v>1</v>
      </c>
      <c r="V12" s="10">
        <f>IF(預測IC!V12&gt;預測IC!V$25,1,0)</f>
        <v>1</v>
      </c>
      <c r="W12" s="10">
        <f>IF(預測IC!W12&gt;預測IC!W$25,1,0)</f>
        <v>0</v>
      </c>
      <c r="X12" s="10">
        <f>IF(預測IC!X12&gt;預測IC!X$25,1,0)</f>
        <v>1</v>
      </c>
      <c r="Y12" s="10">
        <f>IF(預測IC!Y12&gt;預測IC!Y$25,1,0)</f>
        <v>1</v>
      </c>
      <c r="Z12" s="10">
        <f>IF(預測IC!Z12&gt;預測IC!Z$25,1,0)</f>
        <v>1</v>
      </c>
      <c r="AA12" s="10">
        <f>IF(預測IC!AA12&gt;預測IC!AA$25,1,0)</f>
        <v>1</v>
      </c>
      <c r="AB12" s="10">
        <f>IF(預測IC!AB12&gt;預測IC!AB$25,1,0)</f>
        <v>0</v>
      </c>
      <c r="AC12" s="10">
        <f>IF(預測IC!AC12&gt;預測IC!AC$25,1,0)</f>
        <v>0</v>
      </c>
      <c r="AD12" s="10">
        <f>IF(預測IC!AD12&gt;預測IC!AD$25,1,0)</f>
        <v>1</v>
      </c>
      <c r="AE12" s="10">
        <f>IF(預測IC!AE12&gt;預測IC!AE$25,1,0)</f>
        <v>0</v>
      </c>
      <c r="AF12" s="10">
        <f>IF(預測IC!AF12&gt;預測IC!AF$25,1,0)</f>
        <v>0</v>
      </c>
      <c r="AG12" s="10">
        <f>IF(預測IC!AG12&gt;預測IC!AG$25,1,0)</f>
        <v>0</v>
      </c>
      <c r="AH12" s="10">
        <f>IF(預測IC!AH12&gt;預測IC!AH$25,1,0)</f>
        <v>0</v>
      </c>
      <c r="AI12" s="10">
        <f>IF(預測IC!AI12&gt;預測IC!AI$25,1,0)</f>
        <v>1</v>
      </c>
      <c r="AJ12" s="10">
        <f>IF(預測IC!AJ12&gt;預測IC!AJ$25,1,0)</f>
        <v>1</v>
      </c>
      <c r="AK12" s="10">
        <f>IF(預測IC!AK12&gt;預測IC!AK$25,1,0)</f>
        <v>1</v>
      </c>
      <c r="AL12" s="10">
        <f>IF(預測IC!AL12&gt;預測IC!AL$25,1,0)</f>
        <v>1</v>
      </c>
      <c r="AM12" s="10">
        <f>IF(預測IC!AM12&gt;預測IC!AM$25,1,0)</f>
        <v>1</v>
      </c>
      <c r="AN12" s="10">
        <f>IF(預測IC!AN12&gt;預測IC!AN$25,1,0)</f>
        <v>0</v>
      </c>
      <c r="AO12" s="10">
        <f>IF(預測IC!AO12&gt;預測IC!AO$25,1,0)</f>
        <v>0</v>
      </c>
      <c r="AP12" s="10">
        <f>IF(預測IC!AP12&gt;預測IC!AP$25,1,0)</f>
        <v>0</v>
      </c>
      <c r="AQ12" s="10">
        <f>IF(預測IC!AQ12&gt;預測IC!AQ$25,1,0)</f>
        <v>0</v>
      </c>
      <c r="AR12" s="10">
        <f>IF(預測IC!AR12&gt;預測IC!AR$25,1,0)</f>
        <v>0</v>
      </c>
      <c r="AS12" s="10">
        <f>IF(預測IC!AS12&gt;預測IC!AS$25,1,0)</f>
        <v>0</v>
      </c>
      <c r="AT12" s="10">
        <f>IF(預測IC!AT12&gt;預測IC!AT$25,1,0)</f>
        <v>1</v>
      </c>
      <c r="AU12" s="10">
        <f>IF(預測IC!AU12&gt;預測IC!AU$25,1,0)</f>
        <v>0</v>
      </c>
      <c r="AV12" s="10">
        <f>IF(預測IC!AV12&gt;預測IC!AV$25,1,0)</f>
        <v>0</v>
      </c>
      <c r="AW12" s="10">
        <f>IF(預測IC!AW12&gt;預測IC!AW$25,1,0)</f>
        <v>1</v>
      </c>
      <c r="AX12" s="10">
        <f>IF(預測IC!AX12&gt;預測IC!AX$25,1,0)</f>
        <v>1</v>
      </c>
      <c r="AY12" s="10">
        <f>IF(預測IC!AY12&gt;預測IC!AY$25,1,0)</f>
        <v>0</v>
      </c>
      <c r="AZ12" s="10">
        <f>IF(預測IC!AZ12&gt;預測IC!AZ$25,1,0)</f>
        <v>1</v>
      </c>
      <c r="BA12" s="10">
        <f>IF(預測IC!BA12&gt;預測IC!BA$25,1,0)</f>
        <v>0</v>
      </c>
      <c r="BB12" s="10">
        <f>IF(預測IC!BB12&gt;預測IC!BB$25,1,0)</f>
        <v>1</v>
      </c>
      <c r="BC12" s="10">
        <f>IF(預測IC!BC12&gt;預測IC!BC$25,1,0)</f>
        <v>0</v>
      </c>
      <c r="BD12" s="10">
        <f>IF(預測IC!BD12&gt;預測IC!BD$25,1,0)</f>
        <v>1</v>
      </c>
      <c r="BE12" s="10">
        <f>IF(預測IC!BE12&gt;預測IC!BE$25,1,0)</f>
        <v>0</v>
      </c>
      <c r="BF12" s="10">
        <f>IF(預測IC!BF12&gt;預測IC!BF$25,1,0)</f>
        <v>0</v>
      </c>
      <c r="BG12" s="10">
        <f>IF(預測IC!BG12&gt;預測IC!BG$25,1,0)</f>
        <v>1</v>
      </c>
      <c r="BH12" s="10">
        <f>IF(預測IC!BH12&gt;預測IC!BH$25,1,0)</f>
        <v>1</v>
      </c>
      <c r="BI12" s="10">
        <f>IF(預測IC!BI12&gt;預測IC!BI$25,1,0)</f>
        <v>0</v>
      </c>
      <c r="BJ12" s="10">
        <f>IF(預測IC!BJ12&gt;預測IC!BJ$25,1,0)</f>
        <v>1</v>
      </c>
      <c r="BK12" s="10">
        <f>IF(預測IC!BK12&gt;預測IC!BK$25,1,0)</f>
        <v>0</v>
      </c>
      <c r="BL12" s="10">
        <f>IF(預測IC!BL12&gt;預測IC!BL$25,1,0)</f>
        <v>0</v>
      </c>
      <c r="BM12" s="10">
        <f>IF(預測IC!BM12&gt;預測IC!BM$25,1,0)</f>
        <v>0</v>
      </c>
      <c r="BN12" s="10">
        <f>IF(預測IC!BN12&gt;預測IC!BN$25,1,0)</f>
        <v>0</v>
      </c>
      <c r="BO12" s="10">
        <f>IF(預測IC!BO12&gt;預測IC!BO$25,1,0)</f>
        <v>1</v>
      </c>
      <c r="BP12" s="10">
        <f>IF(預測IC!BP12&gt;預測IC!BP$25,1,0)</f>
        <v>0</v>
      </c>
      <c r="BQ12" s="10">
        <f>IF(預測IC!BQ12&gt;預測IC!BQ$25,1,0)</f>
        <v>0</v>
      </c>
      <c r="BR12" s="10">
        <f>IF(預測IC!BR12&gt;預測IC!BR$25,1,0)</f>
        <v>1</v>
      </c>
      <c r="BS12" s="10">
        <f>IF(預測IC!BS12&gt;預測IC!BS$25,1,0)</f>
        <v>0</v>
      </c>
      <c r="BT12" s="10">
        <f>IF(預測IC!BT12&gt;預測IC!BT$25,1,0)</f>
        <v>0</v>
      </c>
      <c r="BU12" s="10">
        <f>IF(預測IC!BU12&gt;預測IC!BU$25,1,0)</f>
        <v>0</v>
      </c>
      <c r="BV12" s="10">
        <f>IF(預測IC!BV12&gt;預測IC!BV$25,1,0)</f>
        <v>0</v>
      </c>
      <c r="BW12" s="10">
        <f>IF(預測IC!BW12&gt;預測IC!BW$25,1,0)</f>
        <v>1</v>
      </c>
      <c r="BX12" s="10">
        <f>IF(預測IC!BX12&gt;預測IC!BX$25,1,0)</f>
        <v>1</v>
      </c>
      <c r="BY12" s="10">
        <f>IF(預測IC!BY12&gt;預測IC!BY$25,1,0)</f>
        <v>1</v>
      </c>
      <c r="BZ12" s="10">
        <f>IF(預測IC!BZ12&gt;預測IC!BZ$25,1,0)</f>
        <v>0</v>
      </c>
      <c r="CA12" s="10">
        <f>IF(預測IC!CA12&gt;預測IC!CA$25,1,0)</f>
        <v>1</v>
      </c>
      <c r="CB12" s="10">
        <f>IF(預測IC!CB12&gt;預測IC!CB$25,1,0)</f>
        <v>0</v>
      </c>
      <c r="CC12" s="10">
        <f>IF(預測IC!CC12&gt;預測IC!CC$25,1,0)</f>
        <v>0</v>
      </c>
      <c r="CD12" s="10">
        <f>IF(預測IC!CD12&gt;預測IC!CD$25,1,0)</f>
        <v>1</v>
      </c>
      <c r="CE12" s="10">
        <f>IF(預測IC!CE12&gt;預測IC!CE$25,1,0)</f>
        <v>1</v>
      </c>
      <c r="CF12" s="10">
        <f>IF(預測IC!CF12&gt;預測IC!CF$25,1,0)</f>
        <v>1</v>
      </c>
      <c r="CG12" s="10">
        <f>IF(預測IC!CG12&gt;預測IC!CG$25,1,0)</f>
        <v>0</v>
      </c>
      <c r="CH12" s="10">
        <f>IF(預測IC!CH12&gt;預測IC!CH$25,1,0)</f>
        <v>0</v>
      </c>
      <c r="CI12" s="10">
        <f>IF(預測IC!CI12&gt;預測IC!CI$25,1,0)</f>
        <v>0</v>
      </c>
      <c r="CJ12" s="10">
        <f>IF(預測IC!CJ12&gt;預測IC!CJ$25,1,0)</f>
        <v>0</v>
      </c>
      <c r="CK12" s="10">
        <f>IF(預測IC!CK12&gt;預測IC!CK$25,1,0)</f>
        <v>0</v>
      </c>
      <c r="CL12" s="10">
        <f>IF(預測IC!CL12&gt;預測IC!CL$25,1,0)</f>
        <v>1</v>
      </c>
      <c r="CM12" s="10">
        <f>IF(預測IC!CM12&gt;預測IC!CM$25,1,0)</f>
        <v>0</v>
      </c>
      <c r="CN12" s="10">
        <f>IF(預測IC!CN12&gt;預測IC!CN$25,1,0)</f>
        <v>0</v>
      </c>
      <c r="CO12" s="10">
        <f>IF(預測IC!CO12&gt;預測IC!CO$25,1,0)</f>
        <v>1</v>
      </c>
      <c r="CP12" s="10">
        <f>IF(預測IC!CP12&gt;預測IC!CP$25,1,0)</f>
        <v>0</v>
      </c>
      <c r="CQ12" s="10">
        <f>IF(預測IC!CQ12&gt;預測IC!CQ$25,1,0)</f>
        <v>1</v>
      </c>
      <c r="CR12" s="10">
        <f>IF(預測IC!CR12&gt;預測IC!CR$25,1,0)</f>
        <v>0</v>
      </c>
      <c r="CS12" s="10">
        <f>IF(預測IC!CS12&gt;預測IC!CS$25,1,0)</f>
        <v>0</v>
      </c>
      <c r="CT12" s="10">
        <f>IF(預測IC!CT12&gt;預測IC!CT$25,1,0)</f>
        <v>0</v>
      </c>
      <c r="CU12" s="10">
        <f>IF(預測IC!CU12&gt;預測IC!CU$25,1,0)</f>
        <v>1</v>
      </c>
      <c r="CV12" s="10">
        <f>IF(預測IC!CV12&gt;預測IC!CV$25,1,0)</f>
        <v>0</v>
      </c>
      <c r="CW12" s="10">
        <f>IF(預測IC!CW12&gt;預測IC!CW$25,1,0)</f>
        <v>0</v>
      </c>
      <c r="CX12" s="10">
        <f>IF(預測IC!CX12&gt;預測IC!CX$25,1,0)</f>
        <v>1</v>
      </c>
      <c r="CY12" s="10">
        <f>IF(預測IC!CY12&gt;預測IC!CY$25,1,0)</f>
        <v>0</v>
      </c>
      <c r="CZ12" s="10">
        <f>IF(預測IC!CZ12&gt;預測IC!CZ$25,1,0)</f>
        <v>1</v>
      </c>
      <c r="DA12" s="10">
        <f>IF(預測IC!DA12&gt;預測IC!DA$25,1,0)</f>
        <v>1</v>
      </c>
      <c r="DB12" s="10">
        <f>IF(預測IC!DB12&gt;預測IC!DB$25,1,0)</f>
        <v>0</v>
      </c>
      <c r="DC12" s="10">
        <f>IF(預測IC!DC12&gt;預測IC!DC$25,1,0)</f>
        <v>1</v>
      </c>
      <c r="DD12" s="10">
        <f>IF(預測IC!DD12&gt;預測IC!DD$25,1,0)</f>
        <v>1</v>
      </c>
      <c r="DE12" s="10">
        <f>IF(預測IC!DE12&gt;預測IC!DE$25,1,0)</f>
        <v>0</v>
      </c>
      <c r="DF12" s="10">
        <f>IF(預測IC!DF12&gt;預測IC!DF$25,1,0)</f>
        <v>1</v>
      </c>
      <c r="DG12" s="10">
        <f>IF(預測IC!DG12&gt;預測IC!DG$25,1,0)</f>
        <v>0</v>
      </c>
      <c r="DH12" s="10">
        <f>IF(預測IC!DH12&gt;預測IC!DH$25,1,0)</f>
        <v>0</v>
      </c>
      <c r="DI12" s="10">
        <f>IF(預測IC!DI12&gt;預測IC!DI$25,1,0)</f>
        <v>1</v>
      </c>
      <c r="DJ12" s="10">
        <f>IF(預測IC!DJ12&gt;預測IC!DJ$25,1,0)</f>
        <v>1</v>
      </c>
      <c r="DK12" s="10">
        <f>IF(預測IC!DK12&gt;預測IC!DK$25,1,0)</f>
        <v>0</v>
      </c>
      <c r="DL12" s="10">
        <f>IF(預測IC!DL12&gt;預測IC!DL$25,1,0)</f>
        <v>0</v>
      </c>
      <c r="DM12" s="10">
        <f>IF(預測IC!DM12&gt;預測IC!DM$25,1,0)</f>
        <v>0</v>
      </c>
      <c r="DN12" s="10">
        <f>IF(預測IC!DN12&gt;預測IC!DN$25,1,0)</f>
        <v>1</v>
      </c>
      <c r="DO12" s="10">
        <f>IF(預測IC!DO12&gt;預測IC!DO$25,1,0)</f>
        <v>0</v>
      </c>
      <c r="DP12" s="10">
        <f>IF(預測IC!DP12&gt;預測IC!DP$25,1,0)</f>
        <v>1</v>
      </c>
      <c r="DQ12" s="10">
        <f>IF(預測IC!DQ12&gt;預測IC!DQ$25,1,0)</f>
        <v>0</v>
      </c>
      <c r="DR12" s="10">
        <f>IF(預測IC!DR12&gt;預測IC!DR$25,1,0)</f>
        <v>0</v>
      </c>
      <c r="DS12" s="10">
        <f>IF(預測IC!DS12&gt;預測IC!DS$25,1,0)</f>
        <v>1</v>
      </c>
      <c r="DT12" s="10">
        <f>IF(預測IC!DT12&gt;預測IC!DT$25,1,0)</f>
        <v>0</v>
      </c>
      <c r="DU12" s="10">
        <f>IF(預測IC!DU12&gt;預測IC!DU$25,1,0)</f>
        <v>0</v>
      </c>
      <c r="DV12" s="10">
        <f>IF(預測IC!DV12&gt;預測IC!DV$25,1,0)</f>
        <v>1</v>
      </c>
      <c r="DW12" s="10">
        <f>IF(預測IC!DW12&gt;預測IC!DW$25,1,0)</f>
        <v>0</v>
      </c>
      <c r="DX12" s="10">
        <f>IF(預測IC!DX12&gt;預測IC!DX$25,1,0)</f>
        <v>0</v>
      </c>
      <c r="DY12" s="10">
        <f>IF(預測IC!DY12&gt;預測IC!DY$25,1,0)</f>
        <v>1</v>
      </c>
      <c r="DZ12" s="10">
        <f>IF(預測IC!DZ12&gt;預測IC!DZ$25,1,0)</f>
        <v>0</v>
      </c>
      <c r="EA12" s="10">
        <f>IF(預測IC!EA12&gt;預測IC!EA$25,1,0)</f>
        <v>1</v>
      </c>
      <c r="EB12" s="10">
        <f>IF(預測IC!EB12&gt;預測IC!EB$25,1,0)</f>
        <v>0</v>
      </c>
      <c r="EC12" s="10">
        <f>IF(預測IC!EC12&gt;預測IC!EC$25,1,0)</f>
        <v>1</v>
      </c>
      <c r="ED12" s="10">
        <f>IF(預測IC!ED12&gt;預測IC!ED$25,1,0)</f>
        <v>0</v>
      </c>
      <c r="EE12" s="10">
        <f>IF(預測IC!EE12&gt;預測IC!EE$25,1,0)</f>
        <v>0</v>
      </c>
      <c r="EF12" s="10">
        <f>IF(預測IC!EF12&gt;預測IC!EF$25,1,0)</f>
        <v>1</v>
      </c>
      <c r="EG12" s="10">
        <f>IF(預測IC!EG12&gt;預測IC!EG$25,1,0)</f>
        <v>1</v>
      </c>
      <c r="EH12" s="10">
        <f>IF(預測IC!EH12&gt;預測IC!EH$25,1,0)</f>
        <v>1</v>
      </c>
      <c r="EI12" s="10">
        <f>IF(預測IC!EI12&gt;預測IC!EI$25,1,0)</f>
        <v>0</v>
      </c>
      <c r="EJ12" s="10">
        <f>IF(預測IC!EJ12&gt;預測IC!EJ$25,1,0)</f>
        <v>0</v>
      </c>
      <c r="EK12" s="10">
        <f>IF(預測IC!EK12&gt;預測IC!EK$25,1,0)</f>
        <v>0</v>
      </c>
      <c r="EL12" s="10">
        <f>IF(預測IC!EL12&gt;預測IC!EL$25,1,0)</f>
        <v>0</v>
      </c>
      <c r="EM12" s="6">
        <f t="shared" ref="EM12:EM24" si="11">SUM(C12:EL12)</f>
        <v>60</v>
      </c>
      <c r="EN12" s="19">
        <f t="shared" ref="EN12:EN24" si="12">EM12/140</f>
        <v>0.42857142857142855</v>
      </c>
    </row>
    <row r="13" spans="1:144" x14ac:dyDescent="0.3">
      <c r="A13" s="18">
        <v>20</v>
      </c>
      <c r="B13" s="18">
        <f t="shared" si="10"/>
        <v>53</v>
      </c>
      <c r="C13" s="10">
        <f>IF(預測IC!C13&gt;預測IC!C$25,1,0)</f>
        <v>1</v>
      </c>
      <c r="D13" s="10">
        <f>IF(預測IC!D13&gt;預測IC!D$25,1,0)</f>
        <v>1</v>
      </c>
      <c r="E13" s="10">
        <f>IF(預測IC!E13&gt;預測IC!E$25,1,0)</f>
        <v>1</v>
      </c>
      <c r="F13" s="10">
        <f>IF(預測IC!F13&gt;預測IC!F$25,1,0)</f>
        <v>1</v>
      </c>
      <c r="G13" s="10">
        <f>IF(預測IC!G13&gt;預測IC!G$25,1,0)</f>
        <v>0</v>
      </c>
      <c r="H13" s="10">
        <f>IF(預測IC!H13&gt;預測IC!H$25,1,0)</f>
        <v>0</v>
      </c>
      <c r="I13" s="10">
        <f>IF(預測IC!I13&gt;預測IC!I$25,1,0)</f>
        <v>1</v>
      </c>
      <c r="J13" s="10">
        <f>IF(預測IC!J13&gt;預測IC!J$25,1,0)</f>
        <v>1</v>
      </c>
      <c r="K13" s="10">
        <f>IF(預測IC!K13&gt;預測IC!K$25,1,0)</f>
        <v>1</v>
      </c>
      <c r="L13" s="10">
        <f>IF(預測IC!L13&gt;預測IC!L$25,1,0)</f>
        <v>0</v>
      </c>
      <c r="M13" s="10">
        <f>IF(預測IC!M13&gt;預測IC!M$25,1,0)</f>
        <v>0</v>
      </c>
      <c r="N13" s="10">
        <f>IF(預測IC!N13&gt;預測IC!N$25,1,0)</f>
        <v>1</v>
      </c>
      <c r="O13" s="10">
        <f>IF(預測IC!O13&gt;預測IC!O$25,1,0)</f>
        <v>1</v>
      </c>
      <c r="P13" s="10">
        <f>IF(預測IC!P13&gt;預測IC!P$25,1,0)</f>
        <v>0</v>
      </c>
      <c r="Q13" s="10">
        <f>IF(預測IC!Q13&gt;預測IC!Q$25,1,0)</f>
        <v>0</v>
      </c>
      <c r="R13" s="10">
        <f>IF(預測IC!R13&gt;預測IC!R$25,1,0)</f>
        <v>0</v>
      </c>
      <c r="S13" s="10">
        <f>IF(預測IC!S13&gt;預測IC!S$25,1,0)</f>
        <v>0</v>
      </c>
      <c r="T13" s="10">
        <f>IF(預測IC!T13&gt;預測IC!T$25,1,0)</f>
        <v>0</v>
      </c>
      <c r="U13" s="10">
        <f>IF(預測IC!U13&gt;預測IC!U$25,1,0)</f>
        <v>1</v>
      </c>
      <c r="V13" s="10">
        <f>IF(預測IC!V13&gt;預測IC!V$25,1,0)</f>
        <v>1</v>
      </c>
      <c r="W13" s="10">
        <f>IF(預測IC!W13&gt;預測IC!W$25,1,0)</f>
        <v>0</v>
      </c>
      <c r="X13" s="10">
        <f>IF(預測IC!X13&gt;預測IC!X$25,1,0)</f>
        <v>1</v>
      </c>
      <c r="Y13" s="10">
        <f>IF(預測IC!Y13&gt;預測IC!Y$25,1,0)</f>
        <v>1</v>
      </c>
      <c r="Z13" s="10">
        <f>IF(預測IC!Z13&gt;預測IC!Z$25,1,0)</f>
        <v>1</v>
      </c>
      <c r="AA13" s="10">
        <f>IF(預測IC!AA13&gt;預測IC!AA$25,1,0)</f>
        <v>1</v>
      </c>
      <c r="AB13" s="10">
        <f>IF(預測IC!AB13&gt;預測IC!AB$25,1,0)</f>
        <v>0</v>
      </c>
      <c r="AC13" s="10">
        <f>IF(預測IC!AC13&gt;預測IC!AC$25,1,0)</f>
        <v>0</v>
      </c>
      <c r="AD13" s="10">
        <f>IF(預測IC!AD13&gt;預測IC!AD$25,1,0)</f>
        <v>1</v>
      </c>
      <c r="AE13" s="10">
        <f>IF(預測IC!AE13&gt;預測IC!AE$25,1,0)</f>
        <v>0</v>
      </c>
      <c r="AF13" s="10">
        <f>IF(預測IC!AF13&gt;預測IC!AF$25,1,0)</f>
        <v>0</v>
      </c>
      <c r="AG13" s="10">
        <f>IF(預測IC!AG13&gt;預測IC!AG$25,1,0)</f>
        <v>0</v>
      </c>
      <c r="AH13" s="10">
        <f>IF(預測IC!AH13&gt;預測IC!AH$25,1,0)</f>
        <v>0</v>
      </c>
      <c r="AI13" s="10">
        <f>IF(預測IC!AI13&gt;預測IC!AI$25,1,0)</f>
        <v>1</v>
      </c>
      <c r="AJ13" s="10">
        <f>IF(預測IC!AJ13&gt;預測IC!AJ$25,1,0)</f>
        <v>0</v>
      </c>
      <c r="AK13" s="10">
        <f>IF(預測IC!AK13&gt;預測IC!AK$25,1,0)</f>
        <v>1</v>
      </c>
      <c r="AL13" s="10">
        <f>IF(預測IC!AL13&gt;預測IC!AL$25,1,0)</f>
        <v>1</v>
      </c>
      <c r="AM13" s="10">
        <f>IF(預測IC!AM13&gt;預測IC!AM$25,1,0)</f>
        <v>1</v>
      </c>
      <c r="AN13" s="10">
        <f>IF(預測IC!AN13&gt;預測IC!AN$25,1,0)</f>
        <v>0</v>
      </c>
      <c r="AO13" s="10">
        <f>IF(預測IC!AO13&gt;預測IC!AO$25,1,0)</f>
        <v>0</v>
      </c>
      <c r="AP13" s="10">
        <f>IF(預測IC!AP13&gt;預測IC!AP$25,1,0)</f>
        <v>0</v>
      </c>
      <c r="AQ13" s="10">
        <f>IF(預測IC!AQ13&gt;預測IC!AQ$25,1,0)</f>
        <v>0</v>
      </c>
      <c r="AR13" s="10">
        <f>IF(預測IC!AR13&gt;預測IC!AR$25,1,0)</f>
        <v>0</v>
      </c>
      <c r="AS13" s="10">
        <f>IF(預測IC!AS13&gt;預測IC!AS$25,1,0)</f>
        <v>0</v>
      </c>
      <c r="AT13" s="10">
        <f>IF(預測IC!AT13&gt;預測IC!AT$25,1,0)</f>
        <v>0</v>
      </c>
      <c r="AU13" s="10">
        <f>IF(預測IC!AU13&gt;預測IC!AU$25,1,0)</f>
        <v>0</v>
      </c>
      <c r="AV13" s="10">
        <f>IF(預測IC!AV13&gt;預測IC!AV$25,1,0)</f>
        <v>0</v>
      </c>
      <c r="AW13" s="10">
        <f>IF(預測IC!AW13&gt;預測IC!AW$25,1,0)</f>
        <v>1</v>
      </c>
      <c r="AX13" s="10">
        <f>IF(預測IC!AX13&gt;預測IC!AX$25,1,0)</f>
        <v>1</v>
      </c>
      <c r="AY13" s="10">
        <f>IF(預測IC!AY13&gt;預測IC!AY$25,1,0)</f>
        <v>0</v>
      </c>
      <c r="AZ13" s="10">
        <f>IF(預測IC!AZ13&gt;預測IC!AZ$25,1,0)</f>
        <v>1</v>
      </c>
      <c r="BA13" s="10">
        <f>IF(預測IC!BA13&gt;預測IC!BA$25,1,0)</f>
        <v>0</v>
      </c>
      <c r="BB13" s="10">
        <f>IF(預測IC!BB13&gt;預測IC!BB$25,1,0)</f>
        <v>1</v>
      </c>
      <c r="BC13" s="10">
        <f>IF(預測IC!BC13&gt;預測IC!BC$25,1,0)</f>
        <v>0</v>
      </c>
      <c r="BD13" s="10">
        <f>IF(預測IC!BD13&gt;預測IC!BD$25,1,0)</f>
        <v>1</v>
      </c>
      <c r="BE13" s="10">
        <f>IF(預測IC!BE13&gt;預測IC!BE$25,1,0)</f>
        <v>0</v>
      </c>
      <c r="BF13" s="10">
        <f>IF(預測IC!BF13&gt;預測IC!BF$25,1,0)</f>
        <v>0</v>
      </c>
      <c r="BG13" s="10">
        <f>IF(預測IC!BG13&gt;預測IC!BG$25,1,0)</f>
        <v>1</v>
      </c>
      <c r="BH13" s="10">
        <f>IF(預測IC!BH13&gt;預測IC!BH$25,1,0)</f>
        <v>1</v>
      </c>
      <c r="BI13" s="10">
        <f>IF(預測IC!BI13&gt;預測IC!BI$25,1,0)</f>
        <v>0</v>
      </c>
      <c r="BJ13" s="10">
        <f>IF(預測IC!BJ13&gt;預測IC!BJ$25,1,0)</f>
        <v>1</v>
      </c>
      <c r="BK13" s="10">
        <f>IF(預測IC!BK13&gt;預測IC!BK$25,1,0)</f>
        <v>0</v>
      </c>
      <c r="BL13" s="10">
        <f>IF(預測IC!BL13&gt;預測IC!BL$25,1,0)</f>
        <v>0</v>
      </c>
      <c r="BM13" s="10">
        <f>IF(預測IC!BM13&gt;預測IC!BM$25,1,0)</f>
        <v>0</v>
      </c>
      <c r="BN13" s="10">
        <f>IF(預測IC!BN13&gt;預測IC!BN$25,1,0)</f>
        <v>0</v>
      </c>
      <c r="BO13" s="10">
        <f>IF(預測IC!BO13&gt;預測IC!BO$25,1,0)</f>
        <v>1</v>
      </c>
      <c r="BP13" s="10">
        <f>IF(預測IC!BP13&gt;預測IC!BP$25,1,0)</f>
        <v>0</v>
      </c>
      <c r="BQ13" s="10">
        <f>IF(預測IC!BQ13&gt;預測IC!BQ$25,1,0)</f>
        <v>1</v>
      </c>
      <c r="BR13" s="10">
        <f>IF(預測IC!BR13&gt;預測IC!BR$25,1,0)</f>
        <v>1</v>
      </c>
      <c r="BS13" s="10">
        <f>IF(預測IC!BS13&gt;預測IC!BS$25,1,0)</f>
        <v>0</v>
      </c>
      <c r="BT13" s="10">
        <f>IF(預測IC!BT13&gt;預測IC!BT$25,1,0)</f>
        <v>0</v>
      </c>
      <c r="BU13" s="10">
        <f>IF(預測IC!BU13&gt;預測IC!BU$25,1,0)</f>
        <v>0</v>
      </c>
      <c r="BV13" s="10">
        <f>IF(預測IC!BV13&gt;預測IC!BV$25,1,0)</f>
        <v>0</v>
      </c>
      <c r="BW13" s="10">
        <f>IF(預測IC!BW13&gt;預測IC!BW$25,1,0)</f>
        <v>1</v>
      </c>
      <c r="BX13" s="10">
        <f>IF(預測IC!BX13&gt;預測IC!BX$25,1,0)</f>
        <v>1</v>
      </c>
      <c r="BY13" s="10">
        <f>IF(預測IC!BY13&gt;預測IC!BY$25,1,0)</f>
        <v>1</v>
      </c>
      <c r="BZ13" s="10">
        <f>IF(預測IC!BZ13&gt;預測IC!BZ$25,1,0)</f>
        <v>0</v>
      </c>
      <c r="CA13" s="10">
        <f>IF(預測IC!CA13&gt;預測IC!CA$25,1,0)</f>
        <v>1</v>
      </c>
      <c r="CB13" s="10">
        <f>IF(預測IC!CB13&gt;預測IC!CB$25,1,0)</f>
        <v>0</v>
      </c>
      <c r="CC13" s="10">
        <f>IF(預測IC!CC13&gt;預測IC!CC$25,1,0)</f>
        <v>0</v>
      </c>
      <c r="CD13" s="10">
        <f>IF(預測IC!CD13&gt;預測IC!CD$25,1,0)</f>
        <v>1</v>
      </c>
      <c r="CE13" s="10">
        <f>IF(預測IC!CE13&gt;預測IC!CE$25,1,0)</f>
        <v>1</v>
      </c>
      <c r="CF13" s="10">
        <f>IF(預測IC!CF13&gt;預測IC!CF$25,1,0)</f>
        <v>1</v>
      </c>
      <c r="CG13" s="10">
        <f>IF(預測IC!CG13&gt;預測IC!CG$25,1,0)</f>
        <v>0</v>
      </c>
      <c r="CH13" s="10">
        <f>IF(預測IC!CH13&gt;預測IC!CH$25,1,0)</f>
        <v>0</v>
      </c>
      <c r="CI13" s="10">
        <f>IF(預測IC!CI13&gt;預測IC!CI$25,1,0)</f>
        <v>0</v>
      </c>
      <c r="CJ13" s="10">
        <f>IF(預測IC!CJ13&gt;預測IC!CJ$25,1,0)</f>
        <v>0</v>
      </c>
      <c r="CK13" s="10">
        <f>IF(預測IC!CK13&gt;預測IC!CK$25,1,0)</f>
        <v>0</v>
      </c>
      <c r="CL13" s="10">
        <f>IF(預測IC!CL13&gt;預測IC!CL$25,1,0)</f>
        <v>1</v>
      </c>
      <c r="CM13" s="10">
        <f>IF(預測IC!CM13&gt;預測IC!CM$25,1,0)</f>
        <v>0</v>
      </c>
      <c r="CN13" s="10">
        <f>IF(預測IC!CN13&gt;預測IC!CN$25,1,0)</f>
        <v>0</v>
      </c>
      <c r="CO13" s="10">
        <f>IF(預測IC!CO13&gt;預測IC!CO$25,1,0)</f>
        <v>0</v>
      </c>
      <c r="CP13" s="10">
        <f>IF(預測IC!CP13&gt;預測IC!CP$25,1,0)</f>
        <v>0</v>
      </c>
      <c r="CQ13" s="10">
        <f>IF(預測IC!CQ13&gt;預測IC!CQ$25,1,0)</f>
        <v>1</v>
      </c>
      <c r="CR13" s="10">
        <f>IF(預測IC!CR13&gt;預測IC!CR$25,1,0)</f>
        <v>0</v>
      </c>
      <c r="CS13" s="10">
        <f>IF(預測IC!CS13&gt;預測IC!CS$25,1,0)</f>
        <v>0</v>
      </c>
      <c r="CT13" s="10">
        <f>IF(預測IC!CT13&gt;預測IC!CT$25,1,0)</f>
        <v>0</v>
      </c>
      <c r="CU13" s="10">
        <f>IF(預測IC!CU13&gt;預測IC!CU$25,1,0)</f>
        <v>1</v>
      </c>
      <c r="CV13" s="10">
        <f>IF(預測IC!CV13&gt;預測IC!CV$25,1,0)</f>
        <v>1</v>
      </c>
      <c r="CW13" s="10">
        <f>IF(預測IC!CW13&gt;預測IC!CW$25,1,0)</f>
        <v>0</v>
      </c>
      <c r="CX13" s="10">
        <f>IF(預測IC!CX13&gt;預測IC!CX$25,1,0)</f>
        <v>1</v>
      </c>
      <c r="CY13" s="10">
        <f>IF(預測IC!CY13&gt;預測IC!CY$25,1,0)</f>
        <v>0</v>
      </c>
      <c r="CZ13" s="10">
        <f>IF(預測IC!CZ13&gt;預測IC!CZ$25,1,0)</f>
        <v>1</v>
      </c>
      <c r="DA13" s="10">
        <f>IF(預測IC!DA13&gt;預測IC!DA$25,1,0)</f>
        <v>1</v>
      </c>
      <c r="DB13" s="10">
        <f>IF(預測IC!DB13&gt;預測IC!DB$25,1,0)</f>
        <v>0</v>
      </c>
      <c r="DC13" s="10">
        <f>IF(預測IC!DC13&gt;預測IC!DC$25,1,0)</f>
        <v>1</v>
      </c>
      <c r="DD13" s="10">
        <f>IF(預測IC!DD13&gt;預測IC!DD$25,1,0)</f>
        <v>1</v>
      </c>
      <c r="DE13" s="10">
        <f>IF(預測IC!DE13&gt;預測IC!DE$25,1,0)</f>
        <v>0</v>
      </c>
      <c r="DF13" s="10">
        <f>IF(預測IC!DF13&gt;預測IC!DF$25,1,0)</f>
        <v>1</v>
      </c>
      <c r="DG13" s="10">
        <f>IF(預測IC!DG13&gt;預測IC!DG$25,1,0)</f>
        <v>0</v>
      </c>
      <c r="DH13" s="10">
        <f>IF(預測IC!DH13&gt;預測IC!DH$25,1,0)</f>
        <v>0</v>
      </c>
      <c r="DI13" s="10">
        <f>IF(預測IC!DI13&gt;預測IC!DI$25,1,0)</f>
        <v>1</v>
      </c>
      <c r="DJ13" s="10">
        <f>IF(預測IC!DJ13&gt;預測IC!DJ$25,1,0)</f>
        <v>1</v>
      </c>
      <c r="DK13" s="10">
        <f>IF(預測IC!DK13&gt;預測IC!DK$25,1,0)</f>
        <v>0</v>
      </c>
      <c r="DL13" s="10">
        <f>IF(預測IC!DL13&gt;預測IC!DL$25,1,0)</f>
        <v>0</v>
      </c>
      <c r="DM13" s="10">
        <f>IF(預測IC!DM13&gt;預測IC!DM$25,1,0)</f>
        <v>0</v>
      </c>
      <c r="DN13" s="10">
        <f>IF(預測IC!DN13&gt;預測IC!DN$25,1,0)</f>
        <v>1</v>
      </c>
      <c r="DO13" s="10">
        <f>IF(預測IC!DO13&gt;預測IC!DO$25,1,0)</f>
        <v>0</v>
      </c>
      <c r="DP13" s="10">
        <f>IF(預測IC!DP13&gt;預測IC!DP$25,1,0)</f>
        <v>1</v>
      </c>
      <c r="DQ13" s="10">
        <f>IF(預測IC!DQ13&gt;預測IC!DQ$25,1,0)</f>
        <v>0</v>
      </c>
      <c r="DR13" s="10">
        <f>IF(預測IC!DR13&gt;預測IC!DR$25,1,0)</f>
        <v>0</v>
      </c>
      <c r="DS13" s="10">
        <f>IF(預測IC!DS13&gt;預測IC!DS$25,1,0)</f>
        <v>1</v>
      </c>
      <c r="DT13" s="10">
        <f>IF(預測IC!DT13&gt;預測IC!DT$25,1,0)</f>
        <v>0</v>
      </c>
      <c r="DU13" s="10">
        <f>IF(預測IC!DU13&gt;預測IC!DU$25,1,0)</f>
        <v>0</v>
      </c>
      <c r="DV13" s="10">
        <f>IF(預測IC!DV13&gt;預測IC!DV$25,1,0)</f>
        <v>1</v>
      </c>
      <c r="DW13" s="10">
        <f>IF(預測IC!DW13&gt;預測IC!DW$25,1,0)</f>
        <v>0</v>
      </c>
      <c r="DX13" s="10">
        <f>IF(預測IC!DX13&gt;預測IC!DX$25,1,0)</f>
        <v>0</v>
      </c>
      <c r="DY13" s="10">
        <f>IF(預測IC!DY13&gt;預測IC!DY$25,1,0)</f>
        <v>1</v>
      </c>
      <c r="DZ13" s="10">
        <f>IF(預測IC!DZ13&gt;預測IC!DZ$25,1,0)</f>
        <v>0</v>
      </c>
      <c r="EA13" s="10">
        <f>IF(預測IC!EA13&gt;預測IC!EA$25,1,0)</f>
        <v>1</v>
      </c>
      <c r="EB13" s="10">
        <f>IF(預測IC!EB13&gt;預測IC!EB$25,1,0)</f>
        <v>0</v>
      </c>
      <c r="EC13" s="10">
        <f>IF(預測IC!EC13&gt;預測IC!EC$25,1,0)</f>
        <v>1</v>
      </c>
      <c r="ED13" s="10">
        <f>IF(預測IC!ED13&gt;預測IC!ED$25,1,0)</f>
        <v>0</v>
      </c>
      <c r="EE13" s="10">
        <f>IF(預測IC!EE13&gt;預測IC!EE$25,1,0)</f>
        <v>0</v>
      </c>
      <c r="EF13" s="10">
        <f>IF(預測IC!EF13&gt;預測IC!EF$25,1,0)</f>
        <v>1</v>
      </c>
      <c r="EG13" s="10">
        <f>IF(預測IC!EG13&gt;預測IC!EG$25,1,0)</f>
        <v>1</v>
      </c>
      <c r="EH13" s="10">
        <f>IF(預測IC!EH13&gt;預測IC!EH$25,1,0)</f>
        <v>1</v>
      </c>
      <c r="EI13" s="10">
        <f>IF(預測IC!EI13&gt;預測IC!EI$25,1,0)</f>
        <v>0</v>
      </c>
      <c r="EJ13" s="10">
        <f>IF(預測IC!EJ13&gt;預測IC!EJ$25,1,0)</f>
        <v>0</v>
      </c>
      <c r="EK13" s="10">
        <f>IF(預測IC!EK13&gt;預測IC!EK$25,1,0)</f>
        <v>0</v>
      </c>
      <c r="EL13" s="10">
        <f>IF(預測IC!EL13&gt;預測IC!EL$25,1,0)</f>
        <v>0</v>
      </c>
      <c r="EM13" s="6">
        <f t="shared" si="11"/>
        <v>60</v>
      </c>
      <c r="EN13" s="19">
        <f t="shared" si="12"/>
        <v>0.42857142857142855</v>
      </c>
    </row>
    <row r="14" spans="1:144" x14ac:dyDescent="0.3">
      <c r="A14" s="18">
        <v>50</v>
      </c>
      <c r="B14" s="18">
        <f t="shared" si="10"/>
        <v>21</v>
      </c>
      <c r="C14" s="10">
        <f>IF(預測IC!C14&gt;預測IC!C$25,1,0)</f>
        <v>0</v>
      </c>
      <c r="D14" s="10">
        <f>IF(預測IC!D14&gt;預測IC!D$25,1,0)</f>
        <v>1</v>
      </c>
      <c r="E14" s="10">
        <f>IF(預測IC!E14&gt;預測IC!E$25,1,0)</f>
        <v>1</v>
      </c>
      <c r="F14" s="10">
        <f>IF(預測IC!F14&gt;預測IC!F$25,1,0)</f>
        <v>1</v>
      </c>
      <c r="G14" s="10">
        <f>IF(預測IC!G14&gt;預測IC!G$25,1,0)</f>
        <v>1</v>
      </c>
      <c r="H14" s="10">
        <f>IF(預測IC!H14&gt;預測IC!H$25,1,0)</f>
        <v>1</v>
      </c>
      <c r="I14" s="10">
        <f>IF(預測IC!I14&gt;預測IC!I$25,1,0)</f>
        <v>1</v>
      </c>
      <c r="J14" s="10">
        <f>IF(預測IC!J14&gt;預測IC!J$25,1,0)</f>
        <v>1</v>
      </c>
      <c r="K14" s="10">
        <f>IF(預測IC!K14&gt;預測IC!K$25,1,0)</f>
        <v>0</v>
      </c>
      <c r="L14" s="10">
        <f>IF(預測IC!L14&gt;預測IC!L$25,1,0)</f>
        <v>0</v>
      </c>
      <c r="M14" s="10">
        <f>IF(預測IC!M14&gt;預測IC!M$25,1,0)</f>
        <v>0</v>
      </c>
      <c r="N14" s="10">
        <f>IF(預測IC!N14&gt;預測IC!N$25,1,0)</f>
        <v>1</v>
      </c>
      <c r="O14" s="10">
        <f>IF(預測IC!O14&gt;預測IC!O$25,1,0)</f>
        <v>0</v>
      </c>
      <c r="P14" s="10">
        <f>IF(預測IC!P14&gt;預測IC!P$25,1,0)</f>
        <v>0</v>
      </c>
      <c r="Q14" s="10">
        <f>IF(預測IC!Q14&gt;預測IC!Q$25,1,0)</f>
        <v>0</v>
      </c>
      <c r="R14" s="10">
        <f>IF(預測IC!R14&gt;預測IC!R$25,1,0)</f>
        <v>0</v>
      </c>
      <c r="S14" s="10">
        <f>IF(預測IC!S14&gt;預測IC!S$25,1,0)</f>
        <v>0</v>
      </c>
      <c r="T14" s="10">
        <f>IF(預測IC!T14&gt;預測IC!T$25,1,0)</f>
        <v>0</v>
      </c>
      <c r="U14" s="10">
        <f>IF(預測IC!U14&gt;預測IC!U$25,1,0)</f>
        <v>1</v>
      </c>
      <c r="V14" s="10">
        <f>IF(預測IC!V14&gt;預測IC!V$25,1,0)</f>
        <v>1</v>
      </c>
      <c r="W14" s="10">
        <f>IF(預測IC!W14&gt;預測IC!W$25,1,0)</f>
        <v>0</v>
      </c>
      <c r="X14" s="10">
        <f>IF(預測IC!X14&gt;預測IC!X$25,1,0)</f>
        <v>1</v>
      </c>
      <c r="Y14" s="10">
        <f>IF(預測IC!Y14&gt;預測IC!Y$25,1,0)</f>
        <v>1</v>
      </c>
      <c r="Z14" s="10">
        <f>IF(預測IC!Z14&gt;預測IC!Z$25,1,0)</f>
        <v>1</v>
      </c>
      <c r="AA14" s="10">
        <f>IF(預測IC!AA14&gt;預測IC!AA$25,1,0)</f>
        <v>1</v>
      </c>
      <c r="AB14" s="10">
        <f>IF(預測IC!AB14&gt;預測IC!AB$25,1,0)</f>
        <v>0</v>
      </c>
      <c r="AC14" s="10">
        <f>IF(預測IC!AC14&gt;預測IC!AC$25,1,0)</f>
        <v>0</v>
      </c>
      <c r="AD14" s="10">
        <f>IF(預測IC!AD14&gt;預測IC!AD$25,1,0)</f>
        <v>1</v>
      </c>
      <c r="AE14" s="10">
        <f>IF(預測IC!AE14&gt;預測IC!AE$25,1,0)</f>
        <v>0</v>
      </c>
      <c r="AF14" s="10">
        <f>IF(預測IC!AF14&gt;預測IC!AF$25,1,0)</f>
        <v>0</v>
      </c>
      <c r="AG14" s="10">
        <f>IF(預測IC!AG14&gt;預測IC!AG$25,1,0)</f>
        <v>0</v>
      </c>
      <c r="AH14" s="10">
        <f>IF(預測IC!AH14&gt;預測IC!AH$25,1,0)</f>
        <v>0</v>
      </c>
      <c r="AI14" s="10">
        <f>IF(預測IC!AI14&gt;預測IC!AI$25,1,0)</f>
        <v>1</v>
      </c>
      <c r="AJ14" s="10">
        <f>IF(預測IC!AJ14&gt;預測IC!AJ$25,1,0)</f>
        <v>1</v>
      </c>
      <c r="AK14" s="10">
        <f>IF(預測IC!AK14&gt;預測IC!AK$25,1,0)</f>
        <v>1</v>
      </c>
      <c r="AL14" s="10">
        <f>IF(預測IC!AL14&gt;預測IC!AL$25,1,0)</f>
        <v>1</v>
      </c>
      <c r="AM14" s="10">
        <f>IF(預測IC!AM14&gt;預測IC!AM$25,1,0)</f>
        <v>1</v>
      </c>
      <c r="AN14" s="10">
        <f>IF(預測IC!AN14&gt;預測IC!AN$25,1,0)</f>
        <v>0</v>
      </c>
      <c r="AO14" s="10">
        <f>IF(預測IC!AO14&gt;預測IC!AO$25,1,0)</f>
        <v>1</v>
      </c>
      <c r="AP14" s="10">
        <f>IF(預測IC!AP14&gt;預測IC!AP$25,1,0)</f>
        <v>0</v>
      </c>
      <c r="AQ14" s="10">
        <f>IF(預測IC!AQ14&gt;預測IC!AQ$25,1,0)</f>
        <v>0</v>
      </c>
      <c r="AR14" s="10">
        <f>IF(預測IC!AR14&gt;預測IC!AR$25,1,0)</f>
        <v>1</v>
      </c>
      <c r="AS14" s="10">
        <f>IF(預測IC!AS14&gt;預測IC!AS$25,1,0)</f>
        <v>1</v>
      </c>
      <c r="AT14" s="10">
        <f>IF(預測IC!AT14&gt;預測IC!AT$25,1,0)</f>
        <v>0</v>
      </c>
      <c r="AU14" s="10">
        <f>IF(預測IC!AU14&gt;預測IC!AU$25,1,0)</f>
        <v>0</v>
      </c>
      <c r="AV14" s="10">
        <f>IF(預測IC!AV14&gt;預測IC!AV$25,1,0)</f>
        <v>0</v>
      </c>
      <c r="AW14" s="10">
        <f>IF(預測IC!AW14&gt;預測IC!AW$25,1,0)</f>
        <v>1</v>
      </c>
      <c r="AX14" s="10">
        <f>IF(預測IC!AX14&gt;預測IC!AX$25,1,0)</f>
        <v>1</v>
      </c>
      <c r="AY14" s="10">
        <f>IF(預測IC!AY14&gt;預測IC!AY$25,1,0)</f>
        <v>0</v>
      </c>
      <c r="AZ14" s="10">
        <f>IF(預測IC!AZ14&gt;預測IC!AZ$25,1,0)</f>
        <v>1</v>
      </c>
      <c r="BA14" s="10">
        <f>IF(預測IC!BA14&gt;預測IC!BA$25,1,0)</f>
        <v>0</v>
      </c>
      <c r="BB14" s="10">
        <f>IF(預測IC!BB14&gt;預測IC!BB$25,1,0)</f>
        <v>1</v>
      </c>
      <c r="BC14" s="10">
        <f>IF(預測IC!BC14&gt;預測IC!BC$25,1,0)</f>
        <v>1</v>
      </c>
      <c r="BD14" s="10">
        <f>IF(預測IC!BD14&gt;預測IC!BD$25,1,0)</f>
        <v>1</v>
      </c>
      <c r="BE14" s="10">
        <f>IF(預測IC!BE14&gt;預測IC!BE$25,1,0)</f>
        <v>0</v>
      </c>
      <c r="BF14" s="10">
        <f>IF(預測IC!BF14&gt;預測IC!BF$25,1,0)</f>
        <v>1</v>
      </c>
      <c r="BG14" s="10">
        <f>IF(預測IC!BG14&gt;預測IC!BG$25,1,0)</f>
        <v>1</v>
      </c>
      <c r="BH14" s="10">
        <f>IF(預測IC!BH14&gt;預測IC!BH$25,1,0)</f>
        <v>1</v>
      </c>
      <c r="BI14" s="10">
        <f>IF(預測IC!BI14&gt;預測IC!BI$25,1,0)</f>
        <v>0</v>
      </c>
      <c r="BJ14" s="10">
        <f>IF(預測IC!BJ14&gt;預測IC!BJ$25,1,0)</f>
        <v>1</v>
      </c>
      <c r="BK14" s="10">
        <f>IF(預測IC!BK14&gt;預測IC!BK$25,1,0)</f>
        <v>1</v>
      </c>
      <c r="BL14" s="10">
        <f>IF(預測IC!BL14&gt;預測IC!BL$25,1,0)</f>
        <v>1</v>
      </c>
      <c r="BM14" s="10">
        <f>IF(預測IC!BM14&gt;預測IC!BM$25,1,0)</f>
        <v>1</v>
      </c>
      <c r="BN14" s="10">
        <f>IF(預測IC!BN14&gt;預測IC!BN$25,1,0)</f>
        <v>0</v>
      </c>
      <c r="BO14" s="10">
        <f>IF(預測IC!BO14&gt;預測IC!BO$25,1,0)</f>
        <v>1</v>
      </c>
      <c r="BP14" s="10">
        <f>IF(預測IC!BP14&gt;預測IC!BP$25,1,0)</f>
        <v>0</v>
      </c>
      <c r="BQ14" s="10">
        <f>IF(預測IC!BQ14&gt;預測IC!BQ$25,1,0)</f>
        <v>0</v>
      </c>
      <c r="BR14" s="10">
        <f>IF(預測IC!BR14&gt;預測IC!BR$25,1,0)</f>
        <v>0</v>
      </c>
      <c r="BS14" s="10">
        <f>IF(預測IC!BS14&gt;預測IC!BS$25,1,0)</f>
        <v>0</v>
      </c>
      <c r="BT14" s="10">
        <f>IF(預測IC!BT14&gt;預測IC!BT$25,1,0)</f>
        <v>0</v>
      </c>
      <c r="BU14" s="10">
        <f>IF(預測IC!BU14&gt;預測IC!BU$25,1,0)</f>
        <v>0</v>
      </c>
      <c r="BV14" s="10">
        <f>IF(預測IC!BV14&gt;預測IC!BV$25,1,0)</f>
        <v>0</v>
      </c>
      <c r="BW14" s="10">
        <f>IF(預測IC!BW14&gt;預測IC!BW$25,1,0)</f>
        <v>1</v>
      </c>
      <c r="BX14" s="10">
        <f>IF(預測IC!BX14&gt;預測IC!BX$25,1,0)</f>
        <v>1</v>
      </c>
      <c r="BY14" s="10">
        <f>IF(預測IC!BY14&gt;預測IC!BY$25,1,0)</f>
        <v>1</v>
      </c>
      <c r="BZ14" s="10">
        <f>IF(預測IC!BZ14&gt;預測IC!BZ$25,1,0)</f>
        <v>0</v>
      </c>
      <c r="CA14" s="10">
        <f>IF(預測IC!CA14&gt;預測IC!CA$25,1,0)</f>
        <v>1</v>
      </c>
      <c r="CB14" s="10">
        <f>IF(預測IC!CB14&gt;預測IC!CB$25,1,0)</f>
        <v>0</v>
      </c>
      <c r="CC14" s="10">
        <f>IF(預測IC!CC14&gt;預測IC!CC$25,1,0)</f>
        <v>0</v>
      </c>
      <c r="CD14" s="10">
        <f>IF(預測IC!CD14&gt;預測IC!CD$25,1,0)</f>
        <v>1</v>
      </c>
      <c r="CE14" s="10">
        <f>IF(預測IC!CE14&gt;預測IC!CE$25,1,0)</f>
        <v>0</v>
      </c>
      <c r="CF14" s="10">
        <f>IF(預測IC!CF14&gt;預測IC!CF$25,1,0)</f>
        <v>1</v>
      </c>
      <c r="CG14" s="10">
        <f>IF(預測IC!CG14&gt;預測IC!CG$25,1,0)</f>
        <v>0</v>
      </c>
      <c r="CH14" s="10">
        <f>IF(預測IC!CH14&gt;預測IC!CH$25,1,0)</f>
        <v>0</v>
      </c>
      <c r="CI14" s="10">
        <f>IF(預測IC!CI14&gt;預測IC!CI$25,1,0)</f>
        <v>1</v>
      </c>
      <c r="CJ14" s="10">
        <f>IF(預測IC!CJ14&gt;預測IC!CJ$25,1,0)</f>
        <v>0</v>
      </c>
      <c r="CK14" s="10">
        <f>IF(預測IC!CK14&gt;預測IC!CK$25,1,0)</f>
        <v>1</v>
      </c>
      <c r="CL14" s="10">
        <f>IF(預測IC!CL14&gt;預測IC!CL$25,1,0)</f>
        <v>1</v>
      </c>
      <c r="CM14" s="10">
        <f>IF(預測IC!CM14&gt;預測IC!CM$25,1,0)</f>
        <v>0</v>
      </c>
      <c r="CN14" s="10">
        <f>IF(預測IC!CN14&gt;預測IC!CN$25,1,0)</f>
        <v>0</v>
      </c>
      <c r="CO14" s="10">
        <f>IF(預測IC!CO14&gt;預測IC!CO$25,1,0)</f>
        <v>0</v>
      </c>
      <c r="CP14" s="10">
        <f>IF(預測IC!CP14&gt;預測IC!CP$25,1,0)</f>
        <v>0</v>
      </c>
      <c r="CQ14" s="10">
        <f>IF(預測IC!CQ14&gt;預測IC!CQ$25,1,0)</f>
        <v>1</v>
      </c>
      <c r="CR14" s="10">
        <f>IF(預測IC!CR14&gt;預測IC!CR$25,1,0)</f>
        <v>0</v>
      </c>
      <c r="CS14" s="10">
        <f>IF(預測IC!CS14&gt;預測IC!CS$25,1,0)</f>
        <v>0</v>
      </c>
      <c r="CT14" s="10">
        <f>IF(預測IC!CT14&gt;預測IC!CT$25,1,0)</f>
        <v>1</v>
      </c>
      <c r="CU14" s="10">
        <f>IF(預測IC!CU14&gt;預測IC!CU$25,1,0)</f>
        <v>1</v>
      </c>
      <c r="CV14" s="10">
        <f>IF(預測IC!CV14&gt;預測IC!CV$25,1,0)</f>
        <v>1</v>
      </c>
      <c r="CW14" s="10">
        <f>IF(預測IC!CW14&gt;預測IC!CW$25,1,0)</f>
        <v>0</v>
      </c>
      <c r="CX14" s="10">
        <f>IF(預測IC!CX14&gt;預測IC!CX$25,1,0)</f>
        <v>1</v>
      </c>
      <c r="CY14" s="10">
        <f>IF(預測IC!CY14&gt;預測IC!CY$25,1,0)</f>
        <v>0</v>
      </c>
      <c r="CZ14" s="10">
        <f>IF(預測IC!CZ14&gt;預測IC!CZ$25,1,0)</f>
        <v>1</v>
      </c>
      <c r="DA14" s="10">
        <f>IF(預測IC!DA14&gt;預測IC!DA$25,1,0)</f>
        <v>1</v>
      </c>
      <c r="DB14" s="10">
        <f>IF(預測IC!DB14&gt;預測IC!DB$25,1,0)</f>
        <v>0</v>
      </c>
      <c r="DC14" s="10">
        <f>IF(預測IC!DC14&gt;預測IC!DC$25,1,0)</f>
        <v>1</v>
      </c>
      <c r="DD14" s="10">
        <f>IF(預測IC!DD14&gt;預測IC!DD$25,1,0)</f>
        <v>1</v>
      </c>
      <c r="DE14" s="10">
        <f>IF(預測IC!DE14&gt;預測IC!DE$25,1,0)</f>
        <v>0</v>
      </c>
      <c r="DF14" s="10">
        <f>IF(預測IC!DF14&gt;預測IC!DF$25,1,0)</f>
        <v>1</v>
      </c>
      <c r="DG14" s="10">
        <f>IF(預測IC!DG14&gt;預測IC!DG$25,1,0)</f>
        <v>0</v>
      </c>
      <c r="DH14" s="10">
        <f>IF(預測IC!DH14&gt;預測IC!DH$25,1,0)</f>
        <v>0</v>
      </c>
      <c r="DI14" s="10">
        <f>IF(預測IC!DI14&gt;預測IC!DI$25,1,0)</f>
        <v>1</v>
      </c>
      <c r="DJ14" s="10">
        <f>IF(預測IC!DJ14&gt;預測IC!DJ$25,1,0)</f>
        <v>1</v>
      </c>
      <c r="DK14" s="10">
        <f>IF(預測IC!DK14&gt;預測IC!DK$25,1,0)</f>
        <v>0</v>
      </c>
      <c r="DL14" s="10">
        <f>IF(預測IC!DL14&gt;預測IC!DL$25,1,0)</f>
        <v>0</v>
      </c>
      <c r="DM14" s="10">
        <f>IF(預測IC!DM14&gt;預測IC!DM$25,1,0)</f>
        <v>1</v>
      </c>
      <c r="DN14" s="10">
        <f>IF(預測IC!DN14&gt;預測IC!DN$25,1,0)</f>
        <v>1</v>
      </c>
      <c r="DO14" s="10">
        <f>IF(預測IC!DO14&gt;預測IC!DO$25,1,0)</f>
        <v>0</v>
      </c>
      <c r="DP14" s="10">
        <f>IF(預測IC!DP14&gt;預測IC!DP$25,1,0)</f>
        <v>1</v>
      </c>
      <c r="DQ14" s="10">
        <f>IF(預測IC!DQ14&gt;預測IC!DQ$25,1,0)</f>
        <v>0</v>
      </c>
      <c r="DR14" s="10">
        <f>IF(預測IC!DR14&gt;預測IC!DR$25,1,0)</f>
        <v>0</v>
      </c>
      <c r="DS14" s="10">
        <f>IF(預測IC!DS14&gt;預測IC!DS$25,1,0)</f>
        <v>1</v>
      </c>
      <c r="DT14" s="10">
        <f>IF(預測IC!DT14&gt;預測IC!DT$25,1,0)</f>
        <v>0</v>
      </c>
      <c r="DU14" s="10">
        <f>IF(預測IC!DU14&gt;預測IC!DU$25,1,0)</f>
        <v>0</v>
      </c>
      <c r="DV14" s="10">
        <f>IF(預測IC!DV14&gt;預測IC!DV$25,1,0)</f>
        <v>0</v>
      </c>
      <c r="DW14" s="10">
        <f>IF(預測IC!DW14&gt;預測IC!DW$25,1,0)</f>
        <v>0</v>
      </c>
      <c r="DX14" s="10">
        <f>IF(預測IC!DX14&gt;預測IC!DX$25,1,0)</f>
        <v>1</v>
      </c>
      <c r="DY14" s="10">
        <f>IF(預測IC!DY14&gt;預測IC!DY$25,1,0)</f>
        <v>1</v>
      </c>
      <c r="DZ14" s="10">
        <f>IF(預測IC!DZ14&gt;預測IC!DZ$25,1,0)</f>
        <v>0</v>
      </c>
      <c r="EA14" s="10">
        <f>IF(預測IC!EA14&gt;預測IC!EA$25,1,0)</f>
        <v>1</v>
      </c>
      <c r="EB14" s="10">
        <f>IF(預測IC!EB14&gt;預測IC!EB$25,1,0)</f>
        <v>0</v>
      </c>
      <c r="EC14" s="10">
        <f>IF(預測IC!EC14&gt;預測IC!EC$25,1,0)</f>
        <v>1</v>
      </c>
      <c r="ED14" s="10">
        <f>IF(預測IC!ED14&gt;預測IC!ED$25,1,0)</f>
        <v>0</v>
      </c>
      <c r="EE14" s="10">
        <f>IF(預測IC!EE14&gt;預測IC!EE$25,1,0)</f>
        <v>0</v>
      </c>
      <c r="EF14" s="10">
        <f>IF(預測IC!EF14&gt;預測IC!EF$25,1,0)</f>
        <v>1</v>
      </c>
      <c r="EG14" s="10">
        <f>IF(預測IC!EG14&gt;預測IC!EG$25,1,0)</f>
        <v>0</v>
      </c>
      <c r="EH14" s="10">
        <f>IF(預測IC!EH14&gt;預測IC!EH$25,1,0)</f>
        <v>1</v>
      </c>
      <c r="EI14" s="10">
        <f>IF(預測IC!EI14&gt;預測IC!EI$25,1,0)</f>
        <v>0</v>
      </c>
      <c r="EJ14" s="10">
        <f>IF(預測IC!EJ14&gt;預測IC!EJ$25,1,0)</f>
        <v>0</v>
      </c>
      <c r="EK14" s="10">
        <f>IF(預測IC!EK14&gt;預測IC!EK$25,1,0)</f>
        <v>0</v>
      </c>
      <c r="EL14" s="10">
        <f>IF(預測IC!EL14&gt;預測IC!EL$25,1,0)</f>
        <v>0</v>
      </c>
      <c r="EM14" s="6">
        <f t="shared" si="11"/>
        <v>68</v>
      </c>
      <c r="EN14" s="19">
        <f t="shared" si="12"/>
        <v>0.48571428571428571</v>
      </c>
    </row>
    <row r="15" spans="1:144" x14ac:dyDescent="0.3">
      <c r="A15" s="18">
        <v>110</v>
      </c>
      <c r="B15" s="18">
        <f t="shared" si="10"/>
        <v>10</v>
      </c>
      <c r="C15" s="10">
        <f>IF(預測IC!C15&gt;預測IC!C$25,1,0)</f>
        <v>0</v>
      </c>
      <c r="D15" s="10">
        <f>IF(預測IC!D15&gt;預測IC!D$25,1,0)</f>
        <v>1</v>
      </c>
      <c r="E15" s="10">
        <f>IF(預測IC!E15&gt;預測IC!E$25,1,0)</f>
        <v>0</v>
      </c>
      <c r="F15" s="10">
        <f>IF(預測IC!F15&gt;預測IC!F$25,1,0)</f>
        <v>1</v>
      </c>
      <c r="G15" s="10">
        <f>IF(預測IC!G15&gt;預測IC!G$25,1,0)</f>
        <v>1</v>
      </c>
      <c r="H15" s="10">
        <f>IF(預測IC!H15&gt;預測IC!H$25,1,0)</f>
        <v>1</v>
      </c>
      <c r="I15" s="10">
        <f>IF(預測IC!I15&gt;預測IC!I$25,1,0)</f>
        <v>1</v>
      </c>
      <c r="J15" s="10">
        <f>IF(預測IC!J15&gt;預測IC!J$25,1,0)</f>
        <v>1</v>
      </c>
      <c r="K15" s="10">
        <f>IF(預測IC!K15&gt;預測IC!K$25,1,0)</f>
        <v>0</v>
      </c>
      <c r="L15" s="10">
        <f>IF(預測IC!L15&gt;預測IC!L$25,1,0)</f>
        <v>0</v>
      </c>
      <c r="M15" s="10">
        <f>IF(預測IC!M15&gt;預測IC!M$25,1,0)</f>
        <v>0</v>
      </c>
      <c r="N15" s="10">
        <f>IF(預測IC!N15&gt;預測IC!N$25,1,0)</f>
        <v>1</v>
      </c>
      <c r="O15" s="10">
        <f>IF(預測IC!O15&gt;預測IC!O$25,1,0)</f>
        <v>0</v>
      </c>
      <c r="P15" s="10">
        <f>IF(預測IC!P15&gt;預測IC!P$25,1,0)</f>
        <v>0</v>
      </c>
      <c r="Q15" s="10">
        <f>IF(預測IC!Q15&gt;預測IC!Q$25,1,0)</f>
        <v>0</v>
      </c>
      <c r="R15" s="10">
        <f>IF(預測IC!R15&gt;預測IC!R$25,1,0)</f>
        <v>0</v>
      </c>
      <c r="S15" s="10">
        <f>IF(預測IC!S15&gt;預測IC!S$25,1,0)</f>
        <v>0</v>
      </c>
      <c r="T15" s="10">
        <f>IF(預測IC!T15&gt;預測IC!T$25,1,0)</f>
        <v>0</v>
      </c>
      <c r="U15" s="10">
        <f>IF(預測IC!U15&gt;預測IC!U$25,1,0)</f>
        <v>1</v>
      </c>
      <c r="V15" s="10">
        <f>IF(預測IC!V15&gt;預測IC!V$25,1,0)</f>
        <v>0</v>
      </c>
      <c r="W15" s="10">
        <f>IF(預測IC!W15&gt;預測IC!W$25,1,0)</f>
        <v>0</v>
      </c>
      <c r="X15" s="10">
        <f>IF(預測IC!X15&gt;預測IC!X$25,1,0)</f>
        <v>1</v>
      </c>
      <c r="Y15" s="10">
        <f>IF(預測IC!Y15&gt;預測IC!Y$25,1,0)</f>
        <v>1</v>
      </c>
      <c r="Z15" s="10">
        <f>IF(預測IC!Z15&gt;預測IC!Z$25,1,0)</f>
        <v>1</v>
      </c>
      <c r="AA15" s="10">
        <f>IF(預測IC!AA15&gt;預測IC!AA$25,1,0)</f>
        <v>0</v>
      </c>
      <c r="AB15" s="10">
        <f>IF(預測IC!AB15&gt;預測IC!AB$25,1,0)</f>
        <v>0</v>
      </c>
      <c r="AC15" s="10">
        <f>IF(預測IC!AC15&gt;預測IC!AC$25,1,0)</f>
        <v>0</v>
      </c>
      <c r="AD15" s="10">
        <f>IF(預測IC!AD15&gt;預測IC!AD$25,1,0)</f>
        <v>0</v>
      </c>
      <c r="AE15" s="10">
        <f>IF(預測IC!AE15&gt;預測IC!AE$25,1,0)</f>
        <v>0</v>
      </c>
      <c r="AF15" s="10">
        <f>IF(預測IC!AF15&gt;預測IC!AF$25,1,0)</f>
        <v>0</v>
      </c>
      <c r="AG15" s="10">
        <f>IF(預測IC!AG15&gt;預測IC!AG$25,1,0)</f>
        <v>0</v>
      </c>
      <c r="AH15" s="10">
        <f>IF(預測IC!AH15&gt;預測IC!AH$25,1,0)</f>
        <v>0</v>
      </c>
      <c r="AI15" s="10">
        <f>IF(預測IC!AI15&gt;預測IC!AI$25,1,0)</f>
        <v>1</v>
      </c>
      <c r="AJ15" s="10">
        <f>IF(預測IC!AJ15&gt;預測IC!AJ$25,1,0)</f>
        <v>0</v>
      </c>
      <c r="AK15" s="10">
        <f>IF(預測IC!AK15&gt;預測IC!AK$25,1,0)</f>
        <v>1</v>
      </c>
      <c r="AL15" s="10">
        <f>IF(預測IC!AL15&gt;預測IC!AL$25,1,0)</f>
        <v>1</v>
      </c>
      <c r="AM15" s="10">
        <f>IF(預測IC!AM15&gt;預測IC!AM$25,1,0)</f>
        <v>1</v>
      </c>
      <c r="AN15" s="10">
        <f>IF(預測IC!AN15&gt;預測IC!AN$25,1,0)</f>
        <v>0</v>
      </c>
      <c r="AO15" s="10">
        <f>IF(預測IC!AO15&gt;預測IC!AO$25,1,0)</f>
        <v>0</v>
      </c>
      <c r="AP15" s="10">
        <f>IF(預測IC!AP15&gt;預測IC!AP$25,1,0)</f>
        <v>0</v>
      </c>
      <c r="AQ15" s="10">
        <f>IF(預測IC!AQ15&gt;預測IC!AQ$25,1,0)</f>
        <v>0</v>
      </c>
      <c r="AR15" s="10">
        <f>IF(預測IC!AR15&gt;預測IC!AR$25,1,0)</f>
        <v>1</v>
      </c>
      <c r="AS15" s="10">
        <f>IF(預測IC!AS15&gt;預測IC!AS$25,1,0)</f>
        <v>1</v>
      </c>
      <c r="AT15" s="10">
        <f>IF(預測IC!AT15&gt;預測IC!AT$25,1,0)</f>
        <v>0</v>
      </c>
      <c r="AU15" s="10">
        <f>IF(預測IC!AU15&gt;預測IC!AU$25,1,0)</f>
        <v>0</v>
      </c>
      <c r="AV15" s="10">
        <f>IF(預測IC!AV15&gt;預測IC!AV$25,1,0)</f>
        <v>0</v>
      </c>
      <c r="AW15" s="10">
        <f>IF(預測IC!AW15&gt;預測IC!AW$25,1,0)</f>
        <v>1</v>
      </c>
      <c r="AX15" s="10">
        <f>IF(預測IC!AX15&gt;預測IC!AX$25,1,0)</f>
        <v>1</v>
      </c>
      <c r="AY15" s="10">
        <f>IF(預測IC!AY15&gt;預測IC!AY$25,1,0)</f>
        <v>0</v>
      </c>
      <c r="AZ15" s="10">
        <f>IF(預測IC!AZ15&gt;預測IC!AZ$25,1,0)</f>
        <v>1</v>
      </c>
      <c r="BA15" s="10">
        <f>IF(預測IC!BA15&gt;預測IC!BA$25,1,0)</f>
        <v>0</v>
      </c>
      <c r="BB15" s="10">
        <f>IF(預測IC!BB15&gt;預測IC!BB$25,1,0)</f>
        <v>1</v>
      </c>
      <c r="BC15" s="10">
        <f>IF(預測IC!BC15&gt;預測IC!BC$25,1,0)</f>
        <v>1</v>
      </c>
      <c r="BD15" s="10">
        <f>IF(預測IC!BD15&gt;預測IC!BD$25,1,0)</f>
        <v>0</v>
      </c>
      <c r="BE15" s="10">
        <f>IF(預測IC!BE15&gt;預測IC!BE$25,1,0)</f>
        <v>0</v>
      </c>
      <c r="BF15" s="10">
        <f>IF(預測IC!BF15&gt;預測IC!BF$25,1,0)</f>
        <v>0</v>
      </c>
      <c r="BG15" s="10">
        <f>IF(預測IC!BG15&gt;預測IC!BG$25,1,0)</f>
        <v>1</v>
      </c>
      <c r="BH15" s="10">
        <f>IF(預測IC!BH15&gt;預測IC!BH$25,1,0)</f>
        <v>1</v>
      </c>
      <c r="BI15" s="10">
        <f>IF(預測IC!BI15&gt;預測IC!BI$25,1,0)</f>
        <v>0</v>
      </c>
      <c r="BJ15" s="10">
        <f>IF(預測IC!BJ15&gt;預測IC!BJ$25,1,0)</f>
        <v>1</v>
      </c>
      <c r="BK15" s="10">
        <f>IF(預測IC!BK15&gt;預測IC!BK$25,1,0)</f>
        <v>1</v>
      </c>
      <c r="BL15" s="10">
        <f>IF(預測IC!BL15&gt;預測IC!BL$25,1,0)</f>
        <v>1</v>
      </c>
      <c r="BM15" s="10">
        <f>IF(預測IC!BM15&gt;預測IC!BM$25,1,0)</f>
        <v>1</v>
      </c>
      <c r="BN15" s="10">
        <f>IF(預測IC!BN15&gt;預測IC!BN$25,1,0)</f>
        <v>1</v>
      </c>
      <c r="BO15" s="10">
        <f>IF(預測IC!BO15&gt;預測IC!BO$25,1,0)</f>
        <v>1</v>
      </c>
      <c r="BP15" s="10">
        <f>IF(預測IC!BP15&gt;預測IC!BP$25,1,0)</f>
        <v>1</v>
      </c>
      <c r="BQ15" s="10">
        <f>IF(預測IC!BQ15&gt;預測IC!BQ$25,1,0)</f>
        <v>1</v>
      </c>
      <c r="BR15" s="10">
        <f>IF(預測IC!BR15&gt;預測IC!BR$25,1,0)</f>
        <v>0</v>
      </c>
      <c r="BS15" s="10">
        <f>IF(預測IC!BS15&gt;預測IC!BS$25,1,0)</f>
        <v>0</v>
      </c>
      <c r="BT15" s="10">
        <f>IF(預測IC!BT15&gt;預測IC!BT$25,1,0)</f>
        <v>1</v>
      </c>
      <c r="BU15" s="10">
        <f>IF(預測IC!BU15&gt;預測IC!BU$25,1,0)</f>
        <v>0</v>
      </c>
      <c r="BV15" s="10">
        <f>IF(預測IC!BV15&gt;預測IC!BV$25,1,0)</f>
        <v>0</v>
      </c>
      <c r="BW15" s="10">
        <f>IF(預測IC!BW15&gt;預測IC!BW$25,1,0)</f>
        <v>1</v>
      </c>
      <c r="BX15" s="10">
        <f>IF(預測IC!BX15&gt;預測IC!BX$25,1,0)</f>
        <v>1</v>
      </c>
      <c r="BY15" s="10">
        <f>IF(預測IC!BY15&gt;預測IC!BY$25,1,0)</f>
        <v>1</v>
      </c>
      <c r="BZ15" s="10">
        <f>IF(預測IC!BZ15&gt;預測IC!BZ$25,1,0)</f>
        <v>0</v>
      </c>
      <c r="CA15" s="10">
        <f>IF(預測IC!CA15&gt;預測IC!CA$25,1,0)</f>
        <v>1</v>
      </c>
      <c r="CB15" s="10">
        <f>IF(預測IC!CB15&gt;預測IC!CB$25,1,0)</f>
        <v>0</v>
      </c>
      <c r="CC15" s="10">
        <f>IF(預測IC!CC15&gt;預測IC!CC$25,1,0)</f>
        <v>0</v>
      </c>
      <c r="CD15" s="10">
        <f>IF(預測IC!CD15&gt;預測IC!CD$25,1,0)</f>
        <v>1</v>
      </c>
      <c r="CE15" s="10">
        <f>IF(預測IC!CE15&gt;預測IC!CE$25,1,0)</f>
        <v>0</v>
      </c>
      <c r="CF15" s="10">
        <f>IF(預測IC!CF15&gt;預測IC!CF$25,1,0)</f>
        <v>1</v>
      </c>
      <c r="CG15" s="10">
        <f>IF(預測IC!CG15&gt;預測IC!CG$25,1,0)</f>
        <v>1</v>
      </c>
      <c r="CH15" s="10">
        <f>IF(預測IC!CH15&gt;預測IC!CH$25,1,0)</f>
        <v>0</v>
      </c>
      <c r="CI15" s="10">
        <f>IF(預測IC!CI15&gt;預測IC!CI$25,1,0)</f>
        <v>0</v>
      </c>
      <c r="CJ15" s="10">
        <f>IF(預測IC!CJ15&gt;預測IC!CJ$25,1,0)</f>
        <v>0</v>
      </c>
      <c r="CK15" s="10">
        <f>IF(預測IC!CK15&gt;預測IC!CK$25,1,0)</f>
        <v>1</v>
      </c>
      <c r="CL15" s="10">
        <f>IF(預測IC!CL15&gt;預測IC!CL$25,1,0)</f>
        <v>1</v>
      </c>
      <c r="CM15" s="10">
        <f>IF(預測IC!CM15&gt;預測IC!CM$25,1,0)</f>
        <v>1</v>
      </c>
      <c r="CN15" s="10">
        <f>IF(預測IC!CN15&gt;預測IC!CN$25,1,0)</f>
        <v>0</v>
      </c>
      <c r="CO15" s="10">
        <f>IF(預測IC!CO15&gt;預測IC!CO$25,1,0)</f>
        <v>0</v>
      </c>
      <c r="CP15" s="10">
        <f>IF(預測IC!CP15&gt;預測IC!CP$25,1,0)</f>
        <v>0</v>
      </c>
      <c r="CQ15" s="10">
        <f>IF(預測IC!CQ15&gt;預測IC!CQ$25,1,0)</f>
        <v>1</v>
      </c>
      <c r="CR15" s="10">
        <f>IF(預測IC!CR15&gt;預測IC!CR$25,1,0)</f>
        <v>0</v>
      </c>
      <c r="CS15" s="10">
        <f>IF(預測IC!CS15&gt;預測IC!CS$25,1,0)</f>
        <v>0</v>
      </c>
      <c r="CT15" s="10">
        <f>IF(預測IC!CT15&gt;預測IC!CT$25,1,0)</f>
        <v>0</v>
      </c>
      <c r="CU15" s="10">
        <f>IF(預測IC!CU15&gt;預測IC!CU$25,1,0)</f>
        <v>1</v>
      </c>
      <c r="CV15" s="10">
        <f>IF(預測IC!CV15&gt;預測IC!CV$25,1,0)</f>
        <v>1</v>
      </c>
      <c r="CW15" s="10">
        <f>IF(預測IC!CW15&gt;預測IC!CW$25,1,0)</f>
        <v>1</v>
      </c>
      <c r="CX15" s="10">
        <f>IF(預測IC!CX15&gt;預測IC!CX$25,1,0)</f>
        <v>1</v>
      </c>
      <c r="CY15" s="10">
        <f>IF(預測IC!CY15&gt;預測IC!CY$25,1,0)</f>
        <v>0</v>
      </c>
      <c r="CZ15" s="10">
        <f>IF(預測IC!CZ15&gt;預測IC!CZ$25,1,0)</f>
        <v>1</v>
      </c>
      <c r="DA15" s="10">
        <f>IF(預測IC!DA15&gt;預測IC!DA$25,1,0)</f>
        <v>1</v>
      </c>
      <c r="DB15" s="10">
        <f>IF(預測IC!DB15&gt;預測IC!DB$25,1,0)</f>
        <v>0</v>
      </c>
      <c r="DC15" s="10">
        <f>IF(預測IC!DC15&gt;預測IC!DC$25,1,0)</f>
        <v>1</v>
      </c>
      <c r="DD15" s="10">
        <f>IF(預測IC!DD15&gt;預測IC!DD$25,1,0)</f>
        <v>1</v>
      </c>
      <c r="DE15" s="10">
        <f>IF(預測IC!DE15&gt;預測IC!DE$25,1,0)</f>
        <v>0</v>
      </c>
      <c r="DF15" s="10">
        <f>IF(預測IC!DF15&gt;預測IC!DF$25,1,0)</f>
        <v>1</v>
      </c>
      <c r="DG15" s="10">
        <f>IF(預測IC!DG15&gt;預測IC!DG$25,1,0)</f>
        <v>0</v>
      </c>
      <c r="DH15" s="10">
        <f>IF(預測IC!DH15&gt;預測IC!DH$25,1,0)</f>
        <v>0</v>
      </c>
      <c r="DI15" s="10">
        <f>IF(預測IC!DI15&gt;預測IC!DI$25,1,0)</f>
        <v>0</v>
      </c>
      <c r="DJ15" s="10">
        <f>IF(預測IC!DJ15&gt;預測IC!DJ$25,1,0)</f>
        <v>1</v>
      </c>
      <c r="DK15" s="10">
        <f>IF(預測IC!DK15&gt;預測IC!DK$25,1,0)</f>
        <v>1</v>
      </c>
      <c r="DL15" s="10">
        <f>IF(預測IC!DL15&gt;預測IC!DL$25,1,0)</f>
        <v>1</v>
      </c>
      <c r="DM15" s="10">
        <f>IF(預測IC!DM15&gt;預測IC!DM$25,1,0)</f>
        <v>0</v>
      </c>
      <c r="DN15" s="10">
        <f>IF(預測IC!DN15&gt;預測IC!DN$25,1,0)</f>
        <v>1</v>
      </c>
      <c r="DO15" s="10">
        <f>IF(預測IC!DO15&gt;預測IC!DO$25,1,0)</f>
        <v>0</v>
      </c>
      <c r="DP15" s="10">
        <f>IF(預測IC!DP15&gt;預測IC!DP$25,1,0)</f>
        <v>1</v>
      </c>
      <c r="DQ15" s="10">
        <f>IF(預測IC!DQ15&gt;預測IC!DQ$25,1,0)</f>
        <v>0</v>
      </c>
      <c r="DR15" s="10">
        <f>IF(預測IC!DR15&gt;預測IC!DR$25,1,0)</f>
        <v>0</v>
      </c>
      <c r="DS15" s="10">
        <f>IF(預測IC!DS15&gt;預測IC!DS$25,1,0)</f>
        <v>1</v>
      </c>
      <c r="DT15" s="10">
        <f>IF(預測IC!DT15&gt;預測IC!DT$25,1,0)</f>
        <v>0</v>
      </c>
      <c r="DU15" s="10">
        <f>IF(預測IC!DU15&gt;預測IC!DU$25,1,0)</f>
        <v>0</v>
      </c>
      <c r="DV15" s="10">
        <f>IF(預測IC!DV15&gt;預測IC!DV$25,1,0)</f>
        <v>1</v>
      </c>
      <c r="DW15" s="10">
        <f>IF(預測IC!DW15&gt;預測IC!DW$25,1,0)</f>
        <v>0</v>
      </c>
      <c r="DX15" s="10">
        <f>IF(預測IC!DX15&gt;預測IC!DX$25,1,0)</f>
        <v>0</v>
      </c>
      <c r="DY15" s="10">
        <f>IF(預測IC!DY15&gt;預測IC!DY$25,1,0)</f>
        <v>1</v>
      </c>
      <c r="DZ15" s="10">
        <f>IF(預測IC!DZ15&gt;預測IC!DZ$25,1,0)</f>
        <v>0</v>
      </c>
      <c r="EA15" s="10">
        <f>IF(預測IC!EA15&gt;預測IC!EA$25,1,0)</f>
        <v>0</v>
      </c>
      <c r="EB15" s="10">
        <f>IF(預測IC!EB15&gt;預測IC!EB$25,1,0)</f>
        <v>0</v>
      </c>
      <c r="EC15" s="10">
        <f>IF(預測IC!EC15&gt;預測IC!EC$25,1,0)</f>
        <v>1</v>
      </c>
      <c r="ED15" s="10">
        <f>IF(預測IC!ED15&gt;預測IC!ED$25,1,0)</f>
        <v>0</v>
      </c>
      <c r="EE15" s="10">
        <f>IF(預測IC!EE15&gt;預測IC!EE$25,1,0)</f>
        <v>0</v>
      </c>
      <c r="EF15" s="10">
        <f>IF(預測IC!EF15&gt;預測IC!EF$25,1,0)</f>
        <v>1</v>
      </c>
      <c r="EG15" s="10">
        <f>IF(預測IC!EG15&gt;預測IC!EG$25,1,0)</f>
        <v>0</v>
      </c>
      <c r="EH15" s="10">
        <f>IF(預測IC!EH15&gt;預測IC!EH$25,1,0)</f>
        <v>0</v>
      </c>
      <c r="EI15" s="10">
        <f>IF(預測IC!EI15&gt;預測IC!EI$25,1,0)</f>
        <v>0</v>
      </c>
      <c r="EJ15" s="10">
        <f>IF(預測IC!EJ15&gt;預測IC!EJ$25,1,0)</f>
        <v>1</v>
      </c>
      <c r="EK15" s="10">
        <f>IF(預測IC!EK15&gt;預測IC!EK$25,1,0)</f>
        <v>1</v>
      </c>
      <c r="EL15" s="10">
        <f>IF(預測IC!EL15&gt;預測IC!EL$25,1,0)</f>
        <v>0</v>
      </c>
      <c r="EM15" s="6">
        <f t="shared" si="11"/>
        <v>65</v>
      </c>
      <c r="EN15" s="19">
        <f t="shared" si="12"/>
        <v>0.4642857142857143</v>
      </c>
    </row>
    <row r="16" spans="1:144" x14ac:dyDescent="0.3">
      <c r="A16" s="18">
        <v>120</v>
      </c>
      <c r="B16" s="18">
        <f t="shared" si="10"/>
        <v>9</v>
      </c>
      <c r="C16" s="10">
        <f>IF(預測IC!C16&gt;預測IC!C$25,1,0)</f>
        <v>0</v>
      </c>
      <c r="D16" s="10">
        <f>IF(預測IC!D16&gt;預測IC!D$25,1,0)</f>
        <v>0</v>
      </c>
      <c r="E16" s="10">
        <f>IF(預測IC!E16&gt;預測IC!E$25,1,0)</f>
        <v>0</v>
      </c>
      <c r="F16" s="10">
        <f>IF(預測IC!F16&gt;預測IC!F$25,1,0)</f>
        <v>1</v>
      </c>
      <c r="G16" s="10">
        <f>IF(預測IC!G16&gt;預測IC!G$25,1,0)</f>
        <v>1</v>
      </c>
      <c r="H16" s="10">
        <f>IF(預測IC!H16&gt;預測IC!H$25,1,0)</f>
        <v>1</v>
      </c>
      <c r="I16" s="10">
        <f>IF(預測IC!I16&gt;預測IC!I$25,1,0)</f>
        <v>1</v>
      </c>
      <c r="J16" s="10">
        <f>IF(預測IC!J16&gt;預測IC!J$25,1,0)</f>
        <v>1</v>
      </c>
      <c r="K16" s="10">
        <f>IF(預測IC!K16&gt;預測IC!K$25,1,0)</f>
        <v>0</v>
      </c>
      <c r="L16" s="10">
        <f>IF(預測IC!L16&gt;預測IC!L$25,1,0)</f>
        <v>0</v>
      </c>
      <c r="M16" s="10">
        <f>IF(預測IC!M16&gt;預測IC!M$25,1,0)</f>
        <v>0</v>
      </c>
      <c r="N16" s="10">
        <f>IF(預測IC!N16&gt;預測IC!N$25,1,0)</f>
        <v>1</v>
      </c>
      <c r="O16" s="10">
        <f>IF(預測IC!O16&gt;預測IC!O$25,1,0)</f>
        <v>0</v>
      </c>
      <c r="P16" s="10">
        <f>IF(預測IC!P16&gt;預測IC!P$25,1,0)</f>
        <v>0</v>
      </c>
      <c r="Q16" s="10">
        <f>IF(預測IC!Q16&gt;預測IC!Q$25,1,0)</f>
        <v>0</v>
      </c>
      <c r="R16" s="10">
        <f>IF(預測IC!R16&gt;預測IC!R$25,1,0)</f>
        <v>0</v>
      </c>
      <c r="S16" s="10">
        <f>IF(預測IC!S16&gt;預測IC!S$25,1,0)</f>
        <v>0</v>
      </c>
      <c r="T16" s="10">
        <f>IF(預測IC!T16&gt;預測IC!T$25,1,0)</f>
        <v>0</v>
      </c>
      <c r="U16" s="10">
        <f>IF(預測IC!U16&gt;預測IC!U$25,1,0)</f>
        <v>1</v>
      </c>
      <c r="V16" s="10">
        <f>IF(預測IC!V16&gt;預測IC!V$25,1,0)</f>
        <v>0</v>
      </c>
      <c r="W16" s="10">
        <f>IF(預測IC!W16&gt;預測IC!W$25,1,0)</f>
        <v>0</v>
      </c>
      <c r="X16" s="10">
        <f>IF(預測IC!X16&gt;預測IC!X$25,1,0)</f>
        <v>1</v>
      </c>
      <c r="Y16" s="10">
        <f>IF(預測IC!Y16&gt;預測IC!Y$25,1,0)</f>
        <v>1</v>
      </c>
      <c r="Z16" s="10">
        <f>IF(預測IC!Z16&gt;預測IC!Z$25,1,0)</f>
        <v>1</v>
      </c>
      <c r="AA16" s="10">
        <f>IF(預測IC!AA16&gt;預測IC!AA$25,1,0)</f>
        <v>0</v>
      </c>
      <c r="AB16" s="10">
        <f>IF(預測IC!AB16&gt;預測IC!AB$25,1,0)</f>
        <v>0</v>
      </c>
      <c r="AC16" s="10">
        <f>IF(預測IC!AC16&gt;預測IC!AC$25,1,0)</f>
        <v>0</v>
      </c>
      <c r="AD16" s="10">
        <f>IF(預測IC!AD16&gt;預測IC!AD$25,1,0)</f>
        <v>1</v>
      </c>
      <c r="AE16" s="10">
        <f>IF(預測IC!AE16&gt;預測IC!AE$25,1,0)</f>
        <v>0</v>
      </c>
      <c r="AF16" s="10">
        <f>IF(預測IC!AF16&gt;預測IC!AF$25,1,0)</f>
        <v>0</v>
      </c>
      <c r="AG16" s="10">
        <f>IF(預測IC!AG16&gt;預測IC!AG$25,1,0)</f>
        <v>0</v>
      </c>
      <c r="AH16" s="10">
        <f>IF(預測IC!AH16&gt;預測IC!AH$25,1,0)</f>
        <v>0</v>
      </c>
      <c r="AI16" s="10">
        <f>IF(預測IC!AI16&gt;預測IC!AI$25,1,0)</f>
        <v>1</v>
      </c>
      <c r="AJ16" s="10">
        <f>IF(預測IC!AJ16&gt;預測IC!AJ$25,1,0)</f>
        <v>0</v>
      </c>
      <c r="AK16" s="10">
        <f>IF(預測IC!AK16&gt;預測IC!AK$25,1,0)</f>
        <v>1</v>
      </c>
      <c r="AL16" s="10">
        <f>IF(預測IC!AL16&gt;預測IC!AL$25,1,0)</f>
        <v>1</v>
      </c>
      <c r="AM16" s="10">
        <f>IF(預測IC!AM16&gt;預測IC!AM$25,1,0)</f>
        <v>1</v>
      </c>
      <c r="AN16" s="10">
        <f>IF(預測IC!AN16&gt;預測IC!AN$25,1,0)</f>
        <v>0</v>
      </c>
      <c r="AO16" s="10">
        <f>IF(預測IC!AO16&gt;預測IC!AO$25,1,0)</f>
        <v>0</v>
      </c>
      <c r="AP16" s="10">
        <f>IF(預測IC!AP16&gt;預測IC!AP$25,1,0)</f>
        <v>0</v>
      </c>
      <c r="AQ16" s="10">
        <f>IF(預測IC!AQ16&gt;預測IC!AQ$25,1,0)</f>
        <v>0</v>
      </c>
      <c r="AR16" s="10">
        <f>IF(預測IC!AR16&gt;預測IC!AR$25,1,0)</f>
        <v>1</v>
      </c>
      <c r="AS16" s="10">
        <f>IF(預測IC!AS16&gt;預測IC!AS$25,1,0)</f>
        <v>1</v>
      </c>
      <c r="AT16" s="10">
        <f>IF(預測IC!AT16&gt;預測IC!AT$25,1,0)</f>
        <v>0</v>
      </c>
      <c r="AU16" s="10">
        <f>IF(預測IC!AU16&gt;預測IC!AU$25,1,0)</f>
        <v>0</v>
      </c>
      <c r="AV16" s="10">
        <f>IF(預測IC!AV16&gt;預測IC!AV$25,1,0)</f>
        <v>0</v>
      </c>
      <c r="AW16" s="10">
        <f>IF(預測IC!AW16&gt;預測IC!AW$25,1,0)</f>
        <v>1</v>
      </c>
      <c r="AX16" s="10">
        <f>IF(預測IC!AX16&gt;預測IC!AX$25,1,0)</f>
        <v>1</v>
      </c>
      <c r="AY16" s="10">
        <f>IF(預測IC!AY16&gt;預測IC!AY$25,1,0)</f>
        <v>0</v>
      </c>
      <c r="AZ16" s="10">
        <f>IF(預測IC!AZ16&gt;預測IC!AZ$25,1,0)</f>
        <v>1</v>
      </c>
      <c r="BA16" s="10">
        <f>IF(預測IC!BA16&gt;預測IC!BA$25,1,0)</f>
        <v>0</v>
      </c>
      <c r="BB16" s="10">
        <f>IF(預測IC!BB16&gt;預測IC!BB$25,1,0)</f>
        <v>1</v>
      </c>
      <c r="BC16" s="10">
        <f>IF(預測IC!BC16&gt;預測IC!BC$25,1,0)</f>
        <v>1</v>
      </c>
      <c r="BD16" s="10">
        <f>IF(預測IC!BD16&gt;預測IC!BD$25,1,0)</f>
        <v>0</v>
      </c>
      <c r="BE16" s="10">
        <f>IF(預測IC!BE16&gt;預測IC!BE$25,1,0)</f>
        <v>0</v>
      </c>
      <c r="BF16" s="10">
        <f>IF(預測IC!BF16&gt;預測IC!BF$25,1,0)</f>
        <v>0</v>
      </c>
      <c r="BG16" s="10">
        <f>IF(預測IC!BG16&gt;預測IC!BG$25,1,0)</f>
        <v>1</v>
      </c>
      <c r="BH16" s="10">
        <f>IF(預測IC!BH16&gt;預測IC!BH$25,1,0)</f>
        <v>1</v>
      </c>
      <c r="BI16" s="10">
        <f>IF(預測IC!BI16&gt;預測IC!BI$25,1,0)</f>
        <v>0</v>
      </c>
      <c r="BJ16" s="10">
        <f>IF(預測IC!BJ16&gt;預測IC!BJ$25,1,0)</f>
        <v>1</v>
      </c>
      <c r="BK16" s="10">
        <f>IF(預測IC!BK16&gt;預測IC!BK$25,1,0)</f>
        <v>1</v>
      </c>
      <c r="BL16" s="10">
        <f>IF(預測IC!BL16&gt;預測IC!BL$25,1,0)</f>
        <v>1</v>
      </c>
      <c r="BM16" s="10">
        <f>IF(預測IC!BM16&gt;預測IC!BM$25,1,0)</f>
        <v>1</v>
      </c>
      <c r="BN16" s="10">
        <f>IF(預測IC!BN16&gt;預測IC!BN$25,1,0)</f>
        <v>1</v>
      </c>
      <c r="BO16" s="10">
        <f>IF(預測IC!BO16&gt;預測IC!BO$25,1,0)</f>
        <v>1</v>
      </c>
      <c r="BP16" s="10">
        <f>IF(預測IC!BP16&gt;預測IC!BP$25,1,0)</f>
        <v>1</v>
      </c>
      <c r="BQ16" s="10">
        <f>IF(預測IC!BQ16&gt;預測IC!BQ$25,1,0)</f>
        <v>1</v>
      </c>
      <c r="BR16" s="10">
        <f>IF(預測IC!BR16&gt;預測IC!BR$25,1,0)</f>
        <v>0</v>
      </c>
      <c r="BS16" s="10">
        <f>IF(預測IC!BS16&gt;預測IC!BS$25,1,0)</f>
        <v>0</v>
      </c>
      <c r="BT16" s="10">
        <f>IF(預測IC!BT16&gt;預測IC!BT$25,1,0)</f>
        <v>1</v>
      </c>
      <c r="BU16" s="10">
        <f>IF(預測IC!BU16&gt;預測IC!BU$25,1,0)</f>
        <v>0</v>
      </c>
      <c r="BV16" s="10">
        <f>IF(預測IC!BV16&gt;預測IC!BV$25,1,0)</f>
        <v>0</v>
      </c>
      <c r="BW16" s="10">
        <f>IF(預測IC!BW16&gt;預測IC!BW$25,1,0)</f>
        <v>1</v>
      </c>
      <c r="BX16" s="10">
        <f>IF(預測IC!BX16&gt;預測IC!BX$25,1,0)</f>
        <v>1</v>
      </c>
      <c r="BY16" s="10">
        <f>IF(預測IC!BY16&gt;預測IC!BY$25,1,0)</f>
        <v>1</v>
      </c>
      <c r="BZ16" s="10">
        <f>IF(預測IC!BZ16&gt;預測IC!BZ$25,1,0)</f>
        <v>0</v>
      </c>
      <c r="CA16" s="10">
        <f>IF(預測IC!CA16&gt;預測IC!CA$25,1,0)</f>
        <v>1</v>
      </c>
      <c r="CB16" s="10">
        <f>IF(預測IC!CB16&gt;預測IC!CB$25,1,0)</f>
        <v>0</v>
      </c>
      <c r="CC16" s="10">
        <f>IF(預測IC!CC16&gt;預測IC!CC$25,1,0)</f>
        <v>0</v>
      </c>
      <c r="CD16" s="10">
        <f>IF(預測IC!CD16&gt;預測IC!CD$25,1,0)</f>
        <v>1</v>
      </c>
      <c r="CE16" s="10">
        <f>IF(預測IC!CE16&gt;預測IC!CE$25,1,0)</f>
        <v>0</v>
      </c>
      <c r="CF16" s="10">
        <f>IF(預測IC!CF16&gt;預測IC!CF$25,1,0)</f>
        <v>1</v>
      </c>
      <c r="CG16" s="10">
        <f>IF(預測IC!CG16&gt;預測IC!CG$25,1,0)</f>
        <v>1</v>
      </c>
      <c r="CH16" s="10">
        <f>IF(預測IC!CH16&gt;預測IC!CH$25,1,0)</f>
        <v>0</v>
      </c>
      <c r="CI16" s="10">
        <f>IF(預測IC!CI16&gt;預測IC!CI$25,1,0)</f>
        <v>0</v>
      </c>
      <c r="CJ16" s="10">
        <f>IF(預測IC!CJ16&gt;預測IC!CJ$25,1,0)</f>
        <v>0</v>
      </c>
      <c r="CK16" s="10">
        <f>IF(預測IC!CK16&gt;預測IC!CK$25,1,0)</f>
        <v>1</v>
      </c>
      <c r="CL16" s="10">
        <f>IF(預測IC!CL16&gt;預測IC!CL$25,1,0)</f>
        <v>1</v>
      </c>
      <c r="CM16" s="10">
        <f>IF(預測IC!CM16&gt;預測IC!CM$25,1,0)</f>
        <v>1</v>
      </c>
      <c r="CN16" s="10">
        <f>IF(預測IC!CN16&gt;預測IC!CN$25,1,0)</f>
        <v>0</v>
      </c>
      <c r="CO16" s="10">
        <f>IF(預測IC!CO16&gt;預測IC!CO$25,1,0)</f>
        <v>0</v>
      </c>
      <c r="CP16" s="10">
        <f>IF(預測IC!CP16&gt;預測IC!CP$25,1,0)</f>
        <v>0</v>
      </c>
      <c r="CQ16" s="10">
        <f>IF(預測IC!CQ16&gt;預測IC!CQ$25,1,0)</f>
        <v>1</v>
      </c>
      <c r="CR16" s="10">
        <f>IF(預測IC!CR16&gt;預測IC!CR$25,1,0)</f>
        <v>0</v>
      </c>
      <c r="CS16" s="10">
        <f>IF(預測IC!CS16&gt;預測IC!CS$25,1,0)</f>
        <v>0</v>
      </c>
      <c r="CT16" s="10">
        <f>IF(預測IC!CT16&gt;預測IC!CT$25,1,0)</f>
        <v>0</v>
      </c>
      <c r="CU16" s="10">
        <f>IF(預測IC!CU16&gt;預測IC!CU$25,1,0)</f>
        <v>1</v>
      </c>
      <c r="CV16" s="10">
        <f>IF(預測IC!CV16&gt;預測IC!CV$25,1,0)</f>
        <v>1</v>
      </c>
      <c r="CW16" s="10">
        <f>IF(預測IC!CW16&gt;預測IC!CW$25,1,0)</f>
        <v>1</v>
      </c>
      <c r="CX16" s="10">
        <f>IF(預測IC!CX16&gt;預測IC!CX$25,1,0)</f>
        <v>1</v>
      </c>
      <c r="CY16" s="10">
        <f>IF(預測IC!CY16&gt;預測IC!CY$25,1,0)</f>
        <v>0</v>
      </c>
      <c r="CZ16" s="10">
        <f>IF(預測IC!CZ16&gt;預測IC!CZ$25,1,0)</f>
        <v>1</v>
      </c>
      <c r="DA16" s="10">
        <f>IF(預測IC!DA16&gt;預測IC!DA$25,1,0)</f>
        <v>1</v>
      </c>
      <c r="DB16" s="10">
        <f>IF(預測IC!DB16&gt;預測IC!DB$25,1,0)</f>
        <v>0</v>
      </c>
      <c r="DC16" s="10">
        <f>IF(預測IC!DC16&gt;預測IC!DC$25,1,0)</f>
        <v>1</v>
      </c>
      <c r="DD16" s="10">
        <f>IF(預測IC!DD16&gt;預測IC!DD$25,1,0)</f>
        <v>1</v>
      </c>
      <c r="DE16" s="10">
        <f>IF(預測IC!DE16&gt;預測IC!DE$25,1,0)</f>
        <v>0</v>
      </c>
      <c r="DF16" s="10">
        <f>IF(預測IC!DF16&gt;預測IC!DF$25,1,0)</f>
        <v>1</v>
      </c>
      <c r="DG16" s="10">
        <f>IF(預測IC!DG16&gt;預測IC!DG$25,1,0)</f>
        <v>0</v>
      </c>
      <c r="DH16" s="10">
        <f>IF(預測IC!DH16&gt;預測IC!DH$25,1,0)</f>
        <v>0</v>
      </c>
      <c r="DI16" s="10">
        <f>IF(預測IC!DI16&gt;預測IC!DI$25,1,0)</f>
        <v>1</v>
      </c>
      <c r="DJ16" s="10">
        <f>IF(預測IC!DJ16&gt;預測IC!DJ$25,1,0)</f>
        <v>1</v>
      </c>
      <c r="DK16" s="10">
        <f>IF(預測IC!DK16&gt;預測IC!DK$25,1,0)</f>
        <v>1</v>
      </c>
      <c r="DL16" s="10">
        <f>IF(預測IC!DL16&gt;預測IC!DL$25,1,0)</f>
        <v>1</v>
      </c>
      <c r="DM16" s="10">
        <f>IF(預測IC!DM16&gt;預測IC!DM$25,1,0)</f>
        <v>0</v>
      </c>
      <c r="DN16" s="10">
        <f>IF(預測IC!DN16&gt;預測IC!DN$25,1,0)</f>
        <v>1</v>
      </c>
      <c r="DO16" s="10">
        <f>IF(預測IC!DO16&gt;預測IC!DO$25,1,0)</f>
        <v>0</v>
      </c>
      <c r="DP16" s="10">
        <f>IF(預測IC!DP16&gt;預測IC!DP$25,1,0)</f>
        <v>1</v>
      </c>
      <c r="DQ16" s="10">
        <f>IF(預測IC!DQ16&gt;預測IC!DQ$25,1,0)</f>
        <v>0</v>
      </c>
      <c r="DR16" s="10">
        <f>IF(預測IC!DR16&gt;預測IC!DR$25,1,0)</f>
        <v>0</v>
      </c>
      <c r="DS16" s="10">
        <f>IF(預測IC!DS16&gt;預測IC!DS$25,1,0)</f>
        <v>1</v>
      </c>
      <c r="DT16" s="10">
        <f>IF(預測IC!DT16&gt;預測IC!DT$25,1,0)</f>
        <v>0</v>
      </c>
      <c r="DU16" s="10">
        <f>IF(預測IC!DU16&gt;預測IC!DU$25,1,0)</f>
        <v>0</v>
      </c>
      <c r="DV16" s="10">
        <f>IF(預測IC!DV16&gt;預測IC!DV$25,1,0)</f>
        <v>1</v>
      </c>
      <c r="DW16" s="10">
        <f>IF(預測IC!DW16&gt;預測IC!DW$25,1,0)</f>
        <v>0</v>
      </c>
      <c r="DX16" s="10">
        <f>IF(預測IC!DX16&gt;預測IC!DX$25,1,0)</f>
        <v>0</v>
      </c>
      <c r="DY16" s="10">
        <f>IF(預測IC!DY16&gt;預測IC!DY$25,1,0)</f>
        <v>1</v>
      </c>
      <c r="DZ16" s="10">
        <f>IF(預測IC!DZ16&gt;預測IC!DZ$25,1,0)</f>
        <v>0</v>
      </c>
      <c r="EA16" s="10">
        <f>IF(預測IC!EA16&gt;預測IC!EA$25,1,0)</f>
        <v>1</v>
      </c>
      <c r="EB16" s="10">
        <f>IF(預測IC!EB16&gt;預測IC!EB$25,1,0)</f>
        <v>0</v>
      </c>
      <c r="EC16" s="10">
        <f>IF(預測IC!EC16&gt;預測IC!EC$25,1,0)</f>
        <v>1</v>
      </c>
      <c r="ED16" s="10">
        <f>IF(預測IC!ED16&gt;預測IC!ED$25,1,0)</f>
        <v>0</v>
      </c>
      <c r="EE16" s="10">
        <f>IF(預測IC!EE16&gt;預測IC!EE$25,1,0)</f>
        <v>0</v>
      </c>
      <c r="EF16" s="10">
        <f>IF(預測IC!EF16&gt;預測IC!EF$25,1,0)</f>
        <v>1</v>
      </c>
      <c r="EG16" s="10">
        <f>IF(預測IC!EG16&gt;預測IC!EG$25,1,0)</f>
        <v>0</v>
      </c>
      <c r="EH16" s="10">
        <f>IF(預測IC!EH16&gt;預測IC!EH$25,1,0)</f>
        <v>1</v>
      </c>
      <c r="EI16" s="10">
        <f>IF(預測IC!EI16&gt;預測IC!EI$25,1,0)</f>
        <v>0</v>
      </c>
      <c r="EJ16" s="10">
        <f>IF(預測IC!EJ16&gt;預測IC!EJ$25,1,0)</f>
        <v>1</v>
      </c>
      <c r="EK16" s="10">
        <f>IF(預測IC!EK16&gt;預測IC!EK$25,1,0)</f>
        <v>1</v>
      </c>
      <c r="EL16" s="10">
        <f>IF(預測IC!EL16&gt;預測IC!EL$25,1,0)</f>
        <v>0</v>
      </c>
      <c r="EM16" s="6">
        <f t="shared" si="11"/>
        <v>68</v>
      </c>
      <c r="EN16" s="19">
        <f t="shared" si="12"/>
        <v>0.48571428571428571</v>
      </c>
    </row>
    <row r="17" spans="1:144" x14ac:dyDescent="0.3">
      <c r="A17" s="18">
        <v>130</v>
      </c>
      <c r="B17" s="18">
        <f t="shared" si="10"/>
        <v>8</v>
      </c>
      <c r="C17" s="10">
        <f>IF(預測IC!C17&gt;預測IC!C$25,1,0)</f>
        <v>0</v>
      </c>
      <c r="D17" s="10">
        <f>IF(預測IC!D17&gt;預測IC!D$25,1,0)</f>
        <v>0</v>
      </c>
      <c r="E17" s="10">
        <f>IF(預測IC!E17&gt;預測IC!E$25,1,0)</f>
        <v>0</v>
      </c>
      <c r="F17" s="10">
        <f>IF(預測IC!F17&gt;預測IC!F$25,1,0)</f>
        <v>1</v>
      </c>
      <c r="G17" s="10">
        <f>IF(預測IC!G17&gt;預測IC!G$25,1,0)</f>
        <v>1</v>
      </c>
      <c r="H17" s="10">
        <f>IF(預測IC!H17&gt;預測IC!H$25,1,0)</f>
        <v>1</v>
      </c>
      <c r="I17" s="10">
        <f>IF(預測IC!I17&gt;預測IC!I$25,1,0)</f>
        <v>1</v>
      </c>
      <c r="J17" s="10">
        <f>IF(預測IC!J17&gt;預測IC!J$25,1,0)</f>
        <v>1</v>
      </c>
      <c r="K17" s="10">
        <f>IF(預測IC!K17&gt;預測IC!K$25,1,0)</f>
        <v>0</v>
      </c>
      <c r="L17" s="10">
        <f>IF(預測IC!L17&gt;預測IC!L$25,1,0)</f>
        <v>0</v>
      </c>
      <c r="M17" s="10">
        <f>IF(預測IC!M17&gt;預測IC!M$25,1,0)</f>
        <v>0</v>
      </c>
      <c r="N17" s="10">
        <f>IF(預測IC!N17&gt;預測IC!N$25,1,0)</f>
        <v>1</v>
      </c>
      <c r="O17" s="10">
        <f>IF(預測IC!O17&gt;預測IC!O$25,1,0)</f>
        <v>0</v>
      </c>
      <c r="P17" s="10">
        <f>IF(預測IC!P17&gt;預測IC!P$25,1,0)</f>
        <v>0</v>
      </c>
      <c r="Q17" s="10">
        <f>IF(預測IC!Q17&gt;預測IC!Q$25,1,0)</f>
        <v>0</v>
      </c>
      <c r="R17" s="10">
        <f>IF(預測IC!R17&gt;預測IC!R$25,1,0)</f>
        <v>0</v>
      </c>
      <c r="S17" s="10">
        <f>IF(預測IC!S17&gt;預測IC!S$25,1,0)</f>
        <v>0</v>
      </c>
      <c r="T17" s="10">
        <f>IF(預測IC!T17&gt;預測IC!T$25,1,0)</f>
        <v>0</v>
      </c>
      <c r="U17" s="10">
        <f>IF(預測IC!U17&gt;預測IC!U$25,1,0)</f>
        <v>1</v>
      </c>
      <c r="V17" s="10">
        <f>IF(預測IC!V17&gt;預測IC!V$25,1,0)</f>
        <v>0</v>
      </c>
      <c r="W17" s="10">
        <f>IF(預測IC!W17&gt;預測IC!W$25,1,0)</f>
        <v>0</v>
      </c>
      <c r="X17" s="10">
        <f>IF(預測IC!X17&gt;預測IC!X$25,1,0)</f>
        <v>1</v>
      </c>
      <c r="Y17" s="10">
        <f>IF(預測IC!Y17&gt;預測IC!Y$25,1,0)</f>
        <v>1</v>
      </c>
      <c r="Z17" s="10">
        <f>IF(預測IC!Z17&gt;預測IC!Z$25,1,0)</f>
        <v>1</v>
      </c>
      <c r="AA17" s="10">
        <f>IF(預測IC!AA17&gt;預測IC!AA$25,1,0)</f>
        <v>0</v>
      </c>
      <c r="AB17" s="10">
        <f>IF(預測IC!AB17&gt;預測IC!AB$25,1,0)</f>
        <v>0</v>
      </c>
      <c r="AC17" s="10">
        <f>IF(預測IC!AC17&gt;預測IC!AC$25,1,0)</f>
        <v>0</v>
      </c>
      <c r="AD17" s="10">
        <f>IF(預測IC!AD17&gt;預測IC!AD$25,1,0)</f>
        <v>1</v>
      </c>
      <c r="AE17" s="10">
        <f>IF(預測IC!AE17&gt;預測IC!AE$25,1,0)</f>
        <v>0</v>
      </c>
      <c r="AF17" s="10">
        <f>IF(預測IC!AF17&gt;預測IC!AF$25,1,0)</f>
        <v>0</v>
      </c>
      <c r="AG17" s="10">
        <f>IF(預測IC!AG17&gt;預測IC!AG$25,1,0)</f>
        <v>0</v>
      </c>
      <c r="AH17" s="10">
        <f>IF(預測IC!AH17&gt;預測IC!AH$25,1,0)</f>
        <v>0</v>
      </c>
      <c r="AI17" s="10">
        <f>IF(預測IC!AI17&gt;預測IC!AI$25,1,0)</f>
        <v>1</v>
      </c>
      <c r="AJ17" s="10">
        <f>IF(預測IC!AJ17&gt;預測IC!AJ$25,1,0)</f>
        <v>0</v>
      </c>
      <c r="AK17" s="10">
        <f>IF(預測IC!AK17&gt;預測IC!AK$25,1,0)</f>
        <v>1</v>
      </c>
      <c r="AL17" s="10">
        <f>IF(預測IC!AL17&gt;預測IC!AL$25,1,0)</f>
        <v>1</v>
      </c>
      <c r="AM17" s="10">
        <f>IF(預測IC!AM17&gt;預測IC!AM$25,1,0)</f>
        <v>1</v>
      </c>
      <c r="AN17" s="10">
        <f>IF(預測IC!AN17&gt;預測IC!AN$25,1,0)</f>
        <v>0</v>
      </c>
      <c r="AO17" s="10">
        <f>IF(預測IC!AO17&gt;預測IC!AO$25,1,0)</f>
        <v>0</v>
      </c>
      <c r="AP17" s="10">
        <f>IF(預測IC!AP17&gt;預測IC!AP$25,1,0)</f>
        <v>0</v>
      </c>
      <c r="AQ17" s="10">
        <f>IF(預測IC!AQ17&gt;預測IC!AQ$25,1,0)</f>
        <v>0</v>
      </c>
      <c r="AR17" s="10">
        <f>IF(預測IC!AR17&gt;預測IC!AR$25,1,0)</f>
        <v>1</v>
      </c>
      <c r="AS17" s="10">
        <f>IF(預測IC!AS17&gt;預測IC!AS$25,1,0)</f>
        <v>1</v>
      </c>
      <c r="AT17" s="10">
        <f>IF(預測IC!AT17&gt;預測IC!AT$25,1,0)</f>
        <v>0</v>
      </c>
      <c r="AU17" s="10">
        <f>IF(預測IC!AU17&gt;預測IC!AU$25,1,0)</f>
        <v>0</v>
      </c>
      <c r="AV17" s="10">
        <f>IF(預測IC!AV17&gt;預測IC!AV$25,1,0)</f>
        <v>0</v>
      </c>
      <c r="AW17" s="10">
        <f>IF(預測IC!AW17&gt;預測IC!AW$25,1,0)</f>
        <v>1</v>
      </c>
      <c r="AX17" s="10">
        <f>IF(預測IC!AX17&gt;預測IC!AX$25,1,0)</f>
        <v>1</v>
      </c>
      <c r="AY17" s="10">
        <f>IF(預測IC!AY17&gt;預測IC!AY$25,1,0)</f>
        <v>0</v>
      </c>
      <c r="AZ17" s="10">
        <f>IF(預測IC!AZ17&gt;預測IC!AZ$25,1,0)</f>
        <v>1</v>
      </c>
      <c r="BA17" s="10">
        <f>IF(預測IC!BA17&gt;預測IC!BA$25,1,0)</f>
        <v>0</v>
      </c>
      <c r="BB17" s="10">
        <f>IF(預測IC!BB17&gt;預測IC!BB$25,1,0)</f>
        <v>1</v>
      </c>
      <c r="BC17" s="10">
        <f>IF(預測IC!BC17&gt;預測IC!BC$25,1,0)</f>
        <v>1</v>
      </c>
      <c r="BD17" s="10">
        <f>IF(預測IC!BD17&gt;預測IC!BD$25,1,0)</f>
        <v>0</v>
      </c>
      <c r="BE17" s="10">
        <f>IF(預測IC!BE17&gt;預測IC!BE$25,1,0)</f>
        <v>0</v>
      </c>
      <c r="BF17" s="10">
        <f>IF(預測IC!BF17&gt;預測IC!BF$25,1,0)</f>
        <v>0</v>
      </c>
      <c r="BG17" s="10">
        <f>IF(預測IC!BG17&gt;預測IC!BG$25,1,0)</f>
        <v>1</v>
      </c>
      <c r="BH17" s="10">
        <f>IF(預測IC!BH17&gt;預測IC!BH$25,1,0)</f>
        <v>1</v>
      </c>
      <c r="BI17" s="10">
        <f>IF(預測IC!BI17&gt;預測IC!BI$25,1,0)</f>
        <v>0</v>
      </c>
      <c r="BJ17" s="10">
        <f>IF(預測IC!BJ17&gt;預測IC!BJ$25,1,0)</f>
        <v>1</v>
      </c>
      <c r="BK17" s="10">
        <f>IF(預測IC!BK17&gt;預測IC!BK$25,1,0)</f>
        <v>1</v>
      </c>
      <c r="BL17" s="10">
        <f>IF(預測IC!BL17&gt;預測IC!BL$25,1,0)</f>
        <v>1</v>
      </c>
      <c r="BM17" s="10">
        <f>IF(預測IC!BM17&gt;預測IC!BM$25,1,0)</f>
        <v>1</v>
      </c>
      <c r="BN17" s="10">
        <f>IF(預測IC!BN17&gt;預測IC!BN$25,1,0)</f>
        <v>1</v>
      </c>
      <c r="BO17" s="10">
        <f>IF(預測IC!BO17&gt;預測IC!BO$25,1,0)</f>
        <v>1</v>
      </c>
      <c r="BP17" s="10">
        <f>IF(預測IC!BP17&gt;預測IC!BP$25,1,0)</f>
        <v>1</v>
      </c>
      <c r="BQ17" s="10">
        <f>IF(預測IC!BQ17&gt;預測IC!BQ$25,1,0)</f>
        <v>1</v>
      </c>
      <c r="BR17" s="10">
        <f>IF(預測IC!BR17&gt;預測IC!BR$25,1,0)</f>
        <v>0</v>
      </c>
      <c r="BS17" s="10">
        <f>IF(預測IC!BS17&gt;預測IC!BS$25,1,0)</f>
        <v>0</v>
      </c>
      <c r="BT17" s="10">
        <f>IF(預測IC!BT17&gt;預測IC!BT$25,1,0)</f>
        <v>1</v>
      </c>
      <c r="BU17" s="10">
        <f>IF(預測IC!BU17&gt;預測IC!BU$25,1,0)</f>
        <v>0</v>
      </c>
      <c r="BV17" s="10">
        <f>IF(預測IC!BV17&gt;預測IC!BV$25,1,0)</f>
        <v>0</v>
      </c>
      <c r="BW17" s="10">
        <f>IF(預測IC!BW17&gt;預測IC!BW$25,1,0)</f>
        <v>1</v>
      </c>
      <c r="BX17" s="10">
        <f>IF(預測IC!BX17&gt;預測IC!BX$25,1,0)</f>
        <v>1</v>
      </c>
      <c r="BY17" s="10">
        <f>IF(預測IC!BY17&gt;預測IC!BY$25,1,0)</f>
        <v>1</v>
      </c>
      <c r="BZ17" s="10">
        <f>IF(預測IC!BZ17&gt;預測IC!BZ$25,1,0)</f>
        <v>0</v>
      </c>
      <c r="CA17" s="10">
        <f>IF(預測IC!CA17&gt;預測IC!CA$25,1,0)</f>
        <v>1</v>
      </c>
      <c r="CB17" s="10">
        <f>IF(預測IC!CB17&gt;預測IC!CB$25,1,0)</f>
        <v>0</v>
      </c>
      <c r="CC17" s="10">
        <f>IF(預測IC!CC17&gt;預測IC!CC$25,1,0)</f>
        <v>0</v>
      </c>
      <c r="CD17" s="10">
        <f>IF(預測IC!CD17&gt;預測IC!CD$25,1,0)</f>
        <v>1</v>
      </c>
      <c r="CE17" s="10">
        <f>IF(預測IC!CE17&gt;預測IC!CE$25,1,0)</f>
        <v>0</v>
      </c>
      <c r="CF17" s="10">
        <f>IF(預測IC!CF17&gt;預測IC!CF$25,1,0)</f>
        <v>1</v>
      </c>
      <c r="CG17" s="10">
        <f>IF(預測IC!CG17&gt;預測IC!CG$25,1,0)</f>
        <v>1</v>
      </c>
      <c r="CH17" s="10">
        <f>IF(預測IC!CH17&gt;預測IC!CH$25,1,0)</f>
        <v>1</v>
      </c>
      <c r="CI17" s="10">
        <f>IF(預測IC!CI17&gt;預測IC!CI$25,1,0)</f>
        <v>0</v>
      </c>
      <c r="CJ17" s="10">
        <f>IF(預測IC!CJ17&gt;預測IC!CJ$25,1,0)</f>
        <v>0</v>
      </c>
      <c r="CK17" s="10">
        <f>IF(預測IC!CK17&gt;預測IC!CK$25,1,0)</f>
        <v>1</v>
      </c>
      <c r="CL17" s="10">
        <f>IF(預測IC!CL17&gt;預測IC!CL$25,1,0)</f>
        <v>1</v>
      </c>
      <c r="CM17" s="10">
        <f>IF(預測IC!CM17&gt;預測IC!CM$25,1,0)</f>
        <v>0</v>
      </c>
      <c r="CN17" s="10">
        <f>IF(預測IC!CN17&gt;預測IC!CN$25,1,0)</f>
        <v>0</v>
      </c>
      <c r="CO17" s="10">
        <f>IF(預測IC!CO17&gt;預測IC!CO$25,1,0)</f>
        <v>0</v>
      </c>
      <c r="CP17" s="10">
        <f>IF(預測IC!CP17&gt;預測IC!CP$25,1,0)</f>
        <v>0</v>
      </c>
      <c r="CQ17" s="10">
        <f>IF(預測IC!CQ17&gt;預測IC!CQ$25,1,0)</f>
        <v>1</v>
      </c>
      <c r="CR17" s="10">
        <f>IF(預測IC!CR17&gt;預測IC!CR$25,1,0)</f>
        <v>0</v>
      </c>
      <c r="CS17" s="10">
        <f>IF(預測IC!CS17&gt;預測IC!CS$25,1,0)</f>
        <v>0</v>
      </c>
      <c r="CT17" s="10">
        <f>IF(預測IC!CT17&gt;預測IC!CT$25,1,0)</f>
        <v>0</v>
      </c>
      <c r="CU17" s="10">
        <f>IF(預測IC!CU17&gt;預測IC!CU$25,1,0)</f>
        <v>1</v>
      </c>
      <c r="CV17" s="10">
        <f>IF(預測IC!CV17&gt;預測IC!CV$25,1,0)</f>
        <v>1</v>
      </c>
      <c r="CW17" s="10">
        <f>IF(預測IC!CW17&gt;預測IC!CW$25,1,0)</f>
        <v>1</v>
      </c>
      <c r="CX17" s="10">
        <f>IF(預測IC!CX17&gt;預測IC!CX$25,1,0)</f>
        <v>1</v>
      </c>
      <c r="CY17" s="10">
        <f>IF(預測IC!CY17&gt;預測IC!CY$25,1,0)</f>
        <v>0</v>
      </c>
      <c r="CZ17" s="10">
        <f>IF(預測IC!CZ17&gt;預測IC!CZ$25,1,0)</f>
        <v>1</v>
      </c>
      <c r="DA17" s="10">
        <f>IF(預測IC!DA17&gt;預測IC!DA$25,1,0)</f>
        <v>1</v>
      </c>
      <c r="DB17" s="10">
        <f>IF(預測IC!DB17&gt;預測IC!DB$25,1,0)</f>
        <v>0</v>
      </c>
      <c r="DC17" s="10">
        <f>IF(預測IC!DC17&gt;預測IC!DC$25,1,0)</f>
        <v>1</v>
      </c>
      <c r="DD17" s="10">
        <f>IF(預測IC!DD17&gt;預測IC!DD$25,1,0)</f>
        <v>0</v>
      </c>
      <c r="DE17" s="10">
        <f>IF(預測IC!DE17&gt;預測IC!DE$25,1,0)</f>
        <v>0</v>
      </c>
      <c r="DF17" s="10">
        <f>IF(預測IC!DF17&gt;預測IC!DF$25,1,0)</f>
        <v>1</v>
      </c>
      <c r="DG17" s="10">
        <f>IF(預測IC!DG17&gt;預測IC!DG$25,1,0)</f>
        <v>0</v>
      </c>
      <c r="DH17" s="10">
        <f>IF(預測IC!DH17&gt;預測IC!DH$25,1,0)</f>
        <v>0</v>
      </c>
      <c r="DI17" s="10">
        <f>IF(預測IC!DI17&gt;預測IC!DI$25,1,0)</f>
        <v>1</v>
      </c>
      <c r="DJ17" s="10">
        <f>IF(預測IC!DJ17&gt;預測IC!DJ$25,1,0)</f>
        <v>1</v>
      </c>
      <c r="DK17" s="10">
        <f>IF(預測IC!DK17&gt;預測IC!DK$25,1,0)</f>
        <v>1</v>
      </c>
      <c r="DL17" s="10">
        <f>IF(預測IC!DL17&gt;預測IC!DL$25,1,0)</f>
        <v>1</v>
      </c>
      <c r="DM17" s="10">
        <f>IF(預測IC!DM17&gt;預測IC!DM$25,1,0)</f>
        <v>0</v>
      </c>
      <c r="DN17" s="10">
        <f>IF(預測IC!DN17&gt;預測IC!DN$25,1,0)</f>
        <v>1</v>
      </c>
      <c r="DO17" s="10">
        <f>IF(預測IC!DO17&gt;預測IC!DO$25,1,0)</f>
        <v>0</v>
      </c>
      <c r="DP17" s="10">
        <f>IF(預測IC!DP17&gt;預測IC!DP$25,1,0)</f>
        <v>1</v>
      </c>
      <c r="DQ17" s="10">
        <f>IF(預測IC!DQ17&gt;預測IC!DQ$25,1,0)</f>
        <v>0</v>
      </c>
      <c r="DR17" s="10">
        <f>IF(預測IC!DR17&gt;預測IC!DR$25,1,0)</f>
        <v>0</v>
      </c>
      <c r="DS17" s="10">
        <f>IF(預測IC!DS17&gt;預測IC!DS$25,1,0)</f>
        <v>1</v>
      </c>
      <c r="DT17" s="10">
        <f>IF(預測IC!DT17&gt;預測IC!DT$25,1,0)</f>
        <v>0</v>
      </c>
      <c r="DU17" s="10">
        <f>IF(預測IC!DU17&gt;預測IC!DU$25,1,0)</f>
        <v>0</v>
      </c>
      <c r="DV17" s="10">
        <f>IF(預測IC!DV17&gt;預測IC!DV$25,1,0)</f>
        <v>1</v>
      </c>
      <c r="DW17" s="10">
        <f>IF(預測IC!DW17&gt;預測IC!DW$25,1,0)</f>
        <v>0</v>
      </c>
      <c r="DX17" s="10">
        <f>IF(預測IC!DX17&gt;預測IC!DX$25,1,0)</f>
        <v>0</v>
      </c>
      <c r="DY17" s="10">
        <f>IF(預測IC!DY17&gt;預測IC!DY$25,1,0)</f>
        <v>1</v>
      </c>
      <c r="DZ17" s="10">
        <f>IF(預測IC!DZ17&gt;預測IC!DZ$25,1,0)</f>
        <v>0</v>
      </c>
      <c r="EA17" s="10">
        <f>IF(預測IC!EA17&gt;預測IC!EA$25,1,0)</f>
        <v>1</v>
      </c>
      <c r="EB17" s="10">
        <f>IF(預測IC!EB17&gt;預測IC!EB$25,1,0)</f>
        <v>0</v>
      </c>
      <c r="EC17" s="10">
        <f>IF(預測IC!EC17&gt;預測IC!EC$25,1,0)</f>
        <v>1</v>
      </c>
      <c r="ED17" s="10">
        <f>IF(預測IC!ED17&gt;預測IC!ED$25,1,0)</f>
        <v>0</v>
      </c>
      <c r="EE17" s="10">
        <f>IF(預測IC!EE17&gt;預測IC!EE$25,1,0)</f>
        <v>0</v>
      </c>
      <c r="EF17" s="10">
        <f>IF(預測IC!EF17&gt;預測IC!EF$25,1,0)</f>
        <v>1</v>
      </c>
      <c r="EG17" s="10">
        <f>IF(預測IC!EG17&gt;預測IC!EG$25,1,0)</f>
        <v>0</v>
      </c>
      <c r="EH17" s="10">
        <f>IF(預測IC!EH17&gt;預測IC!EH$25,1,0)</f>
        <v>1</v>
      </c>
      <c r="EI17" s="10">
        <f>IF(預測IC!EI17&gt;預測IC!EI$25,1,0)</f>
        <v>0</v>
      </c>
      <c r="EJ17" s="10">
        <f>IF(預測IC!EJ17&gt;預測IC!EJ$25,1,0)</f>
        <v>1</v>
      </c>
      <c r="EK17" s="10">
        <f>IF(預測IC!EK17&gt;預測IC!EK$25,1,0)</f>
        <v>1</v>
      </c>
      <c r="EL17" s="10">
        <f>IF(預測IC!EL17&gt;預測IC!EL$25,1,0)</f>
        <v>0</v>
      </c>
      <c r="EM17" s="6">
        <f t="shared" si="11"/>
        <v>67</v>
      </c>
      <c r="EN17" s="19">
        <f t="shared" si="12"/>
        <v>0.47857142857142859</v>
      </c>
    </row>
    <row r="18" spans="1:144" x14ac:dyDescent="0.3">
      <c r="A18" s="18">
        <v>150</v>
      </c>
      <c r="B18" s="18">
        <f t="shared" si="10"/>
        <v>7</v>
      </c>
      <c r="C18" s="10">
        <f>IF(預測IC!C18&gt;預測IC!C$25,1,0)</f>
        <v>0</v>
      </c>
      <c r="D18" s="10">
        <f>IF(預測IC!D18&gt;預測IC!D$25,1,0)</f>
        <v>1</v>
      </c>
      <c r="E18" s="10">
        <f>IF(預測IC!E18&gt;預測IC!E$25,1,0)</f>
        <v>0</v>
      </c>
      <c r="F18" s="10">
        <f>IF(預測IC!F18&gt;預測IC!F$25,1,0)</f>
        <v>1</v>
      </c>
      <c r="G18" s="10">
        <f>IF(預測IC!G18&gt;預測IC!G$25,1,0)</f>
        <v>1</v>
      </c>
      <c r="H18" s="10">
        <f>IF(預測IC!H18&gt;預測IC!H$25,1,0)</f>
        <v>1</v>
      </c>
      <c r="I18" s="10">
        <f>IF(預測IC!I18&gt;預測IC!I$25,1,0)</f>
        <v>1</v>
      </c>
      <c r="J18" s="10">
        <f>IF(預測IC!J18&gt;預測IC!J$25,1,0)</f>
        <v>1</v>
      </c>
      <c r="K18" s="10">
        <f>IF(預測IC!K18&gt;預測IC!K$25,1,0)</f>
        <v>0</v>
      </c>
      <c r="L18" s="10">
        <f>IF(預測IC!L18&gt;預測IC!L$25,1,0)</f>
        <v>0</v>
      </c>
      <c r="M18" s="10">
        <f>IF(預測IC!M18&gt;預測IC!M$25,1,0)</f>
        <v>0</v>
      </c>
      <c r="N18" s="10">
        <f>IF(預測IC!N18&gt;預測IC!N$25,1,0)</f>
        <v>1</v>
      </c>
      <c r="O18" s="10">
        <f>IF(預測IC!O18&gt;預測IC!O$25,1,0)</f>
        <v>0</v>
      </c>
      <c r="P18" s="10">
        <f>IF(預測IC!P18&gt;預測IC!P$25,1,0)</f>
        <v>0</v>
      </c>
      <c r="Q18" s="10">
        <f>IF(預測IC!Q18&gt;預測IC!Q$25,1,0)</f>
        <v>0</v>
      </c>
      <c r="R18" s="10">
        <f>IF(預測IC!R18&gt;預測IC!R$25,1,0)</f>
        <v>0</v>
      </c>
      <c r="S18" s="10">
        <f>IF(預測IC!S18&gt;預測IC!S$25,1,0)</f>
        <v>0</v>
      </c>
      <c r="T18" s="10">
        <f>IF(預測IC!T18&gt;預測IC!T$25,1,0)</f>
        <v>0</v>
      </c>
      <c r="U18" s="10">
        <f>IF(預測IC!U18&gt;預測IC!U$25,1,0)</f>
        <v>1</v>
      </c>
      <c r="V18" s="10">
        <f>IF(預測IC!V18&gt;預測IC!V$25,1,0)</f>
        <v>0</v>
      </c>
      <c r="W18" s="10">
        <f>IF(預測IC!W18&gt;預測IC!W$25,1,0)</f>
        <v>0</v>
      </c>
      <c r="X18" s="10">
        <f>IF(預測IC!X18&gt;預測IC!X$25,1,0)</f>
        <v>1</v>
      </c>
      <c r="Y18" s="10">
        <f>IF(預測IC!Y18&gt;預測IC!Y$25,1,0)</f>
        <v>1</v>
      </c>
      <c r="Z18" s="10">
        <f>IF(預測IC!Z18&gt;預測IC!Z$25,1,0)</f>
        <v>1</v>
      </c>
      <c r="AA18" s="10">
        <f>IF(預測IC!AA18&gt;預測IC!AA$25,1,0)</f>
        <v>0</v>
      </c>
      <c r="AB18" s="10">
        <f>IF(預測IC!AB18&gt;預測IC!AB$25,1,0)</f>
        <v>0</v>
      </c>
      <c r="AC18" s="10">
        <f>IF(預測IC!AC18&gt;預測IC!AC$25,1,0)</f>
        <v>0</v>
      </c>
      <c r="AD18" s="10">
        <f>IF(預測IC!AD18&gt;預測IC!AD$25,1,0)</f>
        <v>1</v>
      </c>
      <c r="AE18" s="10">
        <f>IF(預測IC!AE18&gt;預測IC!AE$25,1,0)</f>
        <v>0</v>
      </c>
      <c r="AF18" s="10">
        <f>IF(預測IC!AF18&gt;預測IC!AF$25,1,0)</f>
        <v>0</v>
      </c>
      <c r="AG18" s="10">
        <f>IF(預測IC!AG18&gt;預測IC!AG$25,1,0)</f>
        <v>0</v>
      </c>
      <c r="AH18" s="10">
        <f>IF(預測IC!AH18&gt;預測IC!AH$25,1,0)</f>
        <v>0</v>
      </c>
      <c r="AI18" s="10">
        <f>IF(預測IC!AI18&gt;預測IC!AI$25,1,0)</f>
        <v>1</v>
      </c>
      <c r="AJ18" s="10">
        <f>IF(預測IC!AJ18&gt;預測IC!AJ$25,1,0)</f>
        <v>0</v>
      </c>
      <c r="AK18" s="10">
        <f>IF(預測IC!AK18&gt;預測IC!AK$25,1,0)</f>
        <v>1</v>
      </c>
      <c r="AL18" s="10">
        <f>IF(預測IC!AL18&gt;預測IC!AL$25,1,0)</f>
        <v>1</v>
      </c>
      <c r="AM18" s="10">
        <f>IF(預測IC!AM18&gt;預測IC!AM$25,1,0)</f>
        <v>1</v>
      </c>
      <c r="AN18" s="10">
        <f>IF(預測IC!AN18&gt;預測IC!AN$25,1,0)</f>
        <v>0</v>
      </c>
      <c r="AO18" s="10">
        <f>IF(預測IC!AO18&gt;預測IC!AO$25,1,0)</f>
        <v>0</v>
      </c>
      <c r="AP18" s="10">
        <f>IF(預測IC!AP18&gt;預測IC!AP$25,1,0)</f>
        <v>0</v>
      </c>
      <c r="AQ18" s="10">
        <f>IF(預測IC!AQ18&gt;預測IC!AQ$25,1,0)</f>
        <v>0</v>
      </c>
      <c r="AR18" s="10">
        <f>IF(預測IC!AR18&gt;預測IC!AR$25,1,0)</f>
        <v>1</v>
      </c>
      <c r="AS18" s="10">
        <f>IF(預測IC!AS18&gt;預測IC!AS$25,1,0)</f>
        <v>1</v>
      </c>
      <c r="AT18" s="10">
        <f>IF(預測IC!AT18&gt;預測IC!AT$25,1,0)</f>
        <v>0</v>
      </c>
      <c r="AU18" s="10">
        <f>IF(預測IC!AU18&gt;預測IC!AU$25,1,0)</f>
        <v>0</v>
      </c>
      <c r="AV18" s="10">
        <f>IF(預測IC!AV18&gt;預測IC!AV$25,1,0)</f>
        <v>0</v>
      </c>
      <c r="AW18" s="10">
        <f>IF(預測IC!AW18&gt;預測IC!AW$25,1,0)</f>
        <v>1</v>
      </c>
      <c r="AX18" s="10">
        <f>IF(預測IC!AX18&gt;預測IC!AX$25,1,0)</f>
        <v>1</v>
      </c>
      <c r="AY18" s="10">
        <f>IF(預測IC!AY18&gt;預測IC!AY$25,1,0)</f>
        <v>1</v>
      </c>
      <c r="AZ18" s="10">
        <f>IF(預測IC!AZ18&gt;預測IC!AZ$25,1,0)</f>
        <v>1</v>
      </c>
      <c r="BA18" s="10">
        <f>IF(預測IC!BA18&gt;預測IC!BA$25,1,0)</f>
        <v>1</v>
      </c>
      <c r="BB18" s="10">
        <f>IF(預測IC!BB18&gt;預測IC!BB$25,1,0)</f>
        <v>1</v>
      </c>
      <c r="BC18" s="10">
        <f>IF(預測IC!BC18&gt;預測IC!BC$25,1,0)</f>
        <v>1</v>
      </c>
      <c r="BD18" s="10">
        <f>IF(預測IC!BD18&gt;預測IC!BD$25,1,0)</f>
        <v>0</v>
      </c>
      <c r="BE18" s="10">
        <f>IF(預測IC!BE18&gt;預測IC!BE$25,1,0)</f>
        <v>0</v>
      </c>
      <c r="BF18" s="10">
        <f>IF(預測IC!BF18&gt;預測IC!BF$25,1,0)</f>
        <v>0</v>
      </c>
      <c r="BG18" s="10">
        <f>IF(預測IC!BG18&gt;預測IC!BG$25,1,0)</f>
        <v>1</v>
      </c>
      <c r="BH18" s="10">
        <f>IF(預測IC!BH18&gt;預測IC!BH$25,1,0)</f>
        <v>1</v>
      </c>
      <c r="BI18" s="10">
        <f>IF(預測IC!BI18&gt;預測IC!BI$25,1,0)</f>
        <v>0</v>
      </c>
      <c r="BJ18" s="10">
        <f>IF(預測IC!BJ18&gt;預測IC!BJ$25,1,0)</f>
        <v>1</v>
      </c>
      <c r="BK18" s="10">
        <f>IF(預測IC!BK18&gt;預測IC!BK$25,1,0)</f>
        <v>1</v>
      </c>
      <c r="BL18" s="10">
        <f>IF(預測IC!BL18&gt;預測IC!BL$25,1,0)</f>
        <v>1</v>
      </c>
      <c r="BM18" s="10">
        <f>IF(預測IC!BM18&gt;預測IC!BM$25,1,0)</f>
        <v>1</v>
      </c>
      <c r="BN18" s="10">
        <f>IF(預測IC!BN18&gt;預測IC!BN$25,1,0)</f>
        <v>1</v>
      </c>
      <c r="BO18" s="10">
        <f>IF(預測IC!BO18&gt;預測IC!BO$25,1,0)</f>
        <v>1</v>
      </c>
      <c r="BP18" s="10">
        <f>IF(預測IC!BP18&gt;預測IC!BP$25,1,0)</f>
        <v>1</v>
      </c>
      <c r="BQ18" s="10">
        <f>IF(預測IC!BQ18&gt;預測IC!BQ$25,1,0)</f>
        <v>1</v>
      </c>
      <c r="BR18" s="10">
        <f>IF(預測IC!BR18&gt;預測IC!BR$25,1,0)</f>
        <v>1</v>
      </c>
      <c r="BS18" s="10">
        <f>IF(預測IC!BS18&gt;預測IC!BS$25,1,0)</f>
        <v>0</v>
      </c>
      <c r="BT18" s="10">
        <f>IF(預測IC!BT18&gt;預測IC!BT$25,1,0)</f>
        <v>1</v>
      </c>
      <c r="BU18" s="10">
        <f>IF(預測IC!BU18&gt;預測IC!BU$25,1,0)</f>
        <v>0</v>
      </c>
      <c r="BV18" s="10">
        <f>IF(預測IC!BV18&gt;預測IC!BV$25,1,0)</f>
        <v>0</v>
      </c>
      <c r="BW18" s="10">
        <f>IF(預測IC!BW18&gt;預測IC!BW$25,1,0)</f>
        <v>1</v>
      </c>
      <c r="BX18" s="10">
        <f>IF(預測IC!BX18&gt;預測IC!BX$25,1,0)</f>
        <v>1</v>
      </c>
      <c r="BY18" s="10">
        <f>IF(預測IC!BY18&gt;預測IC!BY$25,1,0)</f>
        <v>1</v>
      </c>
      <c r="BZ18" s="10">
        <f>IF(預測IC!BZ18&gt;預測IC!BZ$25,1,0)</f>
        <v>0</v>
      </c>
      <c r="CA18" s="10">
        <f>IF(預測IC!CA18&gt;預測IC!CA$25,1,0)</f>
        <v>1</v>
      </c>
      <c r="CB18" s="10">
        <f>IF(預測IC!CB18&gt;預測IC!CB$25,1,0)</f>
        <v>0</v>
      </c>
      <c r="CC18" s="10">
        <f>IF(預測IC!CC18&gt;預測IC!CC$25,1,0)</f>
        <v>0</v>
      </c>
      <c r="CD18" s="10">
        <f>IF(預測IC!CD18&gt;預測IC!CD$25,1,0)</f>
        <v>1</v>
      </c>
      <c r="CE18" s="10">
        <f>IF(預測IC!CE18&gt;預測IC!CE$25,1,0)</f>
        <v>0</v>
      </c>
      <c r="CF18" s="10">
        <f>IF(預測IC!CF18&gt;預測IC!CF$25,1,0)</f>
        <v>1</v>
      </c>
      <c r="CG18" s="10">
        <f>IF(預測IC!CG18&gt;預測IC!CG$25,1,0)</f>
        <v>1</v>
      </c>
      <c r="CH18" s="10">
        <f>IF(預測IC!CH18&gt;預測IC!CH$25,1,0)</f>
        <v>1</v>
      </c>
      <c r="CI18" s="10">
        <f>IF(預測IC!CI18&gt;預測IC!CI$25,1,0)</f>
        <v>0</v>
      </c>
      <c r="CJ18" s="10">
        <f>IF(預測IC!CJ18&gt;預測IC!CJ$25,1,0)</f>
        <v>0</v>
      </c>
      <c r="CK18" s="10">
        <f>IF(預測IC!CK18&gt;預測IC!CK$25,1,0)</f>
        <v>1</v>
      </c>
      <c r="CL18" s="10">
        <f>IF(預測IC!CL18&gt;預測IC!CL$25,1,0)</f>
        <v>1</v>
      </c>
      <c r="CM18" s="10">
        <f>IF(預測IC!CM18&gt;預測IC!CM$25,1,0)</f>
        <v>1</v>
      </c>
      <c r="CN18" s="10">
        <f>IF(預測IC!CN18&gt;預測IC!CN$25,1,0)</f>
        <v>0</v>
      </c>
      <c r="CO18" s="10">
        <f>IF(預測IC!CO18&gt;預測IC!CO$25,1,0)</f>
        <v>0</v>
      </c>
      <c r="CP18" s="10">
        <f>IF(預測IC!CP18&gt;預測IC!CP$25,1,0)</f>
        <v>1</v>
      </c>
      <c r="CQ18" s="10">
        <f>IF(預測IC!CQ18&gt;預測IC!CQ$25,1,0)</f>
        <v>1</v>
      </c>
      <c r="CR18" s="10">
        <f>IF(預測IC!CR18&gt;預測IC!CR$25,1,0)</f>
        <v>0</v>
      </c>
      <c r="CS18" s="10">
        <f>IF(預測IC!CS18&gt;預測IC!CS$25,1,0)</f>
        <v>0</v>
      </c>
      <c r="CT18" s="10">
        <f>IF(預測IC!CT18&gt;預測IC!CT$25,1,0)</f>
        <v>0</v>
      </c>
      <c r="CU18" s="10">
        <f>IF(預測IC!CU18&gt;預測IC!CU$25,1,0)</f>
        <v>1</v>
      </c>
      <c r="CV18" s="10">
        <f>IF(預測IC!CV18&gt;預測IC!CV$25,1,0)</f>
        <v>1</v>
      </c>
      <c r="CW18" s="10">
        <f>IF(預測IC!CW18&gt;預測IC!CW$25,1,0)</f>
        <v>1</v>
      </c>
      <c r="CX18" s="10">
        <f>IF(預測IC!CX18&gt;預測IC!CX$25,1,0)</f>
        <v>1</v>
      </c>
      <c r="CY18" s="10">
        <f>IF(預測IC!CY18&gt;預測IC!CY$25,1,0)</f>
        <v>0</v>
      </c>
      <c r="CZ18" s="10">
        <f>IF(預測IC!CZ18&gt;預測IC!CZ$25,1,0)</f>
        <v>1</v>
      </c>
      <c r="DA18" s="10">
        <f>IF(預測IC!DA18&gt;預測IC!DA$25,1,0)</f>
        <v>1</v>
      </c>
      <c r="DB18" s="10">
        <f>IF(預測IC!DB18&gt;預測IC!DB$25,1,0)</f>
        <v>0</v>
      </c>
      <c r="DC18" s="10">
        <f>IF(預測IC!DC18&gt;預測IC!DC$25,1,0)</f>
        <v>1</v>
      </c>
      <c r="DD18" s="10">
        <f>IF(預測IC!DD18&gt;預測IC!DD$25,1,0)</f>
        <v>0</v>
      </c>
      <c r="DE18" s="10">
        <f>IF(預測IC!DE18&gt;預測IC!DE$25,1,0)</f>
        <v>0</v>
      </c>
      <c r="DF18" s="10">
        <f>IF(預測IC!DF18&gt;預測IC!DF$25,1,0)</f>
        <v>1</v>
      </c>
      <c r="DG18" s="10">
        <f>IF(預測IC!DG18&gt;預測IC!DG$25,1,0)</f>
        <v>0</v>
      </c>
      <c r="DH18" s="10">
        <f>IF(預測IC!DH18&gt;預測IC!DH$25,1,0)</f>
        <v>0</v>
      </c>
      <c r="DI18" s="10">
        <f>IF(預測IC!DI18&gt;預測IC!DI$25,1,0)</f>
        <v>1</v>
      </c>
      <c r="DJ18" s="10">
        <f>IF(預測IC!DJ18&gt;預測IC!DJ$25,1,0)</f>
        <v>1</v>
      </c>
      <c r="DK18" s="10">
        <f>IF(預測IC!DK18&gt;預測IC!DK$25,1,0)</f>
        <v>1</v>
      </c>
      <c r="DL18" s="10">
        <f>IF(預測IC!DL18&gt;預測IC!DL$25,1,0)</f>
        <v>1</v>
      </c>
      <c r="DM18" s="10">
        <f>IF(預測IC!DM18&gt;預測IC!DM$25,1,0)</f>
        <v>0</v>
      </c>
      <c r="DN18" s="10">
        <f>IF(預測IC!DN18&gt;預測IC!DN$25,1,0)</f>
        <v>1</v>
      </c>
      <c r="DO18" s="10">
        <f>IF(預測IC!DO18&gt;預測IC!DO$25,1,0)</f>
        <v>0</v>
      </c>
      <c r="DP18" s="10">
        <f>IF(預測IC!DP18&gt;預測IC!DP$25,1,0)</f>
        <v>1</v>
      </c>
      <c r="DQ18" s="10">
        <f>IF(預測IC!DQ18&gt;預測IC!DQ$25,1,0)</f>
        <v>0</v>
      </c>
      <c r="DR18" s="10">
        <f>IF(預測IC!DR18&gt;預測IC!DR$25,1,0)</f>
        <v>0</v>
      </c>
      <c r="DS18" s="10">
        <f>IF(預測IC!DS18&gt;預測IC!DS$25,1,0)</f>
        <v>1</v>
      </c>
      <c r="DT18" s="10">
        <f>IF(預測IC!DT18&gt;預測IC!DT$25,1,0)</f>
        <v>0</v>
      </c>
      <c r="DU18" s="10">
        <f>IF(預測IC!DU18&gt;預測IC!DU$25,1,0)</f>
        <v>0</v>
      </c>
      <c r="DV18" s="10">
        <f>IF(預測IC!DV18&gt;預測IC!DV$25,1,0)</f>
        <v>1</v>
      </c>
      <c r="DW18" s="10">
        <f>IF(預測IC!DW18&gt;預測IC!DW$25,1,0)</f>
        <v>0</v>
      </c>
      <c r="DX18" s="10">
        <f>IF(預測IC!DX18&gt;預測IC!DX$25,1,0)</f>
        <v>0</v>
      </c>
      <c r="DY18" s="10">
        <f>IF(預測IC!DY18&gt;預測IC!DY$25,1,0)</f>
        <v>1</v>
      </c>
      <c r="DZ18" s="10">
        <f>IF(預測IC!DZ18&gt;預測IC!DZ$25,1,0)</f>
        <v>0</v>
      </c>
      <c r="EA18" s="10">
        <f>IF(預測IC!EA18&gt;預測IC!EA$25,1,0)</f>
        <v>1</v>
      </c>
      <c r="EB18" s="10">
        <f>IF(預測IC!EB18&gt;預測IC!EB$25,1,0)</f>
        <v>0</v>
      </c>
      <c r="EC18" s="10">
        <f>IF(預測IC!EC18&gt;預測IC!EC$25,1,0)</f>
        <v>1</v>
      </c>
      <c r="ED18" s="10">
        <f>IF(預測IC!ED18&gt;預測IC!ED$25,1,0)</f>
        <v>0</v>
      </c>
      <c r="EE18" s="10">
        <f>IF(預測IC!EE18&gt;預測IC!EE$25,1,0)</f>
        <v>0</v>
      </c>
      <c r="EF18" s="10">
        <f>IF(預測IC!EF18&gt;預測IC!EF$25,1,0)</f>
        <v>1</v>
      </c>
      <c r="EG18" s="10">
        <f>IF(預測IC!EG18&gt;預測IC!EG$25,1,0)</f>
        <v>0</v>
      </c>
      <c r="EH18" s="10">
        <f>IF(預測IC!EH18&gt;預測IC!EH$25,1,0)</f>
        <v>1</v>
      </c>
      <c r="EI18" s="10">
        <f>IF(預測IC!EI18&gt;預測IC!EI$25,1,0)</f>
        <v>0</v>
      </c>
      <c r="EJ18" s="10">
        <f>IF(預測IC!EJ18&gt;預測IC!EJ$25,1,0)</f>
        <v>1</v>
      </c>
      <c r="EK18" s="10">
        <f>IF(預測IC!EK18&gt;預測IC!EK$25,1,0)</f>
        <v>1</v>
      </c>
      <c r="EL18" s="10">
        <f>IF(預測IC!EL18&gt;預測IC!EL$25,1,0)</f>
        <v>0</v>
      </c>
      <c r="EM18" s="6">
        <f t="shared" si="11"/>
        <v>73</v>
      </c>
      <c r="EN18" s="19">
        <f t="shared" si="12"/>
        <v>0.52142857142857146</v>
      </c>
    </row>
    <row r="19" spans="1:144" x14ac:dyDescent="0.3">
      <c r="A19" s="18">
        <v>180</v>
      </c>
      <c r="B19" s="18">
        <f t="shared" si="10"/>
        <v>6</v>
      </c>
      <c r="C19" s="10">
        <f>IF(預測IC!C19&gt;預測IC!C$25,1,0)</f>
        <v>0</v>
      </c>
      <c r="D19" s="10">
        <f>IF(預測IC!D19&gt;預測IC!D$25,1,0)</f>
        <v>1</v>
      </c>
      <c r="E19" s="10">
        <f>IF(預測IC!E19&gt;預測IC!E$25,1,0)</f>
        <v>0</v>
      </c>
      <c r="F19" s="10">
        <f>IF(預測IC!F19&gt;預測IC!F$25,1,0)</f>
        <v>1</v>
      </c>
      <c r="G19" s="10">
        <f>IF(預測IC!G19&gt;預測IC!G$25,1,0)</f>
        <v>1</v>
      </c>
      <c r="H19" s="10">
        <f>IF(預測IC!H19&gt;預測IC!H$25,1,0)</f>
        <v>1</v>
      </c>
      <c r="I19" s="10">
        <f>IF(預測IC!I19&gt;預測IC!I$25,1,0)</f>
        <v>1</v>
      </c>
      <c r="J19" s="10">
        <f>IF(預測IC!J19&gt;預測IC!J$25,1,0)</f>
        <v>1</v>
      </c>
      <c r="K19" s="10">
        <f>IF(預測IC!K19&gt;預測IC!K$25,1,0)</f>
        <v>0</v>
      </c>
      <c r="L19" s="10">
        <f>IF(預測IC!L19&gt;預測IC!L$25,1,0)</f>
        <v>0</v>
      </c>
      <c r="M19" s="10">
        <f>IF(預測IC!M19&gt;預測IC!M$25,1,0)</f>
        <v>0</v>
      </c>
      <c r="N19" s="10">
        <f>IF(預測IC!N19&gt;預測IC!N$25,1,0)</f>
        <v>1</v>
      </c>
      <c r="O19" s="10">
        <f>IF(預測IC!O19&gt;預測IC!O$25,1,0)</f>
        <v>1</v>
      </c>
      <c r="P19" s="10">
        <f>IF(預測IC!P19&gt;預測IC!P$25,1,0)</f>
        <v>0</v>
      </c>
      <c r="Q19" s="10">
        <f>IF(預測IC!Q19&gt;預測IC!Q$25,1,0)</f>
        <v>0</v>
      </c>
      <c r="R19" s="10">
        <f>IF(預測IC!R19&gt;預測IC!R$25,1,0)</f>
        <v>0</v>
      </c>
      <c r="S19" s="10">
        <f>IF(預測IC!S19&gt;預測IC!S$25,1,0)</f>
        <v>0</v>
      </c>
      <c r="T19" s="10">
        <f>IF(預測IC!T19&gt;預測IC!T$25,1,0)</f>
        <v>0</v>
      </c>
      <c r="U19" s="10">
        <f>IF(預測IC!U19&gt;預測IC!U$25,1,0)</f>
        <v>1</v>
      </c>
      <c r="V19" s="10">
        <f>IF(預測IC!V19&gt;預測IC!V$25,1,0)</f>
        <v>0</v>
      </c>
      <c r="W19" s="10">
        <f>IF(預測IC!W19&gt;預測IC!W$25,1,0)</f>
        <v>0</v>
      </c>
      <c r="X19" s="10">
        <f>IF(預測IC!X19&gt;預測IC!X$25,1,0)</f>
        <v>1</v>
      </c>
      <c r="Y19" s="10">
        <f>IF(預測IC!Y19&gt;預測IC!Y$25,1,0)</f>
        <v>1</v>
      </c>
      <c r="Z19" s="10">
        <f>IF(預測IC!Z19&gt;預測IC!Z$25,1,0)</f>
        <v>1</v>
      </c>
      <c r="AA19" s="10">
        <f>IF(預測IC!AA19&gt;預測IC!AA$25,1,0)</f>
        <v>0</v>
      </c>
      <c r="AB19" s="10">
        <f>IF(預測IC!AB19&gt;預測IC!AB$25,1,0)</f>
        <v>0</v>
      </c>
      <c r="AC19" s="10">
        <f>IF(預測IC!AC19&gt;預測IC!AC$25,1,0)</f>
        <v>0</v>
      </c>
      <c r="AD19" s="10">
        <f>IF(預測IC!AD19&gt;預測IC!AD$25,1,0)</f>
        <v>1</v>
      </c>
      <c r="AE19" s="10">
        <f>IF(預測IC!AE19&gt;預測IC!AE$25,1,0)</f>
        <v>0</v>
      </c>
      <c r="AF19" s="10">
        <f>IF(預測IC!AF19&gt;預測IC!AF$25,1,0)</f>
        <v>1</v>
      </c>
      <c r="AG19" s="10">
        <f>IF(預測IC!AG19&gt;預測IC!AG$25,1,0)</f>
        <v>0</v>
      </c>
      <c r="AH19" s="10">
        <f>IF(預測IC!AH19&gt;預測IC!AH$25,1,0)</f>
        <v>1</v>
      </c>
      <c r="AI19" s="10">
        <f>IF(預測IC!AI19&gt;預測IC!AI$25,1,0)</f>
        <v>1</v>
      </c>
      <c r="AJ19" s="10">
        <f>IF(預測IC!AJ19&gt;預測IC!AJ$25,1,0)</f>
        <v>0</v>
      </c>
      <c r="AK19" s="10">
        <f>IF(預測IC!AK19&gt;預測IC!AK$25,1,0)</f>
        <v>1</v>
      </c>
      <c r="AL19" s="10">
        <f>IF(預測IC!AL19&gt;預測IC!AL$25,1,0)</f>
        <v>1</v>
      </c>
      <c r="AM19" s="10">
        <f>IF(預測IC!AM19&gt;預測IC!AM$25,1,0)</f>
        <v>1</v>
      </c>
      <c r="AN19" s="10">
        <f>IF(預測IC!AN19&gt;預測IC!AN$25,1,0)</f>
        <v>0</v>
      </c>
      <c r="AO19" s="10">
        <f>IF(預測IC!AO19&gt;預測IC!AO$25,1,0)</f>
        <v>0</v>
      </c>
      <c r="AP19" s="10">
        <f>IF(預測IC!AP19&gt;預測IC!AP$25,1,0)</f>
        <v>0</v>
      </c>
      <c r="AQ19" s="10">
        <f>IF(預測IC!AQ19&gt;預測IC!AQ$25,1,0)</f>
        <v>0</v>
      </c>
      <c r="AR19" s="10">
        <f>IF(預測IC!AR19&gt;預測IC!AR$25,1,0)</f>
        <v>1</v>
      </c>
      <c r="AS19" s="10">
        <f>IF(預測IC!AS19&gt;預測IC!AS$25,1,0)</f>
        <v>1</v>
      </c>
      <c r="AT19" s="10">
        <f>IF(預測IC!AT19&gt;預測IC!AT$25,1,0)</f>
        <v>0</v>
      </c>
      <c r="AU19" s="10">
        <f>IF(預測IC!AU19&gt;預測IC!AU$25,1,0)</f>
        <v>0</v>
      </c>
      <c r="AV19" s="10">
        <f>IF(預測IC!AV19&gt;預測IC!AV$25,1,0)</f>
        <v>0</v>
      </c>
      <c r="AW19" s="10">
        <f>IF(預測IC!AW19&gt;預測IC!AW$25,1,0)</f>
        <v>1</v>
      </c>
      <c r="AX19" s="10">
        <f>IF(預測IC!AX19&gt;預測IC!AX$25,1,0)</f>
        <v>1</v>
      </c>
      <c r="AY19" s="10">
        <f>IF(預測IC!AY19&gt;預測IC!AY$25,1,0)</f>
        <v>0</v>
      </c>
      <c r="AZ19" s="10">
        <f>IF(預測IC!AZ19&gt;預測IC!AZ$25,1,0)</f>
        <v>1</v>
      </c>
      <c r="BA19" s="10">
        <f>IF(預測IC!BA19&gt;預測IC!BA$25,1,0)</f>
        <v>1</v>
      </c>
      <c r="BB19" s="10">
        <f>IF(預測IC!BB19&gt;預測IC!BB$25,1,0)</f>
        <v>1</v>
      </c>
      <c r="BC19" s="10">
        <f>IF(預測IC!BC19&gt;預測IC!BC$25,1,0)</f>
        <v>1</v>
      </c>
      <c r="BD19" s="10">
        <f>IF(預測IC!BD19&gt;預測IC!BD$25,1,0)</f>
        <v>0</v>
      </c>
      <c r="BE19" s="10">
        <f>IF(預測IC!BE19&gt;預測IC!BE$25,1,0)</f>
        <v>0</v>
      </c>
      <c r="BF19" s="10">
        <f>IF(預測IC!BF19&gt;預測IC!BF$25,1,0)</f>
        <v>0</v>
      </c>
      <c r="BG19" s="10">
        <f>IF(預測IC!BG19&gt;預測IC!BG$25,1,0)</f>
        <v>1</v>
      </c>
      <c r="BH19" s="10">
        <f>IF(預測IC!BH19&gt;預測IC!BH$25,1,0)</f>
        <v>1</v>
      </c>
      <c r="BI19" s="10">
        <f>IF(預測IC!BI19&gt;預測IC!BI$25,1,0)</f>
        <v>0</v>
      </c>
      <c r="BJ19" s="10">
        <f>IF(預測IC!BJ19&gt;預測IC!BJ$25,1,0)</f>
        <v>1</v>
      </c>
      <c r="BK19" s="10">
        <f>IF(預測IC!BK19&gt;預測IC!BK$25,1,0)</f>
        <v>1</v>
      </c>
      <c r="BL19" s="10">
        <f>IF(預測IC!BL19&gt;預測IC!BL$25,1,0)</f>
        <v>1</v>
      </c>
      <c r="BM19" s="10">
        <f>IF(預測IC!BM19&gt;預測IC!BM$25,1,0)</f>
        <v>1</v>
      </c>
      <c r="BN19" s="10">
        <f>IF(預測IC!BN19&gt;預測IC!BN$25,1,0)</f>
        <v>1</v>
      </c>
      <c r="BO19" s="10">
        <f>IF(預測IC!BO19&gt;預測IC!BO$25,1,0)</f>
        <v>1</v>
      </c>
      <c r="BP19" s="10">
        <f>IF(預測IC!BP19&gt;預測IC!BP$25,1,0)</f>
        <v>1</v>
      </c>
      <c r="BQ19" s="10">
        <f>IF(預測IC!BQ19&gt;預測IC!BQ$25,1,0)</f>
        <v>1</v>
      </c>
      <c r="BR19" s="10">
        <f>IF(預測IC!BR19&gt;預測IC!BR$25,1,0)</f>
        <v>1</v>
      </c>
      <c r="BS19" s="10">
        <f>IF(預測IC!BS19&gt;預測IC!BS$25,1,0)</f>
        <v>0</v>
      </c>
      <c r="BT19" s="10">
        <f>IF(預測IC!BT19&gt;預測IC!BT$25,1,0)</f>
        <v>1</v>
      </c>
      <c r="BU19" s="10">
        <f>IF(預測IC!BU19&gt;預測IC!BU$25,1,0)</f>
        <v>0</v>
      </c>
      <c r="BV19" s="10">
        <f>IF(預測IC!BV19&gt;預測IC!BV$25,1,0)</f>
        <v>0</v>
      </c>
      <c r="BW19" s="10">
        <f>IF(預測IC!BW19&gt;預測IC!BW$25,1,0)</f>
        <v>1</v>
      </c>
      <c r="BX19" s="10">
        <f>IF(預測IC!BX19&gt;預測IC!BX$25,1,0)</f>
        <v>1</v>
      </c>
      <c r="BY19" s="10">
        <f>IF(預測IC!BY19&gt;預測IC!BY$25,1,0)</f>
        <v>1</v>
      </c>
      <c r="BZ19" s="10">
        <f>IF(預測IC!BZ19&gt;預測IC!BZ$25,1,0)</f>
        <v>0</v>
      </c>
      <c r="CA19" s="10">
        <f>IF(預測IC!CA19&gt;預測IC!CA$25,1,0)</f>
        <v>1</v>
      </c>
      <c r="CB19" s="10">
        <f>IF(預測IC!CB19&gt;預測IC!CB$25,1,0)</f>
        <v>0</v>
      </c>
      <c r="CC19" s="10">
        <f>IF(預測IC!CC19&gt;預測IC!CC$25,1,0)</f>
        <v>0</v>
      </c>
      <c r="CD19" s="10">
        <f>IF(預測IC!CD19&gt;預測IC!CD$25,1,0)</f>
        <v>1</v>
      </c>
      <c r="CE19" s="10">
        <f>IF(預測IC!CE19&gt;預測IC!CE$25,1,0)</f>
        <v>0</v>
      </c>
      <c r="CF19" s="10">
        <f>IF(預測IC!CF19&gt;預測IC!CF$25,1,0)</f>
        <v>1</v>
      </c>
      <c r="CG19" s="10">
        <f>IF(預測IC!CG19&gt;預測IC!CG$25,1,0)</f>
        <v>1</v>
      </c>
      <c r="CH19" s="10">
        <f>IF(預測IC!CH19&gt;預測IC!CH$25,1,0)</f>
        <v>1</v>
      </c>
      <c r="CI19" s="10">
        <f>IF(預測IC!CI19&gt;預測IC!CI$25,1,0)</f>
        <v>0</v>
      </c>
      <c r="CJ19" s="10">
        <f>IF(預測IC!CJ19&gt;預測IC!CJ$25,1,0)</f>
        <v>0</v>
      </c>
      <c r="CK19" s="10">
        <f>IF(預測IC!CK19&gt;預測IC!CK$25,1,0)</f>
        <v>1</v>
      </c>
      <c r="CL19" s="10">
        <f>IF(預測IC!CL19&gt;預測IC!CL$25,1,0)</f>
        <v>1</v>
      </c>
      <c r="CM19" s="10">
        <f>IF(預測IC!CM19&gt;預測IC!CM$25,1,0)</f>
        <v>1</v>
      </c>
      <c r="CN19" s="10">
        <f>IF(預測IC!CN19&gt;預測IC!CN$25,1,0)</f>
        <v>0</v>
      </c>
      <c r="CO19" s="10">
        <f>IF(預測IC!CO19&gt;預測IC!CO$25,1,0)</f>
        <v>0</v>
      </c>
      <c r="CP19" s="10">
        <f>IF(預測IC!CP19&gt;預測IC!CP$25,1,0)</f>
        <v>0</v>
      </c>
      <c r="CQ19" s="10">
        <f>IF(預測IC!CQ19&gt;預測IC!CQ$25,1,0)</f>
        <v>1</v>
      </c>
      <c r="CR19" s="10">
        <f>IF(預測IC!CR19&gt;預測IC!CR$25,1,0)</f>
        <v>0</v>
      </c>
      <c r="CS19" s="10">
        <f>IF(預測IC!CS19&gt;預測IC!CS$25,1,0)</f>
        <v>0</v>
      </c>
      <c r="CT19" s="10">
        <f>IF(預測IC!CT19&gt;預測IC!CT$25,1,0)</f>
        <v>0</v>
      </c>
      <c r="CU19" s="10">
        <f>IF(預測IC!CU19&gt;預測IC!CU$25,1,0)</f>
        <v>1</v>
      </c>
      <c r="CV19" s="10">
        <f>IF(預測IC!CV19&gt;預測IC!CV$25,1,0)</f>
        <v>1</v>
      </c>
      <c r="CW19" s="10">
        <f>IF(預測IC!CW19&gt;預測IC!CW$25,1,0)</f>
        <v>1</v>
      </c>
      <c r="CX19" s="10">
        <f>IF(預測IC!CX19&gt;預測IC!CX$25,1,0)</f>
        <v>1</v>
      </c>
      <c r="CY19" s="10">
        <f>IF(預測IC!CY19&gt;預測IC!CY$25,1,0)</f>
        <v>0</v>
      </c>
      <c r="CZ19" s="10">
        <f>IF(預測IC!CZ19&gt;預測IC!CZ$25,1,0)</f>
        <v>1</v>
      </c>
      <c r="DA19" s="10">
        <f>IF(預測IC!DA19&gt;預測IC!DA$25,1,0)</f>
        <v>1</v>
      </c>
      <c r="DB19" s="10">
        <f>IF(預測IC!DB19&gt;預測IC!DB$25,1,0)</f>
        <v>0</v>
      </c>
      <c r="DC19" s="10">
        <f>IF(預測IC!DC19&gt;預測IC!DC$25,1,0)</f>
        <v>1</v>
      </c>
      <c r="DD19" s="10">
        <f>IF(預測IC!DD19&gt;預測IC!DD$25,1,0)</f>
        <v>0</v>
      </c>
      <c r="DE19" s="10">
        <f>IF(預測IC!DE19&gt;預測IC!DE$25,1,0)</f>
        <v>0</v>
      </c>
      <c r="DF19" s="10">
        <f>IF(預測IC!DF19&gt;預測IC!DF$25,1,0)</f>
        <v>1</v>
      </c>
      <c r="DG19" s="10">
        <f>IF(預測IC!DG19&gt;預測IC!DG$25,1,0)</f>
        <v>0</v>
      </c>
      <c r="DH19" s="10">
        <f>IF(預測IC!DH19&gt;預測IC!DH$25,1,0)</f>
        <v>0</v>
      </c>
      <c r="DI19" s="10">
        <f>IF(預測IC!DI19&gt;預測IC!DI$25,1,0)</f>
        <v>1</v>
      </c>
      <c r="DJ19" s="10">
        <f>IF(預測IC!DJ19&gt;預測IC!DJ$25,1,0)</f>
        <v>1</v>
      </c>
      <c r="DK19" s="10">
        <f>IF(預測IC!DK19&gt;預測IC!DK$25,1,0)</f>
        <v>1</v>
      </c>
      <c r="DL19" s="10">
        <f>IF(預測IC!DL19&gt;預測IC!DL$25,1,0)</f>
        <v>1</v>
      </c>
      <c r="DM19" s="10">
        <f>IF(預測IC!DM19&gt;預測IC!DM$25,1,0)</f>
        <v>0</v>
      </c>
      <c r="DN19" s="10">
        <f>IF(預測IC!DN19&gt;預測IC!DN$25,1,0)</f>
        <v>1</v>
      </c>
      <c r="DO19" s="10">
        <f>IF(預測IC!DO19&gt;預測IC!DO$25,1,0)</f>
        <v>0</v>
      </c>
      <c r="DP19" s="10">
        <f>IF(預測IC!DP19&gt;預測IC!DP$25,1,0)</f>
        <v>1</v>
      </c>
      <c r="DQ19" s="10">
        <f>IF(預測IC!DQ19&gt;預測IC!DQ$25,1,0)</f>
        <v>0</v>
      </c>
      <c r="DR19" s="10">
        <f>IF(預測IC!DR19&gt;預測IC!DR$25,1,0)</f>
        <v>0</v>
      </c>
      <c r="DS19" s="10">
        <f>IF(預測IC!DS19&gt;預測IC!DS$25,1,0)</f>
        <v>1</v>
      </c>
      <c r="DT19" s="10">
        <f>IF(預測IC!DT19&gt;預測IC!DT$25,1,0)</f>
        <v>0</v>
      </c>
      <c r="DU19" s="10">
        <f>IF(預測IC!DU19&gt;預測IC!DU$25,1,0)</f>
        <v>0</v>
      </c>
      <c r="DV19" s="10">
        <f>IF(預測IC!DV19&gt;預測IC!DV$25,1,0)</f>
        <v>1</v>
      </c>
      <c r="DW19" s="10">
        <f>IF(預測IC!DW19&gt;預測IC!DW$25,1,0)</f>
        <v>0</v>
      </c>
      <c r="DX19" s="10">
        <f>IF(預測IC!DX19&gt;預測IC!DX$25,1,0)</f>
        <v>1</v>
      </c>
      <c r="DY19" s="10">
        <f>IF(預測IC!DY19&gt;預測IC!DY$25,1,0)</f>
        <v>1</v>
      </c>
      <c r="DZ19" s="10">
        <f>IF(預測IC!DZ19&gt;預測IC!DZ$25,1,0)</f>
        <v>0</v>
      </c>
      <c r="EA19" s="10">
        <f>IF(預測IC!EA19&gt;預測IC!EA$25,1,0)</f>
        <v>1</v>
      </c>
      <c r="EB19" s="10">
        <f>IF(預測IC!EB19&gt;預測IC!EB$25,1,0)</f>
        <v>0</v>
      </c>
      <c r="EC19" s="10">
        <f>IF(預測IC!EC19&gt;預測IC!EC$25,1,0)</f>
        <v>1</v>
      </c>
      <c r="ED19" s="10">
        <f>IF(預測IC!ED19&gt;預測IC!ED$25,1,0)</f>
        <v>0</v>
      </c>
      <c r="EE19" s="10">
        <f>IF(預測IC!EE19&gt;預測IC!EE$25,1,0)</f>
        <v>0</v>
      </c>
      <c r="EF19" s="10">
        <f>IF(預測IC!EF19&gt;預測IC!EF$25,1,0)</f>
        <v>0</v>
      </c>
      <c r="EG19" s="10">
        <f>IF(預測IC!EG19&gt;預測IC!EG$25,1,0)</f>
        <v>0</v>
      </c>
      <c r="EH19" s="10">
        <f>IF(預測IC!EH19&gt;預測IC!EH$25,1,0)</f>
        <v>1</v>
      </c>
      <c r="EI19" s="10">
        <f>IF(預測IC!EI19&gt;預測IC!EI$25,1,0)</f>
        <v>0</v>
      </c>
      <c r="EJ19" s="10">
        <f>IF(預測IC!EJ19&gt;預測IC!EJ$25,1,0)</f>
        <v>1</v>
      </c>
      <c r="EK19" s="10">
        <f>IF(預測IC!EK19&gt;預測IC!EK$25,1,0)</f>
        <v>1</v>
      </c>
      <c r="EL19" s="10">
        <f>IF(預測IC!EL19&gt;預測IC!EL$25,1,0)</f>
        <v>0</v>
      </c>
      <c r="EM19" s="6">
        <f t="shared" si="11"/>
        <v>74</v>
      </c>
      <c r="EN19" s="19">
        <f t="shared" si="12"/>
        <v>0.52857142857142858</v>
      </c>
    </row>
    <row r="20" spans="1:144" x14ac:dyDescent="0.3">
      <c r="A20" s="18">
        <v>200</v>
      </c>
      <c r="B20" s="18">
        <f t="shared" si="10"/>
        <v>5</v>
      </c>
      <c r="C20" s="10">
        <f>IF(預測IC!C20&gt;預測IC!C$25,1,0)</f>
        <v>0</v>
      </c>
      <c r="D20" s="10">
        <f>IF(預測IC!D20&gt;預測IC!D$25,1,0)</f>
        <v>1</v>
      </c>
      <c r="E20" s="10">
        <f>IF(預測IC!E20&gt;預測IC!E$25,1,0)</f>
        <v>0</v>
      </c>
      <c r="F20" s="10">
        <f>IF(預測IC!F20&gt;預測IC!F$25,1,0)</f>
        <v>1</v>
      </c>
      <c r="G20" s="10">
        <f>IF(預測IC!G20&gt;預測IC!G$25,1,0)</f>
        <v>1</v>
      </c>
      <c r="H20" s="10">
        <f>IF(預測IC!H20&gt;預測IC!H$25,1,0)</f>
        <v>1</v>
      </c>
      <c r="I20" s="10">
        <f>IF(預測IC!I20&gt;預測IC!I$25,1,0)</f>
        <v>1</v>
      </c>
      <c r="J20" s="10">
        <f>IF(預測IC!J20&gt;預測IC!J$25,1,0)</f>
        <v>1</v>
      </c>
      <c r="K20" s="10">
        <f>IF(預測IC!K20&gt;預測IC!K$25,1,0)</f>
        <v>0</v>
      </c>
      <c r="L20" s="10">
        <f>IF(預測IC!L20&gt;預測IC!L$25,1,0)</f>
        <v>0</v>
      </c>
      <c r="M20" s="10">
        <f>IF(預測IC!M20&gt;預測IC!M$25,1,0)</f>
        <v>0</v>
      </c>
      <c r="N20" s="10">
        <f>IF(預測IC!N20&gt;預測IC!N$25,1,0)</f>
        <v>1</v>
      </c>
      <c r="O20" s="10">
        <f>IF(預測IC!O20&gt;預測IC!O$25,1,0)</f>
        <v>1</v>
      </c>
      <c r="P20" s="10">
        <f>IF(預測IC!P20&gt;預測IC!P$25,1,0)</f>
        <v>0</v>
      </c>
      <c r="Q20" s="10">
        <f>IF(預測IC!Q20&gt;預測IC!Q$25,1,0)</f>
        <v>0</v>
      </c>
      <c r="R20" s="10">
        <f>IF(預測IC!R20&gt;預測IC!R$25,1,0)</f>
        <v>0</v>
      </c>
      <c r="S20" s="10">
        <f>IF(預測IC!S20&gt;預測IC!S$25,1,0)</f>
        <v>0</v>
      </c>
      <c r="T20" s="10">
        <f>IF(預測IC!T20&gt;預測IC!T$25,1,0)</f>
        <v>0</v>
      </c>
      <c r="U20" s="10">
        <f>IF(預測IC!U20&gt;預測IC!U$25,1,0)</f>
        <v>1</v>
      </c>
      <c r="V20" s="10">
        <f>IF(預測IC!V20&gt;預測IC!V$25,1,0)</f>
        <v>0</v>
      </c>
      <c r="W20" s="10">
        <f>IF(預測IC!W20&gt;預測IC!W$25,1,0)</f>
        <v>0</v>
      </c>
      <c r="X20" s="10">
        <f>IF(預測IC!X20&gt;預測IC!X$25,1,0)</f>
        <v>1</v>
      </c>
      <c r="Y20" s="10">
        <f>IF(預測IC!Y20&gt;預測IC!Y$25,1,0)</f>
        <v>1</v>
      </c>
      <c r="Z20" s="10">
        <f>IF(預測IC!Z20&gt;預測IC!Z$25,1,0)</f>
        <v>1</v>
      </c>
      <c r="AA20" s="10">
        <f>IF(預測IC!AA20&gt;預測IC!AA$25,1,0)</f>
        <v>0</v>
      </c>
      <c r="AB20" s="10">
        <f>IF(預測IC!AB20&gt;預測IC!AB$25,1,0)</f>
        <v>0</v>
      </c>
      <c r="AC20" s="10">
        <f>IF(預測IC!AC20&gt;預測IC!AC$25,1,0)</f>
        <v>0</v>
      </c>
      <c r="AD20" s="10">
        <f>IF(預測IC!AD20&gt;預測IC!AD$25,1,0)</f>
        <v>1</v>
      </c>
      <c r="AE20" s="10">
        <f>IF(預測IC!AE20&gt;預測IC!AE$25,1,0)</f>
        <v>0</v>
      </c>
      <c r="AF20" s="10">
        <f>IF(預測IC!AF20&gt;預測IC!AF$25,1,0)</f>
        <v>1</v>
      </c>
      <c r="AG20" s="10">
        <f>IF(預測IC!AG20&gt;預測IC!AG$25,1,0)</f>
        <v>0</v>
      </c>
      <c r="AH20" s="10">
        <f>IF(預測IC!AH20&gt;預測IC!AH$25,1,0)</f>
        <v>1</v>
      </c>
      <c r="AI20" s="10">
        <f>IF(預測IC!AI20&gt;預測IC!AI$25,1,0)</f>
        <v>1</v>
      </c>
      <c r="AJ20" s="10">
        <f>IF(預測IC!AJ20&gt;預測IC!AJ$25,1,0)</f>
        <v>0</v>
      </c>
      <c r="AK20" s="10">
        <f>IF(預測IC!AK20&gt;預測IC!AK$25,1,0)</f>
        <v>0</v>
      </c>
      <c r="AL20" s="10">
        <f>IF(預測IC!AL20&gt;預測IC!AL$25,1,0)</f>
        <v>1</v>
      </c>
      <c r="AM20" s="10">
        <f>IF(預測IC!AM20&gt;預測IC!AM$25,1,0)</f>
        <v>1</v>
      </c>
      <c r="AN20" s="10">
        <f>IF(預測IC!AN20&gt;預測IC!AN$25,1,0)</f>
        <v>0</v>
      </c>
      <c r="AO20" s="10">
        <f>IF(預測IC!AO20&gt;預測IC!AO$25,1,0)</f>
        <v>0</v>
      </c>
      <c r="AP20" s="10">
        <f>IF(預測IC!AP20&gt;預測IC!AP$25,1,0)</f>
        <v>0</v>
      </c>
      <c r="AQ20" s="10">
        <f>IF(預測IC!AQ20&gt;預測IC!AQ$25,1,0)</f>
        <v>0</v>
      </c>
      <c r="AR20" s="10">
        <f>IF(預測IC!AR20&gt;預測IC!AR$25,1,0)</f>
        <v>1</v>
      </c>
      <c r="AS20" s="10">
        <f>IF(預測IC!AS20&gt;預測IC!AS$25,1,0)</f>
        <v>1</v>
      </c>
      <c r="AT20" s="10">
        <f>IF(預測IC!AT20&gt;預測IC!AT$25,1,0)</f>
        <v>0</v>
      </c>
      <c r="AU20" s="10">
        <f>IF(預測IC!AU20&gt;預測IC!AU$25,1,0)</f>
        <v>0</v>
      </c>
      <c r="AV20" s="10">
        <f>IF(預測IC!AV20&gt;預測IC!AV$25,1,0)</f>
        <v>0</v>
      </c>
      <c r="AW20" s="10">
        <f>IF(預測IC!AW20&gt;預測IC!AW$25,1,0)</f>
        <v>1</v>
      </c>
      <c r="AX20" s="10">
        <f>IF(預測IC!AX20&gt;預測IC!AX$25,1,0)</f>
        <v>1</v>
      </c>
      <c r="AY20" s="10">
        <f>IF(預測IC!AY20&gt;預測IC!AY$25,1,0)</f>
        <v>0</v>
      </c>
      <c r="AZ20" s="10">
        <f>IF(預測IC!AZ20&gt;預測IC!AZ$25,1,0)</f>
        <v>1</v>
      </c>
      <c r="BA20" s="10">
        <f>IF(預測IC!BA20&gt;預測IC!BA$25,1,0)</f>
        <v>1</v>
      </c>
      <c r="BB20" s="10">
        <f>IF(預測IC!BB20&gt;預測IC!BB$25,1,0)</f>
        <v>1</v>
      </c>
      <c r="BC20" s="10">
        <f>IF(預測IC!BC20&gt;預測IC!BC$25,1,0)</f>
        <v>1</v>
      </c>
      <c r="BD20" s="10">
        <f>IF(預測IC!BD20&gt;預測IC!BD$25,1,0)</f>
        <v>0</v>
      </c>
      <c r="BE20" s="10">
        <f>IF(預測IC!BE20&gt;預測IC!BE$25,1,0)</f>
        <v>0</v>
      </c>
      <c r="BF20" s="10">
        <f>IF(預測IC!BF20&gt;預測IC!BF$25,1,0)</f>
        <v>0</v>
      </c>
      <c r="BG20" s="10">
        <f>IF(預測IC!BG20&gt;預測IC!BG$25,1,0)</f>
        <v>0</v>
      </c>
      <c r="BH20" s="10">
        <f>IF(預測IC!BH20&gt;預測IC!BH$25,1,0)</f>
        <v>1</v>
      </c>
      <c r="BI20" s="10">
        <f>IF(預測IC!BI20&gt;預測IC!BI$25,1,0)</f>
        <v>0</v>
      </c>
      <c r="BJ20" s="10">
        <f>IF(預測IC!BJ20&gt;預測IC!BJ$25,1,0)</f>
        <v>1</v>
      </c>
      <c r="BK20" s="10">
        <f>IF(預測IC!BK20&gt;預測IC!BK$25,1,0)</f>
        <v>1</v>
      </c>
      <c r="BL20" s="10">
        <f>IF(預測IC!BL20&gt;預測IC!BL$25,1,0)</f>
        <v>1</v>
      </c>
      <c r="BM20" s="10">
        <f>IF(預測IC!BM20&gt;預測IC!BM$25,1,0)</f>
        <v>1</v>
      </c>
      <c r="BN20" s="10">
        <f>IF(預測IC!BN20&gt;預測IC!BN$25,1,0)</f>
        <v>1</v>
      </c>
      <c r="BO20" s="10">
        <f>IF(預測IC!BO20&gt;預測IC!BO$25,1,0)</f>
        <v>1</v>
      </c>
      <c r="BP20" s="10">
        <f>IF(預測IC!BP20&gt;預測IC!BP$25,1,0)</f>
        <v>1</v>
      </c>
      <c r="BQ20" s="10">
        <f>IF(預測IC!BQ20&gt;預測IC!BQ$25,1,0)</f>
        <v>1</v>
      </c>
      <c r="BR20" s="10">
        <f>IF(預測IC!BR20&gt;預測IC!BR$25,1,0)</f>
        <v>1</v>
      </c>
      <c r="BS20" s="10">
        <f>IF(預測IC!BS20&gt;預測IC!BS$25,1,0)</f>
        <v>0</v>
      </c>
      <c r="BT20" s="10">
        <f>IF(預測IC!BT20&gt;預測IC!BT$25,1,0)</f>
        <v>1</v>
      </c>
      <c r="BU20" s="10">
        <f>IF(預測IC!BU20&gt;預測IC!BU$25,1,0)</f>
        <v>0</v>
      </c>
      <c r="BV20" s="10">
        <f>IF(預測IC!BV20&gt;預測IC!BV$25,1,0)</f>
        <v>0</v>
      </c>
      <c r="BW20" s="10">
        <f>IF(預測IC!BW20&gt;預測IC!BW$25,1,0)</f>
        <v>1</v>
      </c>
      <c r="BX20" s="10">
        <f>IF(預測IC!BX20&gt;預測IC!BX$25,1,0)</f>
        <v>1</v>
      </c>
      <c r="BY20" s="10">
        <f>IF(預測IC!BY20&gt;預測IC!BY$25,1,0)</f>
        <v>1</v>
      </c>
      <c r="BZ20" s="10">
        <f>IF(預測IC!BZ20&gt;預測IC!BZ$25,1,0)</f>
        <v>0</v>
      </c>
      <c r="CA20" s="10">
        <f>IF(預測IC!CA20&gt;預測IC!CA$25,1,0)</f>
        <v>1</v>
      </c>
      <c r="CB20" s="10">
        <f>IF(預測IC!CB20&gt;預測IC!CB$25,1,0)</f>
        <v>0</v>
      </c>
      <c r="CC20" s="10">
        <f>IF(預測IC!CC20&gt;預測IC!CC$25,1,0)</f>
        <v>0</v>
      </c>
      <c r="CD20" s="10">
        <f>IF(預測IC!CD20&gt;預測IC!CD$25,1,0)</f>
        <v>1</v>
      </c>
      <c r="CE20" s="10">
        <f>IF(預測IC!CE20&gt;預測IC!CE$25,1,0)</f>
        <v>0</v>
      </c>
      <c r="CF20" s="10">
        <f>IF(預測IC!CF20&gt;預測IC!CF$25,1,0)</f>
        <v>1</v>
      </c>
      <c r="CG20" s="10">
        <f>IF(預測IC!CG20&gt;預測IC!CG$25,1,0)</f>
        <v>1</v>
      </c>
      <c r="CH20" s="10">
        <f>IF(預測IC!CH20&gt;預測IC!CH$25,1,0)</f>
        <v>1</v>
      </c>
      <c r="CI20" s="10">
        <f>IF(預測IC!CI20&gt;預測IC!CI$25,1,0)</f>
        <v>0</v>
      </c>
      <c r="CJ20" s="10">
        <f>IF(預測IC!CJ20&gt;預測IC!CJ$25,1,0)</f>
        <v>0</v>
      </c>
      <c r="CK20" s="10">
        <f>IF(預測IC!CK20&gt;預測IC!CK$25,1,0)</f>
        <v>1</v>
      </c>
      <c r="CL20" s="10">
        <f>IF(預測IC!CL20&gt;預測IC!CL$25,1,0)</f>
        <v>1</v>
      </c>
      <c r="CM20" s="10">
        <f>IF(預測IC!CM20&gt;預測IC!CM$25,1,0)</f>
        <v>1</v>
      </c>
      <c r="CN20" s="10">
        <f>IF(預測IC!CN20&gt;預測IC!CN$25,1,0)</f>
        <v>0</v>
      </c>
      <c r="CO20" s="10">
        <f>IF(預測IC!CO20&gt;預測IC!CO$25,1,0)</f>
        <v>0</v>
      </c>
      <c r="CP20" s="10">
        <f>IF(預測IC!CP20&gt;預測IC!CP$25,1,0)</f>
        <v>1</v>
      </c>
      <c r="CQ20" s="10">
        <f>IF(預測IC!CQ20&gt;預測IC!CQ$25,1,0)</f>
        <v>1</v>
      </c>
      <c r="CR20" s="10">
        <f>IF(預測IC!CR20&gt;預測IC!CR$25,1,0)</f>
        <v>0</v>
      </c>
      <c r="CS20" s="10">
        <f>IF(預測IC!CS20&gt;預測IC!CS$25,1,0)</f>
        <v>0</v>
      </c>
      <c r="CT20" s="10">
        <f>IF(預測IC!CT20&gt;預測IC!CT$25,1,0)</f>
        <v>1</v>
      </c>
      <c r="CU20" s="10">
        <f>IF(預測IC!CU20&gt;預測IC!CU$25,1,0)</f>
        <v>1</v>
      </c>
      <c r="CV20" s="10">
        <f>IF(預測IC!CV20&gt;預測IC!CV$25,1,0)</f>
        <v>1</v>
      </c>
      <c r="CW20" s="10">
        <f>IF(預測IC!CW20&gt;預測IC!CW$25,1,0)</f>
        <v>1</v>
      </c>
      <c r="CX20" s="10">
        <f>IF(預測IC!CX20&gt;預測IC!CX$25,1,0)</f>
        <v>1</v>
      </c>
      <c r="CY20" s="10">
        <f>IF(預測IC!CY20&gt;預測IC!CY$25,1,0)</f>
        <v>0</v>
      </c>
      <c r="CZ20" s="10">
        <f>IF(預測IC!CZ20&gt;預測IC!CZ$25,1,0)</f>
        <v>1</v>
      </c>
      <c r="DA20" s="10">
        <f>IF(預測IC!DA20&gt;預測IC!DA$25,1,0)</f>
        <v>1</v>
      </c>
      <c r="DB20" s="10">
        <f>IF(預測IC!DB20&gt;預測IC!DB$25,1,0)</f>
        <v>0</v>
      </c>
      <c r="DC20" s="10">
        <f>IF(預測IC!DC20&gt;預測IC!DC$25,1,0)</f>
        <v>1</v>
      </c>
      <c r="DD20" s="10">
        <f>IF(預測IC!DD20&gt;預測IC!DD$25,1,0)</f>
        <v>0</v>
      </c>
      <c r="DE20" s="10">
        <f>IF(預測IC!DE20&gt;預測IC!DE$25,1,0)</f>
        <v>0</v>
      </c>
      <c r="DF20" s="10">
        <f>IF(預測IC!DF20&gt;預測IC!DF$25,1,0)</f>
        <v>1</v>
      </c>
      <c r="DG20" s="10">
        <f>IF(預測IC!DG20&gt;預測IC!DG$25,1,0)</f>
        <v>0</v>
      </c>
      <c r="DH20" s="10">
        <f>IF(預測IC!DH20&gt;預測IC!DH$25,1,0)</f>
        <v>0</v>
      </c>
      <c r="DI20" s="10">
        <f>IF(預測IC!DI20&gt;預測IC!DI$25,1,0)</f>
        <v>1</v>
      </c>
      <c r="DJ20" s="10">
        <f>IF(預測IC!DJ20&gt;預測IC!DJ$25,1,0)</f>
        <v>1</v>
      </c>
      <c r="DK20" s="10">
        <f>IF(預測IC!DK20&gt;預測IC!DK$25,1,0)</f>
        <v>0</v>
      </c>
      <c r="DL20" s="10">
        <f>IF(預測IC!DL20&gt;預測IC!DL$25,1,0)</f>
        <v>1</v>
      </c>
      <c r="DM20" s="10">
        <f>IF(預測IC!DM20&gt;預測IC!DM$25,1,0)</f>
        <v>0</v>
      </c>
      <c r="DN20" s="10">
        <f>IF(預測IC!DN20&gt;預測IC!DN$25,1,0)</f>
        <v>1</v>
      </c>
      <c r="DO20" s="10">
        <f>IF(預測IC!DO20&gt;預測IC!DO$25,1,0)</f>
        <v>0</v>
      </c>
      <c r="DP20" s="10">
        <f>IF(預測IC!DP20&gt;預測IC!DP$25,1,0)</f>
        <v>1</v>
      </c>
      <c r="DQ20" s="10">
        <f>IF(預測IC!DQ20&gt;預測IC!DQ$25,1,0)</f>
        <v>0</v>
      </c>
      <c r="DR20" s="10">
        <f>IF(預測IC!DR20&gt;預測IC!DR$25,1,0)</f>
        <v>1</v>
      </c>
      <c r="DS20" s="10">
        <f>IF(預測IC!DS20&gt;預測IC!DS$25,1,0)</f>
        <v>1</v>
      </c>
      <c r="DT20" s="10">
        <f>IF(預測IC!DT20&gt;預測IC!DT$25,1,0)</f>
        <v>0</v>
      </c>
      <c r="DU20" s="10">
        <f>IF(預測IC!DU20&gt;預測IC!DU$25,1,0)</f>
        <v>0</v>
      </c>
      <c r="DV20" s="10">
        <f>IF(預測IC!DV20&gt;預測IC!DV$25,1,0)</f>
        <v>1</v>
      </c>
      <c r="DW20" s="10">
        <f>IF(預測IC!DW20&gt;預測IC!DW$25,1,0)</f>
        <v>0</v>
      </c>
      <c r="DX20" s="10">
        <f>IF(預測IC!DX20&gt;預測IC!DX$25,1,0)</f>
        <v>1</v>
      </c>
      <c r="DY20" s="10">
        <f>IF(預測IC!DY20&gt;預測IC!DY$25,1,0)</f>
        <v>1</v>
      </c>
      <c r="DZ20" s="10">
        <f>IF(預測IC!DZ20&gt;預測IC!DZ$25,1,0)</f>
        <v>0</v>
      </c>
      <c r="EA20" s="10">
        <f>IF(預測IC!EA20&gt;預測IC!EA$25,1,0)</f>
        <v>0</v>
      </c>
      <c r="EB20" s="10">
        <f>IF(預測IC!EB20&gt;預測IC!EB$25,1,0)</f>
        <v>1</v>
      </c>
      <c r="EC20" s="10">
        <f>IF(預測IC!EC20&gt;預測IC!EC$25,1,0)</f>
        <v>1</v>
      </c>
      <c r="ED20" s="10">
        <f>IF(預測IC!ED20&gt;預測IC!ED$25,1,0)</f>
        <v>0</v>
      </c>
      <c r="EE20" s="10">
        <f>IF(預測IC!EE20&gt;預測IC!EE$25,1,0)</f>
        <v>0</v>
      </c>
      <c r="EF20" s="10">
        <f>IF(預測IC!EF20&gt;預測IC!EF$25,1,0)</f>
        <v>0</v>
      </c>
      <c r="EG20" s="10">
        <f>IF(預測IC!EG20&gt;預測IC!EG$25,1,0)</f>
        <v>0</v>
      </c>
      <c r="EH20" s="10">
        <f>IF(預測IC!EH20&gt;預測IC!EH$25,1,0)</f>
        <v>1</v>
      </c>
      <c r="EI20" s="10">
        <f>IF(預測IC!EI20&gt;預測IC!EI$25,1,0)</f>
        <v>0</v>
      </c>
      <c r="EJ20" s="10">
        <f>IF(預測IC!EJ20&gt;預測IC!EJ$25,1,0)</f>
        <v>1</v>
      </c>
      <c r="EK20" s="10">
        <f>IF(預測IC!EK20&gt;預測IC!EK$25,1,0)</f>
        <v>1</v>
      </c>
      <c r="EL20" s="10">
        <f>IF(預測IC!EL20&gt;預測IC!EL$25,1,0)</f>
        <v>0</v>
      </c>
      <c r="EM20" s="6">
        <f t="shared" si="11"/>
        <v>74</v>
      </c>
      <c r="EN20" s="19">
        <f t="shared" si="12"/>
        <v>0.52857142857142858</v>
      </c>
    </row>
    <row r="21" spans="1:144" x14ac:dyDescent="0.3">
      <c r="A21" s="18">
        <v>256</v>
      </c>
      <c r="B21" s="18">
        <f t="shared" si="10"/>
        <v>4</v>
      </c>
      <c r="C21" s="10">
        <f>IF(預測IC!C21&gt;預測IC!C$25,1,0)</f>
        <v>0</v>
      </c>
      <c r="D21" s="10">
        <f>IF(預測IC!D21&gt;預測IC!D$25,1,0)</f>
        <v>1</v>
      </c>
      <c r="E21" s="10">
        <f>IF(預測IC!E21&gt;預測IC!E$25,1,0)</f>
        <v>0</v>
      </c>
      <c r="F21" s="10">
        <f>IF(預測IC!F21&gt;預測IC!F$25,1,0)</f>
        <v>1</v>
      </c>
      <c r="G21" s="10">
        <f>IF(預測IC!G21&gt;預測IC!G$25,1,0)</f>
        <v>0</v>
      </c>
      <c r="H21" s="10">
        <f>IF(預測IC!H21&gt;預測IC!H$25,1,0)</f>
        <v>1</v>
      </c>
      <c r="I21" s="10">
        <f>IF(預測IC!I21&gt;預測IC!I$25,1,0)</f>
        <v>1</v>
      </c>
      <c r="J21" s="10">
        <f>IF(預測IC!J21&gt;預測IC!J$25,1,0)</f>
        <v>1</v>
      </c>
      <c r="K21" s="10">
        <f>IF(預測IC!K21&gt;預測IC!K$25,1,0)</f>
        <v>0</v>
      </c>
      <c r="L21" s="10">
        <f>IF(預測IC!L21&gt;預測IC!L$25,1,0)</f>
        <v>0</v>
      </c>
      <c r="M21" s="10">
        <f>IF(預測IC!M21&gt;預測IC!M$25,1,0)</f>
        <v>0</v>
      </c>
      <c r="N21" s="10">
        <f>IF(預測IC!N21&gt;預測IC!N$25,1,0)</f>
        <v>1</v>
      </c>
      <c r="O21" s="10">
        <f>IF(預測IC!O21&gt;預測IC!O$25,1,0)</f>
        <v>1</v>
      </c>
      <c r="P21" s="10">
        <f>IF(預測IC!P21&gt;預測IC!P$25,1,0)</f>
        <v>0</v>
      </c>
      <c r="Q21" s="10">
        <f>IF(預測IC!Q21&gt;預測IC!Q$25,1,0)</f>
        <v>0</v>
      </c>
      <c r="R21" s="10">
        <f>IF(預測IC!R21&gt;預測IC!R$25,1,0)</f>
        <v>0</v>
      </c>
      <c r="S21" s="10">
        <f>IF(預測IC!S21&gt;預測IC!S$25,1,0)</f>
        <v>0</v>
      </c>
      <c r="T21" s="10">
        <f>IF(預測IC!T21&gt;預測IC!T$25,1,0)</f>
        <v>0</v>
      </c>
      <c r="U21" s="10">
        <f>IF(預測IC!U21&gt;預測IC!U$25,1,0)</f>
        <v>1</v>
      </c>
      <c r="V21" s="10">
        <f>IF(預測IC!V21&gt;預測IC!V$25,1,0)</f>
        <v>1</v>
      </c>
      <c r="W21" s="10">
        <f>IF(預測IC!W21&gt;預測IC!W$25,1,0)</f>
        <v>0</v>
      </c>
      <c r="X21" s="10">
        <f>IF(預測IC!X21&gt;預測IC!X$25,1,0)</f>
        <v>1</v>
      </c>
      <c r="Y21" s="10">
        <f>IF(預測IC!Y21&gt;預測IC!Y$25,1,0)</f>
        <v>1</v>
      </c>
      <c r="Z21" s="10">
        <f>IF(預測IC!Z21&gt;預測IC!Z$25,1,0)</f>
        <v>1</v>
      </c>
      <c r="AA21" s="10">
        <f>IF(預測IC!AA21&gt;預測IC!AA$25,1,0)</f>
        <v>0</v>
      </c>
      <c r="AB21" s="10">
        <f>IF(預測IC!AB21&gt;預測IC!AB$25,1,0)</f>
        <v>0</v>
      </c>
      <c r="AC21" s="10">
        <f>IF(預測IC!AC21&gt;預測IC!AC$25,1,0)</f>
        <v>0</v>
      </c>
      <c r="AD21" s="10">
        <f>IF(預測IC!AD21&gt;預測IC!AD$25,1,0)</f>
        <v>0</v>
      </c>
      <c r="AE21" s="10">
        <f>IF(預測IC!AE21&gt;預測IC!AE$25,1,0)</f>
        <v>0</v>
      </c>
      <c r="AF21" s="10">
        <f>IF(預測IC!AF21&gt;預測IC!AF$25,1,0)</f>
        <v>1</v>
      </c>
      <c r="AG21" s="10">
        <f>IF(預測IC!AG21&gt;預測IC!AG$25,1,0)</f>
        <v>0</v>
      </c>
      <c r="AH21" s="10">
        <f>IF(預測IC!AH21&gt;預測IC!AH$25,1,0)</f>
        <v>1</v>
      </c>
      <c r="AI21" s="10">
        <f>IF(預測IC!AI21&gt;預測IC!AI$25,1,0)</f>
        <v>1</v>
      </c>
      <c r="AJ21" s="10">
        <f>IF(預測IC!AJ21&gt;預測IC!AJ$25,1,0)</f>
        <v>0</v>
      </c>
      <c r="AK21" s="10">
        <f>IF(預測IC!AK21&gt;預測IC!AK$25,1,0)</f>
        <v>0</v>
      </c>
      <c r="AL21" s="10">
        <f>IF(預測IC!AL21&gt;預測IC!AL$25,1,0)</f>
        <v>1</v>
      </c>
      <c r="AM21" s="10">
        <f>IF(預測IC!AM21&gt;預測IC!AM$25,1,0)</f>
        <v>1</v>
      </c>
      <c r="AN21" s="10">
        <f>IF(預測IC!AN21&gt;預測IC!AN$25,1,0)</f>
        <v>0</v>
      </c>
      <c r="AO21" s="10">
        <f>IF(預測IC!AO21&gt;預測IC!AO$25,1,0)</f>
        <v>0</v>
      </c>
      <c r="AP21" s="10">
        <f>IF(預測IC!AP21&gt;預測IC!AP$25,1,0)</f>
        <v>0</v>
      </c>
      <c r="AQ21" s="10">
        <f>IF(預測IC!AQ21&gt;預測IC!AQ$25,1,0)</f>
        <v>0</v>
      </c>
      <c r="AR21" s="10">
        <f>IF(預測IC!AR21&gt;預測IC!AR$25,1,0)</f>
        <v>1</v>
      </c>
      <c r="AS21" s="10">
        <f>IF(預測IC!AS21&gt;預測IC!AS$25,1,0)</f>
        <v>1</v>
      </c>
      <c r="AT21" s="10">
        <f>IF(預測IC!AT21&gt;預測IC!AT$25,1,0)</f>
        <v>0</v>
      </c>
      <c r="AU21" s="10">
        <f>IF(預測IC!AU21&gt;預測IC!AU$25,1,0)</f>
        <v>1</v>
      </c>
      <c r="AV21" s="10">
        <f>IF(預測IC!AV21&gt;預測IC!AV$25,1,0)</f>
        <v>0</v>
      </c>
      <c r="AW21" s="10">
        <f>IF(預測IC!AW21&gt;預測IC!AW$25,1,0)</f>
        <v>1</v>
      </c>
      <c r="AX21" s="10">
        <f>IF(預測IC!AX21&gt;預測IC!AX$25,1,0)</f>
        <v>1</v>
      </c>
      <c r="AY21" s="10">
        <f>IF(預測IC!AY21&gt;預測IC!AY$25,1,0)</f>
        <v>0</v>
      </c>
      <c r="AZ21" s="10">
        <f>IF(預測IC!AZ21&gt;預測IC!AZ$25,1,0)</f>
        <v>1</v>
      </c>
      <c r="BA21" s="10">
        <f>IF(預測IC!BA21&gt;預測IC!BA$25,1,0)</f>
        <v>1</v>
      </c>
      <c r="BB21" s="10">
        <f>IF(預測IC!BB21&gt;預測IC!BB$25,1,0)</f>
        <v>1</v>
      </c>
      <c r="BC21" s="10">
        <f>IF(預測IC!BC21&gt;預測IC!BC$25,1,0)</f>
        <v>1</v>
      </c>
      <c r="BD21" s="10">
        <f>IF(預測IC!BD21&gt;預測IC!BD$25,1,0)</f>
        <v>1</v>
      </c>
      <c r="BE21" s="10">
        <f>IF(預測IC!BE21&gt;預測IC!BE$25,1,0)</f>
        <v>0</v>
      </c>
      <c r="BF21" s="10">
        <f>IF(預測IC!BF21&gt;預測IC!BF$25,1,0)</f>
        <v>0</v>
      </c>
      <c r="BG21" s="10">
        <f>IF(預測IC!BG21&gt;預測IC!BG$25,1,0)</f>
        <v>1</v>
      </c>
      <c r="BH21" s="10">
        <f>IF(預測IC!BH21&gt;預測IC!BH$25,1,0)</f>
        <v>1</v>
      </c>
      <c r="BI21" s="10">
        <f>IF(預測IC!BI21&gt;預測IC!BI$25,1,0)</f>
        <v>0</v>
      </c>
      <c r="BJ21" s="10">
        <f>IF(預測IC!BJ21&gt;預測IC!BJ$25,1,0)</f>
        <v>1</v>
      </c>
      <c r="BK21" s="10">
        <f>IF(預測IC!BK21&gt;預測IC!BK$25,1,0)</f>
        <v>1</v>
      </c>
      <c r="BL21" s="10">
        <f>IF(預測IC!BL21&gt;預測IC!BL$25,1,0)</f>
        <v>1</v>
      </c>
      <c r="BM21" s="10">
        <f>IF(預測IC!BM21&gt;預測IC!BM$25,1,0)</f>
        <v>1</v>
      </c>
      <c r="BN21" s="10">
        <f>IF(預測IC!BN21&gt;預測IC!BN$25,1,0)</f>
        <v>1</v>
      </c>
      <c r="BO21" s="10">
        <f>IF(預測IC!BO21&gt;預測IC!BO$25,1,0)</f>
        <v>0</v>
      </c>
      <c r="BP21" s="10">
        <f>IF(預測IC!BP21&gt;預測IC!BP$25,1,0)</f>
        <v>1</v>
      </c>
      <c r="BQ21" s="10">
        <f>IF(預測IC!BQ21&gt;預測IC!BQ$25,1,0)</f>
        <v>1</v>
      </c>
      <c r="BR21" s="10">
        <f>IF(預測IC!BR21&gt;預測IC!BR$25,1,0)</f>
        <v>1</v>
      </c>
      <c r="BS21" s="10">
        <f>IF(預測IC!BS21&gt;預測IC!BS$25,1,0)</f>
        <v>0</v>
      </c>
      <c r="BT21" s="10">
        <f>IF(預測IC!BT21&gt;預測IC!BT$25,1,0)</f>
        <v>1</v>
      </c>
      <c r="BU21" s="10">
        <f>IF(預測IC!BU21&gt;預測IC!BU$25,1,0)</f>
        <v>0</v>
      </c>
      <c r="BV21" s="10">
        <f>IF(預測IC!BV21&gt;預測IC!BV$25,1,0)</f>
        <v>0</v>
      </c>
      <c r="BW21" s="10">
        <f>IF(預測IC!BW21&gt;預測IC!BW$25,1,0)</f>
        <v>1</v>
      </c>
      <c r="BX21" s="10">
        <f>IF(預測IC!BX21&gt;預測IC!BX$25,1,0)</f>
        <v>1</v>
      </c>
      <c r="BY21" s="10">
        <f>IF(預測IC!BY21&gt;預測IC!BY$25,1,0)</f>
        <v>1</v>
      </c>
      <c r="BZ21" s="10">
        <f>IF(預測IC!BZ21&gt;預測IC!BZ$25,1,0)</f>
        <v>0</v>
      </c>
      <c r="CA21" s="10">
        <f>IF(預測IC!CA21&gt;預測IC!CA$25,1,0)</f>
        <v>1</v>
      </c>
      <c r="CB21" s="10">
        <f>IF(預測IC!CB21&gt;預測IC!CB$25,1,0)</f>
        <v>0</v>
      </c>
      <c r="CC21" s="10">
        <f>IF(預測IC!CC21&gt;預測IC!CC$25,1,0)</f>
        <v>0</v>
      </c>
      <c r="CD21" s="10">
        <f>IF(預測IC!CD21&gt;預測IC!CD$25,1,0)</f>
        <v>1</v>
      </c>
      <c r="CE21" s="10">
        <f>IF(預測IC!CE21&gt;預測IC!CE$25,1,0)</f>
        <v>0</v>
      </c>
      <c r="CF21" s="10">
        <f>IF(預測IC!CF21&gt;預測IC!CF$25,1,0)</f>
        <v>1</v>
      </c>
      <c r="CG21" s="10">
        <f>IF(預測IC!CG21&gt;預測IC!CG$25,1,0)</f>
        <v>1</v>
      </c>
      <c r="CH21" s="10">
        <f>IF(預測IC!CH21&gt;預測IC!CH$25,1,0)</f>
        <v>0</v>
      </c>
      <c r="CI21" s="10">
        <f>IF(預測IC!CI21&gt;預測IC!CI$25,1,0)</f>
        <v>0</v>
      </c>
      <c r="CJ21" s="10">
        <f>IF(預測IC!CJ21&gt;預測IC!CJ$25,1,0)</f>
        <v>0</v>
      </c>
      <c r="CK21" s="10">
        <f>IF(預測IC!CK21&gt;預測IC!CK$25,1,0)</f>
        <v>1</v>
      </c>
      <c r="CL21" s="10">
        <f>IF(預測IC!CL21&gt;預測IC!CL$25,1,0)</f>
        <v>1</v>
      </c>
      <c r="CM21" s="10">
        <f>IF(預測IC!CM21&gt;預測IC!CM$25,1,0)</f>
        <v>1</v>
      </c>
      <c r="CN21" s="10">
        <f>IF(預測IC!CN21&gt;預測IC!CN$25,1,0)</f>
        <v>0</v>
      </c>
      <c r="CO21" s="10">
        <f>IF(預測IC!CO21&gt;預測IC!CO$25,1,0)</f>
        <v>0</v>
      </c>
      <c r="CP21" s="10">
        <f>IF(預測IC!CP21&gt;預測IC!CP$25,1,0)</f>
        <v>1</v>
      </c>
      <c r="CQ21" s="10">
        <f>IF(預測IC!CQ21&gt;預測IC!CQ$25,1,0)</f>
        <v>1</v>
      </c>
      <c r="CR21" s="10">
        <f>IF(預測IC!CR21&gt;預測IC!CR$25,1,0)</f>
        <v>0</v>
      </c>
      <c r="CS21" s="10">
        <f>IF(預測IC!CS21&gt;預測IC!CS$25,1,0)</f>
        <v>1</v>
      </c>
      <c r="CT21" s="10">
        <f>IF(預測IC!CT21&gt;預測IC!CT$25,1,0)</f>
        <v>1</v>
      </c>
      <c r="CU21" s="10">
        <f>IF(預測IC!CU21&gt;預測IC!CU$25,1,0)</f>
        <v>1</v>
      </c>
      <c r="CV21" s="10">
        <f>IF(預測IC!CV21&gt;預測IC!CV$25,1,0)</f>
        <v>1</v>
      </c>
      <c r="CW21" s="10">
        <f>IF(預測IC!CW21&gt;預測IC!CW$25,1,0)</f>
        <v>1</v>
      </c>
      <c r="CX21" s="10">
        <f>IF(預測IC!CX21&gt;預測IC!CX$25,1,0)</f>
        <v>1</v>
      </c>
      <c r="CY21" s="10">
        <f>IF(預測IC!CY21&gt;預測IC!CY$25,1,0)</f>
        <v>0</v>
      </c>
      <c r="CZ21" s="10">
        <f>IF(預測IC!CZ21&gt;預測IC!CZ$25,1,0)</f>
        <v>1</v>
      </c>
      <c r="DA21" s="10">
        <f>IF(預測IC!DA21&gt;預測IC!DA$25,1,0)</f>
        <v>1</v>
      </c>
      <c r="DB21" s="10">
        <f>IF(預測IC!DB21&gt;預測IC!DB$25,1,0)</f>
        <v>0</v>
      </c>
      <c r="DC21" s="10">
        <f>IF(預測IC!DC21&gt;預測IC!DC$25,1,0)</f>
        <v>1</v>
      </c>
      <c r="DD21" s="10">
        <f>IF(預測IC!DD21&gt;預測IC!DD$25,1,0)</f>
        <v>0</v>
      </c>
      <c r="DE21" s="10">
        <f>IF(預測IC!DE21&gt;預測IC!DE$25,1,0)</f>
        <v>0</v>
      </c>
      <c r="DF21" s="10">
        <f>IF(預測IC!DF21&gt;預測IC!DF$25,1,0)</f>
        <v>1</v>
      </c>
      <c r="DG21" s="10">
        <f>IF(預測IC!DG21&gt;預測IC!DG$25,1,0)</f>
        <v>0</v>
      </c>
      <c r="DH21" s="10">
        <f>IF(預測IC!DH21&gt;預測IC!DH$25,1,0)</f>
        <v>0</v>
      </c>
      <c r="DI21" s="10">
        <f>IF(預測IC!DI21&gt;預測IC!DI$25,1,0)</f>
        <v>1</v>
      </c>
      <c r="DJ21" s="10">
        <f>IF(預測IC!DJ21&gt;預測IC!DJ$25,1,0)</f>
        <v>1</v>
      </c>
      <c r="DK21" s="10">
        <f>IF(預測IC!DK21&gt;預測IC!DK$25,1,0)</f>
        <v>0</v>
      </c>
      <c r="DL21" s="10">
        <f>IF(預測IC!DL21&gt;預測IC!DL$25,1,0)</f>
        <v>1</v>
      </c>
      <c r="DM21" s="10">
        <f>IF(預測IC!DM21&gt;預測IC!DM$25,1,0)</f>
        <v>0</v>
      </c>
      <c r="DN21" s="10">
        <f>IF(預測IC!DN21&gt;預測IC!DN$25,1,0)</f>
        <v>1</v>
      </c>
      <c r="DO21" s="10">
        <f>IF(預測IC!DO21&gt;預測IC!DO$25,1,0)</f>
        <v>0</v>
      </c>
      <c r="DP21" s="10">
        <f>IF(預測IC!DP21&gt;預測IC!DP$25,1,0)</f>
        <v>1</v>
      </c>
      <c r="DQ21" s="10">
        <f>IF(預測IC!DQ21&gt;預測IC!DQ$25,1,0)</f>
        <v>0</v>
      </c>
      <c r="DR21" s="10">
        <f>IF(預測IC!DR21&gt;預測IC!DR$25,1,0)</f>
        <v>1</v>
      </c>
      <c r="DS21" s="10">
        <f>IF(預測IC!DS21&gt;預測IC!DS$25,1,0)</f>
        <v>1</v>
      </c>
      <c r="DT21" s="10">
        <f>IF(預測IC!DT21&gt;預測IC!DT$25,1,0)</f>
        <v>0</v>
      </c>
      <c r="DU21" s="10">
        <f>IF(預測IC!DU21&gt;預測IC!DU$25,1,0)</f>
        <v>0</v>
      </c>
      <c r="DV21" s="10">
        <f>IF(預測IC!DV21&gt;預測IC!DV$25,1,0)</f>
        <v>1</v>
      </c>
      <c r="DW21" s="10">
        <f>IF(預測IC!DW21&gt;預測IC!DW$25,1,0)</f>
        <v>0</v>
      </c>
      <c r="DX21" s="10">
        <f>IF(預測IC!DX21&gt;預測IC!DX$25,1,0)</f>
        <v>1</v>
      </c>
      <c r="DY21" s="10">
        <f>IF(預測IC!DY21&gt;預測IC!DY$25,1,0)</f>
        <v>1</v>
      </c>
      <c r="DZ21" s="10">
        <f>IF(預測IC!DZ21&gt;預測IC!DZ$25,1,0)</f>
        <v>0</v>
      </c>
      <c r="EA21" s="10">
        <f>IF(預測IC!EA21&gt;預測IC!EA$25,1,0)</f>
        <v>1</v>
      </c>
      <c r="EB21" s="10">
        <f>IF(預測IC!EB21&gt;預測IC!EB$25,1,0)</f>
        <v>1</v>
      </c>
      <c r="EC21" s="10">
        <f>IF(預測IC!EC21&gt;預測IC!EC$25,1,0)</f>
        <v>1</v>
      </c>
      <c r="ED21" s="10">
        <f>IF(預測IC!ED21&gt;預測IC!ED$25,1,0)</f>
        <v>0</v>
      </c>
      <c r="EE21" s="10">
        <f>IF(預測IC!EE21&gt;預測IC!EE$25,1,0)</f>
        <v>0</v>
      </c>
      <c r="EF21" s="10">
        <f>IF(預測IC!EF21&gt;預測IC!EF$25,1,0)</f>
        <v>0</v>
      </c>
      <c r="EG21" s="10">
        <f>IF(預測IC!EG21&gt;預測IC!EG$25,1,0)</f>
        <v>0</v>
      </c>
      <c r="EH21" s="10">
        <f>IF(預測IC!EH21&gt;預測IC!EH$25,1,0)</f>
        <v>1</v>
      </c>
      <c r="EI21" s="10">
        <f>IF(預測IC!EI21&gt;預測IC!EI$25,1,0)</f>
        <v>0</v>
      </c>
      <c r="EJ21" s="10">
        <f>IF(預測IC!EJ21&gt;預測IC!EJ$25,1,0)</f>
        <v>1</v>
      </c>
      <c r="EK21" s="10">
        <f>IF(預測IC!EK21&gt;預測IC!EK$25,1,0)</f>
        <v>0</v>
      </c>
      <c r="EL21" s="10">
        <f>IF(預測IC!EL21&gt;預測IC!EL$25,1,0)</f>
        <v>0</v>
      </c>
      <c r="EM21" s="6">
        <f t="shared" si="11"/>
        <v>75</v>
      </c>
      <c r="EN21" s="19">
        <f t="shared" si="12"/>
        <v>0.5357142857142857</v>
      </c>
    </row>
    <row r="22" spans="1:144" x14ac:dyDescent="0.3">
      <c r="A22" s="18">
        <v>400</v>
      </c>
      <c r="B22" s="18">
        <f t="shared" si="10"/>
        <v>3</v>
      </c>
      <c r="C22" s="10">
        <f>IF(預測IC!C22&gt;預測IC!C$25,1,0)</f>
        <v>0</v>
      </c>
      <c r="D22" s="10">
        <f>IF(預測IC!D22&gt;預測IC!D$25,1,0)</f>
        <v>0</v>
      </c>
      <c r="E22" s="10">
        <f>IF(預測IC!E22&gt;預測IC!E$25,1,0)</f>
        <v>0</v>
      </c>
      <c r="F22" s="10">
        <f>IF(預測IC!F22&gt;預測IC!F$25,1,0)</f>
        <v>1</v>
      </c>
      <c r="G22" s="10">
        <f>IF(預測IC!G22&gt;預測IC!G$25,1,0)</f>
        <v>0</v>
      </c>
      <c r="H22" s="10">
        <f>IF(預測IC!H22&gt;預測IC!H$25,1,0)</f>
        <v>1</v>
      </c>
      <c r="I22" s="10">
        <f>IF(預測IC!I22&gt;預測IC!I$25,1,0)</f>
        <v>1</v>
      </c>
      <c r="J22" s="10">
        <f>IF(預測IC!J22&gt;預測IC!J$25,1,0)</f>
        <v>1</v>
      </c>
      <c r="K22" s="10">
        <f>IF(預測IC!K22&gt;預測IC!K$25,1,0)</f>
        <v>1</v>
      </c>
      <c r="L22" s="10">
        <f>IF(預測IC!L22&gt;預測IC!L$25,1,0)</f>
        <v>0</v>
      </c>
      <c r="M22" s="10">
        <f>IF(預測IC!M22&gt;預測IC!M$25,1,0)</f>
        <v>0</v>
      </c>
      <c r="N22" s="10">
        <f>IF(預測IC!N22&gt;預測IC!N$25,1,0)</f>
        <v>1</v>
      </c>
      <c r="O22" s="10">
        <f>IF(預測IC!O22&gt;預測IC!O$25,1,0)</f>
        <v>1</v>
      </c>
      <c r="P22" s="10">
        <f>IF(預測IC!P22&gt;預測IC!P$25,1,0)</f>
        <v>0</v>
      </c>
      <c r="Q22" s="10">
        <f>IF(預測IC!Q22&gt;預測IC!Q$25,1,0)</f>
        <v>0</v>
      </c>
      <c r="R22" s="10">
        <f>IF(預測IC!R22&gt;預測IC!R$25,1,0)</f>
        <v>0</v>
      </c>
      <c r="S22" s="10">
        <f>IF(預測IC!S22&gt;預測IC!S$25,1,0)</f>
        <v>0</v>
      </c>
      <c r="T22" s="10">
        <f>IF(預測IC!T22&gt;預測IC!T$25,1,0)</f>
        <v>0</v>
      </c>
      <c r="U22" s="10">
        <f>IF(預測IC!U22&gt;預測IC!U$25,1,0)</f>
        <v>1</v>
      </c>
      <c r="V22" s="10">
        <f>IF(預測IC!V22&gt;預測IC!V$25,1,0)</f>
        <v>1</v>
      </c>
      <c r="W22" s="10">
        <f>IF(預測IC!W22&gt;預測IC!W$25,1,0)</f>
        <v>0</v>
      </c>
      <c r="X22" s="10">
        <f>IF(預測IC!X22&gt;預測IC!X$25,1,0)</f>
        <v>1</v>
      </c>
      <c r="Y22" s="10">
        <f>IF(預測IC!Y22&gt;預測IC!Y$25,1,0)</f>
        <v>1</v>
      </c>
      <c r="Z22" s="10">
        <f>IF(預測IC!Z22&gt;預測IC!Z$25,1,0)</f>
        <v>1</v>
      </c>
      <c r="AA22" s="10">
        <f>IF(預測IC!AA22&gt;預測IC!AA$25,1,0)</f>
        <v>0</v>
      </c>
      <c r="AB22" s="10">
        <f>IF(預測IC!AB22&gt;預測IC!AB$25,1,0)</f>
        <v>0</v>
      </c>
      <c r="AC22" s="10">
        <f>IF(預測IC!AC22&gt;預測IC!AC$25,1,0)</f>
        <v>0</v>
      </c>
      <c r="AD22" s="10">
        <f>IF(預測IC!AD22&gt;預測IC!AD$25,1,0)</f>
        <v>0</v>
      </c>
      <c r="AE22" s="10">
        <f>IF(預測IC!AE22&gt;預測IC!AE$25,1,0)</f>
        <v>0</v>
      </c>
      <c r="AF22" s="10">
        <f>IF(預測IC!AF22&gt;預測IC!AF$25,1,0)</f>
        <v>1</v>
      </c>
      <c r="AG22" s="10">
        <f>IF(預測IC!AG22&gt;預測IC!AG$25,1,0)</f>
        <v>0</v>
      </c>
      <c r="AH22" s="10">
        <f>IF(預測IC!AH22&gt;預測IC!AH$25,1,0)</f>
        <v>1</v>
      </c>
      <c r="AI22" s="10">
        <f>IF(預測IC!AI22&gt;預測IC!AI$25,1,0)</f>
        <v>1</v>
      </c>
      <c r="AJ22" s="10">
        <f>IF(預測IC!AJ22&gt;預測IC!AJ$25,1,0)</f>
        <v>0</v>
      </c>
      <c r="AK22" s="10">
        <f>IF(預測IC!AK22&gt;預測IC!AK$25,1,0)</f>
        <v>1</v>
      </c>
      <c r="AL22" s="10">
        <f>IF(預測IC!AL22&gt;預測IC!AL$25,1,0)</f>
        <v>1</v>
      </c>
      <c r="AM22" s="10">
        <f>IF(預測IC!AM22&gt;預測IC!AM$25,1,0)</f>
        <v>1</v>
      </c>
      <c r="AN22" s="10">
        <f>IF(預測IC!AN22&gt;預測IC!AN$25,1,0)</f>
        <v>0</v>
      </c>
      <c r="AO22" s="10">
        <f>IF(預測IC!AO22&gt;預測IC!AO$25,1,0)</f>
        <v>0</v>
      </c>
      <c r="AP22" s="10">
        <f>IF(預測IC!AP22&gt;預測IC!AP$25,1,0)</f>
        <v>0</v>
      </c>
      <c r="AQ22" s="10">
        <f>IF(預測IC!AQ22&gt;預測IC!AQ$25,1,0)</f>
        <v>1</v>
      </c>
      <c r="AR22" s="10">
        <f>IF(預測IC!AR22&gt;預測IC!AR$25,1,0)</f>
        <v>1</v>
      </c>
      <c r="AS22" s="10">
        <f>IF(預測IC!AS22&gt;預測IC!AS$25,1,0)</f>
        <v>1</v>
      </c>
      <c r="AT22" s="10">
        <f>IF(預測IC!AT22&gt;預測IC!AT$25,1,0)</f>
        <v>1</v>
      </c>
      <c r="AU22" s="10">
        <f>IF(預測IC!AU22&gt;預測IC!AU$25,1,0)</f>
        <v>1</v>
      </c>
      <c r="AV22" s="10">
        <f>IF(預測IC!AV22&gt;預測IC!AV$25,1,0)</f>
        <v>0</v>
      </c>
      <c r="AW22" s="10">
        <f>IF(預測IC!AW22&gt;預測IC!AW$25,1,0)</f>
        <v>1</v>
      </c>
      <c r="AX22" s="10">
        <f>IF(預測IC!AX22&gt;預測IC!AX$25,1,0)</f>
        <v>0</v>
      </c>
      <c r="AY22" s="10">
        <f>IF(預測IC!AY22&gt;預測IC!AY$25,1,0)</f>
        <v>0</v>
      </c>
      <c r="AZ22" s="10">
        <f>IF(預測IC!AZ22&gt;預測IC!AZ$25,1,0)</f>
        <v>1</v>
      </c>
      <c r="BA22" s="10">
        <f>IF(預測IC!BA22&gt;預測IC!BA$25,1,0)</f>
        <v>1</v>
      </c>
      <c r="BB22" s="10">
        <f>IF(預測IC!BB22&gt;預測IC!BB$25,1,0)</f>
        <v>1</v>
      </c>
      <c r="BC22" s="10">
        <f>IF(預測IC!BC22&gt;預測IC!BC$25,1,0)</f>
        <v>0</v>
      </c>
      <c r="BD22" s="10">
        <f>IF(預測IC!BD22&gt;預測IC!BD$25,1,0)</f>
        <v>1</v>
      </c>
      <c r="BE22" s="10">
        <f>IF(預測IC!BE22&gt;預測IC!BE$25,1,0)</f>
        <v>0</v>
      </c>
      <c r="BF22" s="10">
        <f>IF(預測IC!BF22&gt;預測IC!BF$25,1,0)</f>
        <v>0</v>
      </c>
      <c r="BG22" s="10">
        <f>IF(預測IC!BG22&gt;預測IC!BG$25,1,0)</f>
        <v>1</v>
      </c>
      <c r="BH22" s="10">
        <f>IF(預測IC!BH22&gt;預測IC!BH$25,1,0)</f>
        <v>1</v>
      </c>
      <c r="BI22" s="10">
        <f>IF(預測IC!BI22&gt;預測IC!BI$25,1,0)</f>
        <v>1</v>
      </c>
      <c r="BJ22" s="10">
        <f>IF(預測IC!BJ22&gt;預測IC!BJ$25,1,0)</f>
        <v>1</v>
      </c>
      <c r="BK22" s="10">
        <f>IF(預測IC!BK22&gt;預測IC!BK$25,1,0)</f>
        <v>1</v>
      </c>
      <c r="BL22" s="10">
        <f>IF(預測IC!BL22&gt;預測IC!BL$25,1,0)</f>
        <v>1</v>
      </c>
      <c r="BM22" s="10">
        <f>IF(預測IC!BM22&gt;預測IC!BM$25,1,0)</f>
        <v>1</v>
      </c>
      <c r="BN22" s="10">
        <f>IF(預測IC!BN22&gt;預測IC!BN$25,1,0)</f>
        <v>1</v>
      </c>
      <c r="BO22" s="10">
        <f>IF(預測IC!BO22&gt;預測IC!BO$25,1,0)</f>
        <v>0</v>
      </c>
      <c r="BP22" s="10">
        <f>IF(預測IC!BP22&gt;預測IC!BP$25,1,0)</f>
        <v>1</v>
      </c>
      <c r="BQ22" s="10">
        <f>IF(預測IC!BQ22&gt;預測IC!BQ$25,1,0)</f>
        <v>1</v>
      </c>
      <c r="BR22" s="10">
        <f>IF(預測IC!BR22&gt;預測IC!BR$25,1,0)</f>
        <v>1</v>
      </c>
      <c r="BS22" s="10">
        <f>IF(預測IC!BS22&gt;預測IC!BS$25,1,0)</f>
        <v>0</v>
      </c>
      <c r="BT22" s="10">
        <f>IF(預測IC!BT22&gt;預測IC!BT$25,1,0)</f>
        <v>1</v>
      </c>
      <c r="BU22" s="10">
        <f>IF(預測IC!BU22&gt;預測IC!BU$25,1,0)</f>
        <v>0</v>
      </c>
      <c r="BV22" s="10">
        <f>IF(預測IC!BV22&gt;預測IC!BV$25,1,0)</f>
        <v>0</v>
      </c>
      <c r="BW22" s="10">
        <f>IF(預測IC!BW22&gt;預測IC!BW$25,1,0)</f>
        <v>1</v>
      </c>
      <c r="BX22" s="10">
        <f>IF(預測IC!BX22&gt;預測IC!BX$25,1,0)</f>
        <v>1</v>
      </c>
      <c r="BY22" s="10">
        <f>IF(預測IC!BY22&gt;預測IC!BY$25,1,0)</f>
        <v>1</v>
      </c>
      <c r="BZ22" s="10">
        <f>IF(預測IC!BZ22&gt;預測IC!BZ$25,1,0)</f>
        <v>0</v>
      </c>
      <c r="CA22" s="10">
        <f>IF(預測IC!CA22&gt;預測IC!CA$25,1,0)</f>
        <v>1</v>
      </c>
      <c r="CB22" s="10">
        <f>IF(預測IC!CB22&gt;預測IC!CB$25,1,0)</f>
        <v>0</v>
      </c>
      <c r="CC22" s="10">
        <f>IF(預測IC!CC22&gt;預測IC!CC$25,1,0)</f>
        <v>0</v>
      </c>
      <c r="CD22" s="10">
        <f>IF(預測IC!CD22&gt;預測IC!CD$25,1,0)</f>
        <v>1</v>
      </c>
      <c r="CE22" s="10">
        <f>IF(預測IC!CE22&gt;預測IC!CE$25,1,0)</f>
        <v>0</v>
      </c>
      <c r="CF22" s="10">
        <f>IF(預測IC!CF22&gt;預測IC!CF$25,1,0)</f>
        <v>1</v>
      </c>
      <c r="CG22" s="10">
        <f>IF(預測IC!CG22&gt;預測IC!CG$25,1,0)</f>
        <v>1</v>
      </c>
      <c r="CH22" s="10">
        <f>IF(預測IC!CH22&gt;預測IC!CH$25,1,0)</f>
        <v>0</v>
      </c>
      <c r="CI22" s="10">
        <f>IF(預測IC!CI22&gt;預測IC!CI$25,1,0)</f>
        <v>0</v>
      </c>
      <c r="CJ22" s="10">
        <f>IF(預測IC!CJ22&gt;預測IC!CJ$25,1,0)</f>
        <v>0</v>
      </c>
      <c r="CK22" s="10">
        <f>IF(預測IC!CK22&gt;預測IC!CK$25,1,0)</f>
        <v>0</v>
      </c>
      <c r="CL22" s="10">
        <f>IF(預測IC!CL22&gt;預測IC!CL$25,1,0)</f>
        <v>1</v>
      </c>
      <c r="CM22" s="10">
        <f>IF(預測IC!CM22&gt;預測IC!CM$25,1,0)</f>
        <v>0</v>
      </c>
      <c r="CN22" s="10">
        <f>IF(預測IC!CN22&gt;預測IC!CN$25,1,0)</f>
        <v>0</v>
      </c>
      <c r="CO22" s="10">
        <f>IF(預測IC!CO22&gt;預測IC!CO$25,1,0)</f>
        <v>0</v>
      </c>
      <c r="CP22" s="10">
        <f>IF(預測IC!CP22&gt;預測IC!CP$25,1,0)</f>
        <v>0</v>
      </c>
      <c r="CQ22" s="10">
        <f>IF(預測IC!CQ22&gt;預測IC!CQ$25,1,0)</f>
        <v>1</v>
      </c>
      <c r="CR22" s="10">
        <f>IF(預測IC!CR22&gt;預測IC!CR$25,1,0)</f>
        <v>0</v>
      </c>
      <c r="CS22" s="10">
        <f>IF(預測IC!CS22&gt;預測IC!CS$25,1,0)</f>
        <v>1</v>
      </c>
      <c r="CT22" s="10">
        <f>IF(預測IC!CT22&gt;預測IC!CT$25,1,0)</f>
        <v>1</v>
      </c>
      <c r="CU22" s="10">
        <f>IF(預測IC!CU22&gt;預測IC!CU$25,1,0)</f>
        <v>1</v>
      </c>
      <c r="CV22" s="10">
        <f>IF(預測IC!CV22&gt;預測IC!CV$25,1,0)</f>
        <v>1</v>
      </c>
      <c r="CW22" s="10">
        <f>IF(預測IC!CW22&gt;預測IC!CW$25,1,0)</f>
        <v>1</v>
      </c>
      <c r="CX22" s="10">
        <f>IF(預測IC!CX22&gt;預測IC!CX$25,1,0)</f>
        <v>1</v>
      </c>
      <c r="CY22" s="10">
        <f>IF(預測IC!CY22&gt;預測IC!CY$25,1,0)</f>
        <v>0</v>
      </c>
      <c r="CZ22" s="10">
        <f>IF(預測IC!CZ22&gt;預測IC!CZ$25,1,0)</f>
        <v>1</v>
      </c>
      <c r="DA22" s="10">
        <f>IF(預測IC!DA22&gt;預測IC!DA$25,1,0)</f>
        <v>1</v>
      </c>
      <c r="DB22" s="10">
        <f>IF(預測IC!DB22&gt;預測IC!DB$25,1,0)</f>
        <v>0</v>
      </c>
      <c r="DC22" s="10">
        <f>IF(預測IC!DC22&gt;預測IC!DC$25,1,0)</f>
        <v>1</v>
      </c>
      <c r="DD22" s="10">
        <f>IF(預測IC!DD22&gt;預測IC!DD$25,1,0)</f>
        <v>0</v>
      </c>
      <c r="DE22" s="10">
        <f>IF(預測IC!DE22&gt;預測IC!DE$25,1,0)</f>
        <v>0</v>
      </c>
      <c r="DF22" s="10">
        <f>IF(預測IC!DF22&gt;預測IC!DF$25,1,0)</f>
        <v>1</v>
      </c>
      <c r="DG22" s="10">
        <f>IF(預測IC!DG22&gt;預測IC!DG$25,1,0)</f>
        <v>0</v>
      </c>
      <c r="DH22" s="10">
        <f>IF(預測IC!DH22&gt;預測IC!DH$25,1,0)</f>
        <v>1</v>
      </c>
      <c r="DI22" s="10">
        <f>IF(預測IC!DI22&gt;預測IC!DI$25,1,0)</f>
        <v>1</v>
      </c>
      <c r="DJ22" s="10">
        <f>IF(預測IC!DJ22&gt;預測IC!DJ$25,1,0)</f>
        <v>0</v>
      </c>
      <c r="DK22" s="10">
        <f>IF(預測IC!DK22&gt;預測IC!DK$25,1,0)</f>
        <v>0</v>
      </c>
      <c r="DL22" s="10">
        <f>IF(預測IC!DL22&gt;預測IC!DL$25,1,0)</f>
        <v>1</v>
      </c>
      <c r="DM22" s="10">
        <f>IF(預測IC!DM22&gt;預測IC!DM$25,1,0)</f>
        <v>0</v>
      </c>
      <c r="DN22" s="10">
        <f>IF(預測IC!DN22&gt;預測IC!DN$25,1,0)</f>
        <v>1</v>
      </c>
      <c r="DO22" s="10">
        <f>IF(預測IC!DO22&gt;預測IC!DO$25,1,0)</f>
        <v>0</v>
      </c>
      <c r="DP22" s="10">
        <f>IF(預測IC!DP22&gt;預測IC!DP$25,1,0)</f>
        <v>0</v>
      </c>
      <c r="DQ22" s="10">
        <f>IF(預測IC!DQ22&gt;預測IC!DQ$25,1,0)</f>
        <v>0</v>
      </c>
      <c r="DR22" s="10">
        <f>IF(預測IC!DR22&gt;預測IC!DR$25,1,0)</f>
        <v>1</v>
      </c>
      <c r="DS22" s="10">
        <f>IF(預測IC!DS22&gt;預測IC!DS$25,1,0)</f>
        <v>1</v>
      </c>
      <c r="DT22" s="10">
        <f>IF(預測IC!DT22&gt;預測IC!DT$25,1,0)</f>
        <v>0</v>
      </c>
      <c r="DU22" s="10">
        <f>IF(預測IC!DU22&gt;預測IC!DU$25,1,0)</f>
        <v>0</v>
      </c>
      <c r="DV22" s="10">
        <f>IF(預測IC!DV22&gt;預測IC!DV$25,1,0)</f>
        <v>0</v>
      </c>
      <c r="DW22" s="10">
        <f>IF(預測IC!DW22&gt;預測IC!DW$25,1,0)</f>
        <v>0</v>
      </c>
      <c r="DX22" s="10">
        <f>IF(預測IC!DX22&gt;預測IC!DX$25,1,0)</f>
        <v>1</v>
      </c>
      <c r="DY22" s="10">
        <f>IF(預測IC!DY22&gt;預測IC!DY$25,1,0)</f>
        <v>1</v>
      </c>
      <c r="DZ22" s="10">
        <f>IF(預測IC!DZ22&gt;預測IC!DZ$25,1,0)</f>
        <v>0</v>
      </c>
      <c r="EA22" s="10">
        <f>IF(預測IC!EA22&gt;預測IC!EA$25,1,0)</f>
        <v>1</v>
      </c>
      <c r="EB22" s="10">
        <f>IF(預測IC!EB22&gt;預測IC!EB$25,1,0)</f>
        <v>1</v>
      </c>
      <c r="EC22" s="10">
        <f>IF(預測IC!EC22&gt;預測IC!EC$25,1,0)</f>
        <v>1</v>
      </c>
      <c r="ED22" s="10">
        <f>IF(預測IC!ED22&gt;預測IC!ED$25,1,0)</f>
        <v>0</v>
      </c>
      <c r="EE22" s="10">
        <f>IF(預測IC!EE22&gt;預測IC!EE$25,1,0)</f>
        <v>0</v>
      </c>
      <c r="EF22" s="10">
        <f>IF(預測IC!EF22&gt;預測IC!EF$25,1,0)</f>
        <v>0</v>
      </c>
      <c r="EG22" s="10">
        <f>IF(預測IC!EG22&gt;預測IC!EG$25,1,0)</f>
        <v>0</v>
      </c>
      <c r="EH22" s="10">
        <f>IF(預測IC!EH22&gt;預測IC!EH$25,1,0)</f>
        <v>1</v>
      </c>
      <c r="EI22" s="10">
        <f>IF(預測IC!EI22&gt;預測IC!EI$25,1,0)</f>
        <v>0</v>
      </c>
      <c r="EJ22" s="10">
        <f>IF(預測IC!EJ22&gt;預測IC!EJ$25,1,0)</f>
        <v>1</v>
      </c>
      <c r="EK22" s="10">
        <f>IF(預測IC!EK22&gt;預測IC!EK$25,1,0)</f>
        <v>0</v>
      </c>
      <c r="EL22" s="10">
        <f>IF(預測IC!EL22&gt;預測IC!EL$25,1,0)</f>
        <v>0</v>
      </c>
      <c r="EM22" s="6">
        <f t="shared" si="11"/>
        <v>72</v>
      </c>
      <c r="EN22" s="19">
        <f t="shared" si="12"/>
        <v>0.51428571428571423</v>
      </c>
    </row>
    <row r="23" spans="1:144" x14ac:dyDescent="0.3">
      <c r="A23" s="18">
        <v>512</v>
      </c>
      <c r="B23" s="18">
        <f t="shared" si="10"/>
        <v>2</v>
      </c>
      <c r="C23" s="10">
        <f>IF(預測IC!C23&gt;預測IC!C$25,1,0)</f>
        <v>1</v>
      </c>
      <c r="D23" s="10">
        <f>IF(預測IC!D23&gt;預測IC!D$25,1,0)</f>
        <v>1</v>
      </c>
      <c r="E23" s="10">
        <f>IF(預測IC!E23&gt;預測IC!E$25,1,0)</f>
        <v>0</v>
      </c>
      <c r="F23" s="10">
        <f>IF(預測IC!F23&gt;預測IC!F$25,1,0)</f>
        <v>1</v>
      </c>
      <c r="G23" s="10">
        <f>IF(預測IC!G23&gt;預測IC!G$25,1,0)</f>
        <v>0</v>
      </c>
      <c r="H23" s="10">
        <f>IF(預測IC!H23&gt;預測IC!H$25,1,0)</f>
        <v>0</v>
      </c>
      <c r="I23" s="10">
        <f>IF(預測IC!I23&gt;預測IC!I$25,1,0)</f>
        <v>1</v>
      </c>
      <c r="J23" s="10">
        <f>IF(預測IC!J23&gt;預測IC!J$25,1,0)</f>
        <v>1</v>
      </c>
      <c r="K23" s="10">
        <f>IF(預測IC!K23&gt;預測IC!K$25,1,0)</f>
        <v>0</v>
      </c>
      <c r="L23" s="10">
        <f>IF(預測IC!L23&gt;預測IC!L$25,1,0)</f>
        <v>0</v>
      </c>
      <c r="M23" s="10">
        <f>IF(預測IC!M23&gt;預測IC!M$25,1,0)</f>
        <v>0</v>
      </c>
      <c r="N23" s="10">
        <f>IF(預測IC!N23&gt;預測IC!N$25,1,0)</f>
        <v>1</v>
      </c>
      <c r="O23" s="10">
        <f>IF(預測IC!O23&gt;預測IC!O$25,1,0)</f>
        <v>0</v>
      </c>
      <c r="P23" s="10">
        <f>IF(預測IC!P23&gt;預測IC!P$25,1,0)</f>
        <v>0</v>
      </c>
      <c r="Q23" s="10">
        <f>IF(預測IC!Q23&gt;預測IC!Q$25,1,0)</f>
        <v>1</v>
      </c>
      <c r="R23" s="10">
        <f>IF(預測IC!R23&gt;預測IC!R$25,1,0)</f>
        <v>0</v>
      </c>
      <c r="S23" s="10">
        <f>IF(預測IC!S23&gt;預測IC!S$25,1,0)</f>
        <v>0</v>
      </c>
      <c r="T23" s="10">
        <f>IF(預測IC!T23&gt;預測IC!T$25,1,0)</f>
        <v>1</v>
      </c>
      <c r="U23" s="10">
        <f>IF(預測IC!U23&gt;預測IC!U$25,1,0)</f>
        <v>1</v>
      </c>
      <c r="V23" s="10">
        <f>IF(預測IC!V23&gt;預測IC!V$25,1,0)</f>
        <v>1</v>
      </c>
      <c r="W23" s="10">
        <f>IF(預測IC!W23&gt;預測IC!W$25,1,0)</f>
        <v>0</v>
      </c>
      <c r="X23" s="10">
        <f>IF(預測IC!X23&gt;預測IC!X$25,1,0)</f>
        <v>1</v>
      </c>
      <c r="Y23" s="10">
        <f>IF(預測IC!Y23&gt;預測IC!Y$25,1,0)</f>
        <v>1</v>
      </c>
      <c r="Z23" s="10">
        <f>IF(預測IC!Z23&gt;預測IC!Z$25,1,0)</f>
        <v>0</v>
      </c>
      <c r="AA23" s="10">
        <f>IF(預測IC!AA23&gt;預測IC!AA$25,1,0)</f>
        <v>0</v>
      </c>
      <c r="AB23" s="10">
        <f>IF(預測IC!AB23&gt;預測IC!AB$25,1,0)</f>
        <v>0</v>
      </c>
      <c r="AC23" s="10">
        <f>IF(預測IC!AC23&gt;預測IC!AC$25,1,0)</f>
        <v>0</v>
      </c>
      <c r="AD23" s="10">
        <f>IF(預測IC!AD23&gt;預測IC!AD$25,1,0)</f>
        <v>1</v>
      </c>
      <c r="AE23" s="10">
        <f>IF(預測IC!AE23&gt;預測IC!AE$25,1,0)</f>
        <v>0</v>
      </c>
      <c r="AF23" s="10">
        <f>IF(預測IC!AF23&gt;預測IC!AF$25,1,0)</f>
        <v>1</v>
      </c>
      <c r="AG23" s="10">
        <f>IF(預測IC!AG23&gt;預測IC!AG$25,1,0)</f>
        <v>0</v>
      </c>
      <c r="AH23" s="10">
        <f>IF(預測IC!AH23&gt;預測IC!AH$25,1,0)</f>
        <v>0</v>
      </c>
      <c r="AI23" s="10">
        <f>IF(預測IC!AI23&gt;預測IC!AI$25,1,0)</f>
        <v>1</v>
      </c>
      <c r="AJ23" s="10">
        <f>IF(預測IC!AJ23&gt;預測IC!AJ$25,1,0)</f>
        <v>1</v>
      </c>
      <c r="AK23" s="10">
        <f>IF(預測IC!AK23&gt;預測IC!AK$25,1,0)</f>
        <v>1</v>
      </c>
      <c r="AL23" s="10">
        <f>IF(預測IC!AL23&gt;預測IC!AL$25,1,0)</f>
        <v>1</v>
      </c>
      <c r="AM23" s="10">
        <f>IF(預測IC!AM23&gt;預測IC!AM$25,1,0)</f>
        <v>0</v>
      </c>
      <c r="AN23" s="10">
        <f>IF(預測IC!AN23&gt;預測IC!AN$25,1,0)</f>
        <v>0</v>
      </c>
      <c r="AO23" s="10">
        <f>IF(預測IC!AO23&gt;預測IC!AO$25,1,0)</f>
        <v>1</v>
      </c>
      <c r="AP23" s="10">
        <f>IF(預測IC!AP23&gt;預測IC!AP$25,1,0)</f>
        <v>0</v>
      </c>
      <c r="AQ23" s="10">
        <f>IF(預測IC!AQ23&gt;預測IC!AQ$25,1,0)</f>
        <v>1</v>
      </c>
      <c r="AR23" s="10">
        <f>IF(預測IC!AR23&gt;預測IC!AR$25,1,0)</f>
        <v>1</v>
      </c>
      <c r="AS23" s="10">
        <f>IF(預測IC!AS23&gt;預測IC!AS$25,1,0)</f>
        <v>1</v>
      </c>
      <c r="AT23" s="10">
        <f>IF(預測IC!AT23&gt;預測IC!AT$25,1,0)</f>
        <v>0</v>
      </c>
      <c r="AU23" s="10">
        <f>IF(預測IC!AU23&gt;預測IC!AU$25,1,0)</f>
        <v>1</v>
      </c>
      <c r="AV23" s="10">
        <f>IF(預測IC!AV23&gt;預測IC!AV$25,1,0)</f>
        <v>0</v>
      </c>
      <c r="AW23" s="10">
        <f>IF(預測IC!AW23&gt;預測IC!AW$25,1,0)</f>
        <v>1</v>
      </c>
      <c r="AX23" s="10">
        <f>IF(預測IC!AX23&gt;預測IC!AX$25,1,0)</f>
        <v>0</v>
      </c>
      <c r="AY23" s="10">
        <f>IF(預測IC!AY23&gt;預測IC!AY$25,1,0)</f>
        <v>0</v>
      </c>
      <c r="AZ23" s="10">
        <f>IF(預測IC!AZ23&gt;預測IC!AZ$25,1,0)</f>
        <v>1</v>
      </c>
      <c r="BA23" s="10">
        <f>IF(預測IC!BA23&gt;預測IC!BA$25,1,0)</f>
        <v>0</v>
      </c>
      <c r="BB23" s="10">
        <f>IF(預測IC!BB23&gt;預測IC!BB$25,1,0)</f>
        <v>0</v>
      </c>
      <c r="BC23" s="10">
        <f>IF(預測IC!BC23&gt;預測IC!BC$25,1,0)</f>
        <v>0</v>
      </c>
      <c r="BD23" s="10">
        <f>IF(預測IC!BD23&gt;預測IC!BD$25,1,0)</f>
        <v>1</v>
      </c>
      <c r="BE23" s="10">
        <f>IF(預測IC!BE23&gt;預測IC!BE$25,1,0)</f>
        <v>0</v>
      </c>
      <c r="BF23" s="10">
        <f>IF(預測IC!BF23&gt;預測IC!BF$25,1,0)</f>
        <v>0</v>
      </c>
      <c r="BG23" s="10">
        <f>IF(預測IC!BG23&gt;預測IC!BG$25,1,0)</f>
        <v>1</v>
      </c>
      <c r="BH23" s="10">
        <f>IF(預測IC!BH23&gt;預測IC!BH$25,1,0)</f>
        <v>1</v>
      </c>
      <c r="BI23" s="10">
        <f>IF(預測IC!BI23&gt;預測IC!BI$25,1,0)</f>
        <v>0</v>
      </c>
      <c r="BJ23" s="10">
        <f>IF(預測IC!BJ23&gt;預測IC!BJ$25,1,0)</f>
        <v>1</v>
      </c>
      <c r="BK23" s="10">
        <f>IF(預測IC!BK23&gt;預測IC!BK$25,1,0)</f>
        <v>1</v>
      </c>
      <c r="BL23" s="10">
        <f>IF(預測IC!BL23&gt;預測IC!BL$25,1,0)</f>
        <v>1</v>
      </c>
      <c r="BM23" s="10">
        <f>IF(預測IC!BM23&gt;預測IC!BM$25,1,0)</f>
        <v>0</v>
      </c>
      <c r="BN23" s="10">
        <f>IF(預測IC!BN23&gt;預測IC!BN$25,1,0)</f>
        <v>0</v>
      </c>
      <c r="BO23" s="10">
        <f>IF(預測IC!BO23&gt;預測IC!BO$25,1,0)</f>
        <v>0</v>
      </c>
      <c r="BP23" s="10">
        <f>IF(預測IC!BP23&gt;預測IC!BP$25,1,0)</f>
        <v>1</v>
      </c>
      <c r="BQ23" s="10">
        <f>IF(預測IC!BQ23&gt;預測IC!BQ$25,1,0)</f>
        <v>1</v>
      </c>
      <c r="BR23" s="10">
        <f>IF(預測IC!BR23&gt;預測IC!BR$25,1,0)</f>
        <v>1</v>
      </c>
      <c r="BS23" s="10">
        <f>IF(預測IC!BS23&gt;預測IC!BS$25,1,0)</f>
        <v>0</v>
      </c>
      <c r="BT23" s="10">
        <f>IF(預測IC!BT23&gt;預測IC!BT$25,1,0)</f>
        <v>1</v>
      </c>
      <c r="BU23" s="10">
        <f>IF(預測IC!BU23&gt;預測IC!BU$25,1,0)</f>
        <v>0</v>
      </c>
      <c r="BV23" s="10">
        <f>IF(預測IC!BV23&gt;預測IC!BV$25,1,0)</f>
        <v>0</v>
      </c>
      <c r="BW23" s="10">
        <f>IF(預測IC!BW23&gt;預測IC!BW$25,1,0)</f>
        <v>1</v>
      </c>
      <c r="BX23" s="10">
        <f>IF(預測IC!BX23&gt;預測IC!BX$25,1,0)</f>
        <v>0</v>
      </c>
      <c r="BY23" s="10">
        <f>IF(預測IC!BY23&gt;預測IC!BY$25,1,0)</f>
        <v>1</v>
      </c>
      <c r="BZ23" s="10">
        <f>IF(預測IC!BZ23&gt;預測IC!BZ$25,1,0)</f>
        <v>0</v>
      </c>
      <c r="CA23" s="10">
        <f>IF(預測IC!CA23&gt;預測IC!CA$25,1,0)</f>
        <v>1</v>
      </c>
      <c r="CB23" s="10">
        <f>IF(預測IC!CB23&gt;預測IC!CB$25,1,0)</f>
        <v>0</v>
      </c>
      <c r="CC23" s="10">
        <f>IF(預測IC!CC23&gt;預測IC!CC$25,1,0)</f>
        <v>0</v>
      </c>
      <c r="CD23" s="10">
        <f>IF(預測IC!CD23&gt;預測IC!CD$25,1,0)</f>
        <v>1</v>
      </c>
      <c r="CE23" s="10">
        <f>IF(預測IC!CE23&gt;預測IC!CE$25,1,0)</f>
        <v>0</v>
      </c>
      <c r="CF23" s="10">
        <f>IF(預測IC!CF23&gt;預測IC!CF$25,1,0)</f>
        <v>1</v>
      </c>
      <c r="CG23" s="10">
        <f>IF(預測IC!CG23&gt;預測IC!CG$25,1,0)</f>
        <v>1</v>
      </c>
      <c r="CH23" s="10">
        <f>IF(預測IC!CH23&gt;預測IC!CH$25,1,0)</f>
        <v>0</v>
      </c>
      <c r="CI23" s="10">
        <f>IF(預測IC!CI23&gt;預測IC!CI$25,1,0)</f>
        <v>0</v>
      </c>
      <c r="CJ23" s="10">
        <f>IF(預測IC!CJ23&gt;預測IC!CJ$25,1,0)</f>
        <v>0</v>
      </c>
      <c r="CK23" s="10">
        <f>IF(預測IC!CK23&gt;預測IC!CK$25,1,0)</f>
        <v>0</v>
      </c>
      <c r="CL23" s="10">
        <f>IF(預測IC!CL23&gt;預測IC!CL$25,1,0)</f>
        <v>1</v>
      </c>
      <c r="CM23" s="10">
        <f>IF(預測IC!CM23&gt;預測IC!CM$25,1,0)</f>
        <v>0</v>
      </c>
      <c r="CN23" s="10">
        <f>IF(預測IC!CN23&gt;預測IC!CN$25,1,0)</f>
        <v>0</v>
      </c>
      <c r="CO23" s="10">
        <f>IF(預測IC!CO23&gt;預測IC!CO$25,1,0)</f>
        <v>0</v>
      </c>
      <c r="CP23" s="10">
        <f>IF(預測IC!CP23&gt;預測IC!CP$25,1,0)</f>
        <v>0</v>
      </c>
      <c r="CQ23" s="10">
        <f>IF(預測IC!CQ23&gt;預測IC!CQ$25,1,0)</f>
        <v>1</v>
      </c>
      <c r="CR23" s="10">
        <f>IF(預測IC!CR23&gt;預測IC!CR$25,1,0)</f>
        <v>0</v>
      </c>
      <c r="CS23" s="10">
        <f>IF(預測IC!CS23&gt;預測IC!CS$25,1,0)</f>
        <v>0</v>
      </c>
      <c r="CT23" s="10">
        <f>IF(預測IC!CT23&gt;預測IC!CT$25,1,0)</f>
        <v>1</v>
      </c>
      <c r="CU23" s="10">
        <f>IF(預測IC!CU23&gt;預測IC!CU$25,1,0)</f>
        <v>1</v>
      </c>
      <c r="CV23" s="10">
        <f>IF(預測IC!CV23&gt;預測IC!CV$25,1,0)</f>
        <v>1</v>
      </c>
      <c r="CW23" s="10">
        <f>IF(預測IC!CW23&gt;預測IC!CW$25,1,0)</f>
        <v>0</v>
      </c>
      <c r="CX23" s="10">
        <f>IF(預測IC!CX23&gt;預測IC!CX$25,1,0)</f>
        <v>1</v>
      </c>
      <c r="CY23" s="10">
        <f>IF(預測IC!CY23&gt;預測IC!CY$25,1,0)</f>
        <v>0</v>
      </c>
      <c r="CZ23" s="10">
        <f>IF(預測IC!CZ23&gt;預測IC!CZ$25,1,0)</f>
        <v>1</v>
      </c>
      <c r="DA23" s="10">
        <f>IF(預測IC!DA23&gt;預測IC!DA$25,1,0)</f>
        <v>1</v>
      </c>
      <c r="DB23" s="10">
        <f>IF(預測IC!DB23&gt;預測IC!DB$25,1,0)</f>
        <v>0</v>
      </c>
      <c r="DC23" s="10">
        <f>IF(預測IC!DC23&gt;預測IC!DC$25,1,0)</f>
        <v>1</v>
      </c>
      <c r="DD23" s="10">
        <f>IF(預測IC!DD23&gt;預測IC!DD$25,1,0)</f>
        <v>1</v>
      </c>
      <c r="DE23" s="10">
        <f>IF(預測IC!DE23&gt;預測IC!DE$25,1,0)</f>
        <v>0</v>
      </c>
      <c r="DF23" s="10">
        <f>IF(預測IC!DF23&gt;預測IC!DF$25,1,0)</f>
        <v>1</v>
      </c>
      <c r="DG23" s="10">
        <f>IF(預測IC!DG23&gt;預測IC!DG$25,1,0)</f>
        <v>0</v>
      </c>
      <c r="DH23" s="10">
        <f>IF(預測IC!DH23&gt;預測IC!DH$25,1,0)</f>
        <v>1</v>
      </c>
      <c r="DI23" s="10">
        <f>IF(預測IC!DI23&gt;預測IC!DI$25,1,0)</f>
        <v>1</v>
      </c>
      <c r="DJ23" s="10">
        <f>IF(預測IC!DJ23&gt;預測IC!DJ$25,1,0)</f>
        <v>1</v>
      </c>
      <c r="DK23" s="10">
        <f>IF(預測IC!DK23&gt;預測IC!DK$25,1,0)</f>
        <v>1</v>
      </c>
      <c r="DL23" s="10">
        <f>IF(預測IC!DL23&gt;預測IC!DL$25,1,0)</f>
        <v>1</v>
      </c>
      <c r="DM23" s="10">
        <f>IF(預測IC!DM23&gt;預測IC!DM$25,1,0)</f>
        <v>0</v>
      </c>
      <c r="DN23" s="10">
        <f>IF(預測IC!DN23&gt;預測IC!DN$25,1,0)</f>
        <v>1</v>
      </c>
      <c r="DO23" s="10">
        <f>IF(預測IC!DO23&gt;預測IC!DO$25,1,0)</f>
        <v>0</v>
      </c>
      <c r="DP23" s="10">
        <f>IF(預測IC!DP23&gt;預測IC!DP$25,1,0)</f>
        <v>1</v>
      </c>
      <c r="DQ23" s="10">
        <f>IF(預測IC!DQ23&gt;預測IC!DQ$25,1,0)</f>
        <v>0</v>
      </c>
      <c r="DR23" s="10">
        <f>IF(預測IC!DR23&gt;預測IC!DR$25,1,0)</f>
        <v>1</v>
      </c>
      <c r="DS23" s="10">
        <f>IF(預測IC!DS23&gt;預測IC!DS$25,1,0)</f>
        <v>1</v>
      </c>
      <c r="DT23" s="10">
        <f>IF(預測IC!DT23&gt;預測IC!DT$25,1,0)</f>
        <v>0</v>
      </c>
      <c r="DU23" s="10">
        <f>IF(預測IC!DU23&gt;預測IC!DU$25,1,0)</f>
        <v>0</v>
      </c>
      <c r="DV23" s="10">
        <f>IF(預測IC!DV23&gt;預測IC!DV$25,1,0)</f>
        <v>1</v>
      </c>
      <c r="DW23" s="10">
        <f>IF(預測IC!DW23&gt;預測IC!DW$25,1,0)</f>
        <v>0</v>
      </c>
      <c r="DX23" s="10">
        <f>IF(預測IC!DX23&gt;預測IC!DX$25,1,0)</f>
        <v>1</v>
      </c>
      <c r="DY23" s="10">
        <f>IF(預測IC!DY23&gt;預測IC!DY$25,1,0)</f>
        <v>1</v>
      </c>
      <c r="DZ23" s="10">
        <f>IF(預測IC!DZ23&gt;預測IC!DZ$25,1,0)</f>
        <v>0</v>
      </c>
      <c r="EA23" s="10">
        <f>IF(預測IC!EA23&gt;預測IC!EA$25,1,0)</f>
        <v>1</v>
      </c>
      <c r="EB23" s="10">
        <f>IF(預測IC!EB23&gt;預測IC!EB$25,1,0)</f>
        <v>1</v>
      </c>
      <c r="EC23" s="10">
        <f>IF(預測IC!EC23&gt;預測IC!EC$25,1,0)</f>
        <v>1</v>
      </c>
      <c r="ED23" s="10">
        <f>IF(預測IC!ED23&gt;預測IC!ED$25,1,0)</f>
        <v>0</v>
      </c>
      <c r="EE23" s="10">
        <f>IF(預測IC!EE23&gt;預測IC!EE$25,1,0)</f>
        <v>0</v>
      </c>
      <c r="EF23" s="10">
        <f>IF(預測IC!EF23&gt;預測IC!EF$25,1,0)</f>
        <v>0</v>
      </c>
      <c r="EG23" s="10">
        <f>IF(預測IC!EG23&gt;預測IC!EG$25,1,0)</f>
        <v>1</v>
      </c>
      <c r="EH23" s="10">
        <f>IF(預測IC!EH23&gt;預測IC!EH$25,1,0)</f>
        <v>0</v>
      </c>
      <c r="EI23" s="10">
        <f>IF(預測IC!EI23&gt;預測IC!EI$25,1,0)</f>
        <v>0</v>
      </c>
      <c r="EJ23" s="10">
        <f>IF(預測IC!EJ23&gt;預測IC!EJ$25,1,0)</f>
        <v>0</v>
      </c>
      <c r="EK23" s="10">
        <f>IF(預測IC!EK23&gt;預測IC!EK$25,1,0)</f>
        <v>0</v>
      </c>
      <c r="EL23" s="10">
        <f>IF(預測IC!EL23&gt;預測IC!EL$25,1,0)</f>
        <v>0</v>
      </c>
      <c r="EM23" s="6">
        <f t="shared" si="11"/>
        <v>68</v>
      </c>
      <c r="EN23" s="19">
        <f t="shared" si="12"/>
        <v>0.48571428571428571</v>
      </c>
    </row>
    <row r="24" spans="1:144" x14ac:dyDescent="0.3">
      <c r="A24" s="18">
        <v>1051</v>
      </c>
      <c r="B24" s="18">
        <f t="shared" si="10"/>
        <v>1</v>
      </c>
      <c r="C24" s="10">
        <f>IF(預測IC!C24&gt;預測IC!C$25,1,0)</f>
        <v>1</v>
      </c>
      <c r="D24" s="10">
        <f>IF(預測IC!D24&gt;預測IC!D$25,1,0)</f>
        <v>1</v>
      </c>
      <c r="E24" s="10">
        <f>IF(預測IC!E24&gt;預測IC!E$25,1,0)</f>
        <v>0</v>
      </c>
      <c r="F24" s="10">
        <f>IF(預測IC!F24&gt;預測IC!F$25,1,0)</f>
        <v>1</v>
      </c>
      <c r="G24" s="10">
        <f>IF(預測IC!G24&gt;預測IC!G$25,1,0)</f>
        <v>0</v>
      </c>
      <c r="H24" s="10">
        <f>IF(預測IC!H24&gt;預測IC!H$25,1,0)</f>
        <v>1</v>
      </c>
      <c r="I24" s="10">
        <f>IF(預測IC!I24&gt;預測IC!I$25,1,0)</f>
        <v>1</v>
      </c>
      <c r="J24" s="10">
        <f>IF(預測IC!J24&gt;預測IC!J$25,1,0)</f>
        <v>0</v>
      </c>
      <c r="K24" s="10">
        <f>IF(預測IC!K24&gt;預測IC!K$25,1,0)</f>
        <v>0</v>
      </c>
      <c r="L24" s="10">
        <f>IF(預測IC!L24&gt;預測IC!L$25,1,0)</f>
        <v>0</v>
      </c>
      <c r="M24" s="10">
        <f>IF(預測IC!M24&gt;預測IC!M$25,1,0)</f>
        <v>0</v>
      </c>
      <c r="N24" s="10">
        <f>IF(預測IC!N24&gt;預測IC!N$25,1,0)</f>
        <v>1</v>
      </c>
      <c r="O24" s="10">
        <f>IF(預測IC!O24&gt;預測IC!O$25,1,0)</f>
        <v>1</v>
      </c>
      <c r="P24" s="10">
        <f>IF(預測IC!P24&gt;預測IC!P$25,1,0)</f>
        <v>0</v>
      </c>
      <c r="Q24" s="10">
        <f>IF(預測IC!Q24&gt;預測IC!Q$25,1,0)</f>
        <v>1</v>
      </c>
      <c r="R24" s="10">
        <f>IF(預測IC!R24&gt;預測IC!R$25,1,0)</f>
        <v>1</v>
      </c>
      <c r="S24" s="10">
        <f>IF(預測IC!S24&gt;預測IC!S$25,1,0)</f>
        <v>0</v>
      </c>
      <c r="T24" s="10">
        <f>IF(預測IC!T24&gt;預測IC!T$25,1,0)</f>
        <v>1</v>
      </c>
      <c r="U24" s="10">
        <f>IF(預測IC!U24&gt;預測IC!U$25,1,0)</f>
        <v>1</v>
      </c>
      <c r="V24" s="10">
        <f>IF(預測IC!V24&gt;預測IC!V$25,1,0)</f>
        <v>1</v>
      </c>
      <c r="W24" s="10">
        <f>IF(預測IC!W24&gt;預測IC!W$25,1,0)</f>
        <v>0</v>
      </c>
      <c r="X24" s="10">
        <f>IF(預測IC!X24&gt;預測IC!X$25,1,0)</f>
        <v>0</v>
      </c>
      <c r="Y24" s="10">
        <f>IF(預測IC!Y24&gt;預測IC!Y$25,1,0)</f>
        <v>1</v>
      </c>
      <c r="Z24" s="10">
        <f>IF(預測IC!Z24&gt;預測IC!Z$25,1,0)</f>
        <v>0</v>
      </c>
      <c r="AA24" s="10">
        <f>IF(預測IC!AA24&gt;預測IC!AA$25,1,0)</f>
        <v>0</v>
      </c>
      <c r="AB24" s="10">
        <f>IF(預測IC!AB24&gt;預測IC!AB$25,1,0)</f>
        <v>0</v>
      </c>
      <c r="AC24" s="10">
        <f>IF(預測IC!AC24&gt;預測IC!AC$25,1,0)</f>
        <v>0</v>
      </c>
      <c r="AD24" s="10">
        <f>IF(預測IC!AD24&gt;預測IC!AD$25,1,0)</f>
        <v>0</v>
      </c>
      <c r="AE24" s="10">
        <f>IF(預測IC!AE24&gt;預測IC!AE$25,1,0)</f>
        <v>1</v>
      </c>
      <c r="AF24" s="10">
        <f>IF(預測IC!AF24&gt;預測IC!AF$25,1,0)</f>
        <v>1</v>
      </c>
      <c r="AG24" s="10">
        <f>IF(預測IC!AG24&gt;預測IC!AG$25,1,0)</f>
        <v>0</v>
      </c>
      <c r="AH24" s="10">
        <f>IF(預測IC!AH24&gt;預測IC!AH$25,1,0)</f>
        <v>1</v>
      </c>
      <c r="AI24" s="10">
        <f>IF(預測IC!AI24&gt;預測IC!AI$25,1,0)</f>
        <v>0</v>
      </c>
      <c r="AJ24" s="10">
        <f>IF(預測IC!AJ24&gt;預測IC!AJ$25,1,0)</f>
        <v>1</v>
      </c>
      <c r="AK24" s="10">
        <f>IF(預測IC!AK24&gt;預測IC!AK$25,1,0)</f>
        <v>1</v>
      </c>
      <c r="AL24" s="10">
        <f>IF(預測IC!AL24&gt;預測IC!AL$25,1,0)</f>
        <v>1</v>
      </c>
      <c r="AM24" s="10">
        <f>IF(預測IC!AM24&gt;預測IC!AM$25,1,0)</f>
        <v>0</v>
      </c>
      <c r="AN24" s="10">
        <f>IF(預測IC!AN24&gt;預測IC!AN$25,1,0)</f>
        <v>0</v>
      </c>
      <c r="AO24" s="10">
        <f>IF(預測IC!AO24&gt;預測IC!AO$25,1,0)</f>
        <v>0</v>
      </c>
      <c r="AP24" s="10">
        <f>IF(預測IC!AP24&gt;預測IC!AP$25,1,0)</f>
        <v>0</v>
      </c>
      <c r="AQ24" s="10">
        <f>IF(預測IC!AQ24&gt;預測IC!AQ$25,1,0)</f>
        <v>1</v>
      </c>
      <c r="AR24" s="10">
        <f>IF(預測IC!AR24&gt;預測IC!AR$25,1,0)</f>
        <v>0</v>
      </c>
      <c r="AS24" s="10">
        <f>IF(預測IC!AS24&gt;預測IC!AS$25,1,0)</f>
        <v>1</v>
      </c>
      <c r="AT24" s="10">
        <f>IF(預測IC!AT24&gt;預測IC!AT$25,1,0)</f>
        <v>0</v>
      </c>
      <c r="AU24" s="10">
        <f>IF(預測IC!AU24&gt;預測IC!AU$25,1,0)</f>
        <v>0</v>
      </c>
      <c r="AV24" s="10">
        <f>IF(預測IC!AV24&gt;預測IC!AV$25,1,0)</f>
        <v>0</v>
      </c>
      <c r="AW24" s="10">
        <f>IF(預測IC!AW24&gt;預測IC!AW$25,1,0)</f>
        <v>1</v>
      </c>
      <c r="AX24" s="10">
        <f>IF(預測IC!AX24&gt;預測IC!AX$25,1,0)</f>
        <v>1</v>
      </c>
      <c r="AY24" s="10">
        <f>IF(預測IC!AY24&gt;預測IC!AY$25,1,0)</f>
        <v>0</v>
      </c>
      <c r="AZ24" s="10">
        <f>IF(預測IC!AZ24&gt;預測IC!AZ$25,1,0)</f>
        <v>1</v>
      </c>
      <c r="BA24" s="10">
        <f>IF(預測IC!BA24&gt;預測IC!BA$25,1,0)</f>
        <v>1</v>
      </c>
      <c r="BB24" s="10">
        <f>IF(預測IC!BB24&gt;預測IC!BB$25,1,0)</f>
        <v>0</v>
      </c>
      <c r="BC24" s="10">
        <f>IF(預測IC!BC24&gt;預測IC!BC$25,1,0)</f>
        <v>0</v>
      </c>
      <c r="BD24" s="10">
        <f>IF(預測IC!BD24&gt;預測IC!BD$25,1,0)</f>
        <v>1</v>
      </c>
      <c r="BE24" s="10">
        <f>IF(預測IC!BE24&gt;預測IC!BE$25,1,0)</f>
        <v>0</v>
      </c>
      <c r="BF24" s="10">
        <f>IF(預測IC!BF24&gt;預測IC!BF$25,1,0)</f>
        <v>0</v>
      </c>
      <c r="BG24" s="10">
        <f>IF(預測IC!BG24&gt;預測IC!BG$25,1,0)</f>
        <v>1</v>
      </c>
      <c r="BH24" s="10">
        <f>IF(預測IC!BH24&gt;預測IC!BH$25,1,0)</f>
        <v>1</v>
      </c>
      <c r="BI24" s="10">
        <f>IF(預測IC!BI24&gt;預測IC!BI$25,1,0)</f>
        <v>0</v>
      </c>
      <c r="BJ24" s="10">
        <f>IF(預測IC!BJ24&gt;預測IC!BJ$25,1,0)</f>
        <v>1</v>
      </c>
      <c r="BK24" s="10">
        <f>IF(預測IC!BK24&gt;預測IC!BK$25,1,0)</f>
        <v>1</v>
      </c>
      <c r="BL24" s="10">
        <f>IF(預測IC!BL24&gt;預測IC!BL$25,1,0)</f>
        <v>1</v>
      </c>
      <c r="BM24" s="10">
        <f>IF(預測IC!BM24&gt;預測IC!BM$25,1,0)</f>
        <v>0</v>
      </c>
      <c r="BN24" s="10">
        <f>IF(預測IC!BN24&gt;預測IC!BN$25,1,0)</f>
        <v>0</v>
      </c>
      <c r="BO24" s="10">
        <f>IF(預測IC!BO24&gt;預測IC!BO$25,1,0)</f>
        <v>0</v>
      </c>
      <c r="BP24" s="10">
        <f>IF(預測IC!BP24&gt;預測IC!BP$25,1,0)</f>
        <v>1</v>
      </c>
      <c r="BQ24" s="10">
        <f>IF(預測IC!BQ24&gt;預測IC!BQ$25,1,0)</f>
        <v>0</v>
      </c>
      <c r="BR24" s="10">
        <f>IF(預測IC!BR24&gt;預測IC!BR$25,1,0)</f>
        <v>1</v>
      </c>
      <c r="BS24" s="10">
        <f>IF(預測IC!BS24&gt;預測IC!BS$25,1,0)</f>
        <v>0</v>
      </c>
      <c r="BT24" s="10">
        <f>IF(預測IC!BT24&gt;預測IC!BT$25,1,0)</f>
        <v>1</v>
      </c>
      <c r="BU24" s="10">
        <f>IF(預測IC!BU24&gt;預測IC!BU$25,1,0)</f>
        <v>0</v>
      </c>
      <c r="BV24" s="10">
        <f>IF(預測IC!BV24&gt;預測IC!BV$25,1,0)</f>
        <v>1</v>
      </c>
      <c r="BW24" s="10">
        <f>IF(預測IC!BW24&gt;預測IC!BW$25,1,0)</f>
        <v>1</v>
      </c>
      <c r="BX24" s="10">
        <f>IF(預測IC!BX24&gt;預測IC!BX$25,1,0)</f>
        <v>0</v>
      </c>
      <c r="BY24" s="10">
        <f>IF(預測IC!BY24&gt;預測IC!BY$25,1,0)</f>
        <v>1</v>
      </c>
      <c r="BZ24" s="10">
        <f>IF(預測IC!BZ24&gt;預測IC!BZ$25,1,0)</f>
        <v>0</v>
      </c>
      <c r="CA24" s="10">
        <f>IF(預測IC!CA24&gt;預測IC!CA$25,1,0)</f>
        <v>1</v>
      </c>
      <c r="CB24" s="10">
        <f>IF(預測IC!CB24&gt;預測IC!CB$25,1,0)</f>
        <v>0</v>
      </c>
      <c r="CC24" s="10">
        <f>IF(預測IC!CC24&gt;預測IC!CC$25,1,0)</f>
        <v>0</v>
      </c>
      <c r="CD24" s="10">
        <f>IF(預測IC!CD24&gt;預測IC!CD$25,1,0)</f>
        <v>1</v>
      </c>
      <c r="CE24" s="10">
        <f>IF(預測IC!CE24&gt;預測IC!CE$25,1,0)</f>
        <v>0</v>
      </c>
      <c r="CF24" s="10">
        <f>IF(預測IC!CF24&gt;預測IC!CF$25,1,0)</f>
        <v>1</v>
      </c>
      <c r="CG24" s="10">
        <f>IF(預測IC!CG24&gt;預測IC!CG$25,1,0)</f>
        <v>1</v>
      </c>
      <c r="CH24" s="10">
        <f>IF(預測IC!CH24&gt;預測IC!CH$25,1,0)</f>
        <v>0</v>
      </c>
      <c r="CI24" s="10">
        <f>IF(預測IC!CI24&gt;預測IC!CI$25,1,0)</f>
        <v>0</v>
      </c>
      <c r="CJ24" s="10">
        <f>IF(預測IC!CJ24&gt;預測IC!CJ$25,1,0)</f>
        <v>0</v>
      </c>
      <c r="CK24" s="10">
        <f>IF(預測IC!CK24&gt;預測IC!CK$25,1,0)</f>
        <v>0</v>
      </c>
      <c r="CL24" s="10">
        <f>IF(預測IC!CL24&gt;預測IC!CL$25,1,0)</f>
        <v>1</v>
      </c>
      <c r="CM24" s="10">
        <f>IF(預測IC!CM24&gt;預測IC!CM$25,1,0)</f>
        <v>0</v>
      </c>
      <c r="CN24" s="10">
        <f>IF(預測IC!CN24&gt;預測IC!CN$25,1,0)</f>
        <v>0</v>
      </c>
      <c r="CO24" s="10">
        <f>IF(預測IC!CO24&gt;預測IC!CO$25,1,0)</f>
        <v>0</v>
      </c>
      <c r="CP24" s="10">
        <f>IF(預測IC!CP24&gt;預測IC!CP$25,1,0)</f>
        <v>0</v>
      </c>
      <c r="CQ24" s="10">
        <f>IF(預測IC!CQ24&gt;預測IC!CQ$25,1,0)</f>
        <v>1</v>
      </c>
      <c r="CR24" s="10">
        <f>IF(預測IC!CR24&gt;預測IC!CR$25,1,0)</f>
        <v>0</v>
      </c>
      <c r="CS24" s="10">
        <f>IF(預測IC!CS24&gt;預測IC!CS$25,1,0)</f>
        <v>0</v>
      </c>
      <c r="CT24" s="10">
        <f>IF(預測IC!CT24&gt;預測IC!CT$25,1,0)</f>
        <v>1</v>
      </c>
      <c r="CU24" s="10">
        <f>IF(預測IC!CU24&gt;預測IC!CU$25,1,0)</f>
        <v>0</v>
      </c>
      <c r="CV24" s="10">
        <f>IF(預測IC!CV24&gt;預測IC!CV$25,1,0)</f>
        <v>1</v>
      </c>
      <c r="CW24" s="10">
        <f>IF(預測IC!CW24&gt;預測IC!CW$25,1,0)</f>
        <v>1</v>
      </c>
      <c r="CX24" s="10">
        <f>IF(預測IC!CX24&gt;預測IC!CX$25,1,0)</f>
        <v>0</v>
      </c>
      <c r="CY24" s="10">
        <f>IF(預測IC!CY24&gt;預測IC!CY$25,1,0)</f>
        <v>1</v>
      </c>
      <c r="CZ24" s="10">
        <f>IF(預測IC!CZ24&gt;預測IC!CZ$25,1,0)</f>
        <v>1</v>
      </c>
      <c r="DA24" s="10">
        <f>IF(預測IC!DA24&gt;預測IC!DA$25,1,0)</f>
        <v>1</v>
      </c>
      <c r="DB24" s="10">
        <f>IF(預測IC!DB24&gt;預測IC!DB$25,1,0)</f>
        <v>1</v>
      </c>
      <c r="DC24" s="10">
        <f>IF(預測IC!DC24&gt;預測IC!DC$25,1,0)</f>
        <v>1</v>
      </c>
      <c r="DD24" s="10">
        <f>IF(預測IC!DD24&gt;預測IC!DD$25,1,0)</f>
        <v>1</v>
      </c>
      <c r="DE24" s="10">
        <f>IF(預測IC!DE24&gt;預測IC!DE$25,1,0)</f>
        <v>0</v>
      </c>
      <c r="DF24" s="10">
        <f>IF(預測IC!DF24&gt;預測IC!DF$25,1,0)</f>
        <v>1</v>
      </c>
      <c r="DG24" s="10">
        <f>IF(預測IC!DG24&gt;預測IC!DG$25,1,0)</f>
        <v>0</v>
      </c>
      <c r="DH24" s="10">
        <f>IF(預測IC!DH24&gt;預測IC!DH$25,1,0)</f>
        <v>1</v>
      </c>
      <c r="DI24" s="10">
        <f>IF(預測IC!DI24&gt;預測IC!DI$25,1,0)</f>
        <v>1</v>
      </c>
      <c r="DJ24" s="10">
        <f>IF(預測IC!DJ24&gt;預測IC!DJ$25,1,0)</f>
        <v>0</v>
      </c>
      <c r="DK24" s="10">
        <f>IF(預測IC!DK24&gt;預測IC!DK$25,1,0)</f>
        <v>1</v>
      </c>
      <c r="DL24" s="10">
        <f>IF(預測IC!DL24&gt;預測IC!DL$25,1,0)</f>
        <v>1</v>
      </c>
      <c r="DM24" s="10">
        <f>IF(預測IC!DM24&gt;預測IC!DM$25,1,0)</f>
        <v>0</v>
      </c>
      <c r="DN24" s="10">
        <f>IF(預測IC!DN24&gt;預測IC!DN$25,1,0)</f>
        <v>1</v>
      </c>
      <c r="DO24" s="10">
        <f>IF(預測IC!DO24&gt;預測IC!DO$25,1,0)</f>
        <v>0</v>
      </c>
      <c r="DP24" s="10">
        <f>IF(預測IC!DP24&gt;預測IC!DP$25,1,0)</f>
        <v>1</v>
      </c>
      <c r="DQ24" s="10">
        <f>IF(預測IC!DQ24&gt;預測IC!DQ$25,1,0)</f>
        <v>0</v>
      </c>
      <c r="DR24" s="10">
        <f>IF(預測IC!DR24&gt;預測IC!DR$25,1,0)</f>
        <v>0</v>
      </c>
      <c r="DS24" s="10">
        <f>IF(預測IC!DS24&gt;預測IC!DS$25,1,0)</f>
        <v>1</v>
      </c>
      <c r="DT24" s="10">
        <f>IF(預測IC!DT24&gt;預測IC!DT$25,1,0)</f>
        <v>0</v>
      </c>
      <c r="DU24" s="10">
        <f>IF(預測IC!DU24&gt;預測IC!DU$25,1,0)</f>
        <v>0</v>
      </c>
      <c r="DV24" s="10">
        <f>IF(預測IC!DV24&gt;預測IC!DV$25,1,0)</f>
        <v>1</v>
      </c>
      <c r="DW24" s="10">
        <f>IF(預測IC!DW24&gt;預測IC!DW$25,1,0)</f>
        <v>0</v>
      </c>
      <c r="DX24" s="10">
        <f>IF(預測IC!DX24&gt;預測IC!DX$25,1,0)</f>
        <v>1</v>
      </c>
      <c r="DY24" s="10">
        <f>IF(預測IC!DY24&gt;預測IC!DY$25,1,0)</f>
        <v>1</v>
      </c>
      <c r="DZ24" s="10">
        <f>IF(預測IC!DZ24&gt;預測IC!DZ$25,1,0)</f>
        <v>0</v>
      </c>
      <c r="EA24" s="10">
        <f>IF(預測IC!EA24&gt;預測IC!EA$25,1,0)</f>
        <v>1</v>
      </c>
      <c r="EB24" s="10">
        <f>IF(預測IC!EB24&gt;預測IC!EB$25,1,0)</f>
        <v>1</v>
      </c>
      <c r="EC24" s="10">
        <f>IF(預測IC!EC24&gt;預測IC!EC$25,1,0)</f>
        <v>1</v>
      </c>
      <c r="ED24" s="10">
        <f>IF(預測IC!ED24&gt;預測IC!ED$25,1,0)</f>
        <v>0</v>
      </c>
      <c r="EE24" s="10">
        <f>IF(預測IC!EE24&gt;預測IC!EE$25,1,0)</f>
        <v>0</v>
      </c>
      <c r="EF24" s="10">
        <f>IF(預測IC!EF24&gt;預測IC!EF$25,1,0)</f>
        <v>1</v>
      </c>
      <c r="EG24" s="10">
        <f>IF(預測IC!EG24&gt;預測IC!EG$25,1,0)</f>
        <v>1</v>
      </c>
      <c r="EH24" s="10">
        <f>IF(預測IC!EH24&gt;預測IC!EH$25,1,0)</f>
        <v>0</v>
      </c>
      <c r="EI24" s="10">
        <f>IF(預測IC!EI24&gt;預測IC!EI$25,1,0)</f>
        <v>1</v>
      </c>
      <c r="EJ24" s="10">
        <f>IF(預測IC!EJ24&gt;預測IC!EJ$25,1,0)</f>
        <v>0</v>
      </c>
      <c r="EK24" s="10">
        <f>IF(預測IC!EK24&gt;預測IC!EK$25,1,0)</f>
        <v>0</v>
      </c>
      <c r="EL24" s="10">
        <f>IF(預測IC!EL24&gt;預測IC!EL$25,1,0)</f>
        <v>0</v>
      </c>
      <c r="EM24" s="6">
        <f t="shared" si="11"/>
        <v>69</v>
      </c>
      <c r="EN24" s="19">
        <f t="shared" si="12"/>
        <v>0.49285714285714288</v>
      </c>
    </row>
    <row r="25" spans="1:144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</row>
    <row r="26" spans="1:144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4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4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4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4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4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4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</sheetData>
  <mergeCells count="2">
    <mergeCell ref="A6:B6"/>
    <mergeCell ref="A10:B10"/>
  </mergeCells>
  <phoneticPr fontId="1" type="noConversion"/>
  <conditionalFormatting sqref="EM12:EM24">
    <cfRule type="expression" dxfId="2" priority="5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2"/>
        <color theme="9" tint="0.39997558519241921"/>
      </colorScale>
    </cfRule>
    <cfRule type="expression" dxfId="1" priority="6">
      <formula>EN12&lt;#REF!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L164"/>
  <sheetViews>
    <sheetView topLeftCell="DW6" zoomScale="130" zoomScaleNormal="130" workbookViewId="0">
      <selection activeCell="EL20" sqref="EL20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0" t="s">
        <v>147</v>
      </c>
      <c r="B10" s="21"/>
      <c r="C10" s="6" t="s">
        <v>148</v>
      </c>
      <c r="D10" s="6">
        <v>1051</v>
      </c>
    </row>
    <row r="11" spans="1:142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8">
        <v>10</v>
      </c>
      <c r="B12" s="18">
        <f t="shared" ref="B12:B24" si="10">ROUND($D$10/A12,0)</f>
        <v>105</v>
      </c>
      <c r="C12" s="2">
        <v>8.0850794339180423E-3</v>
      </c>
      <c r="D12" s="2">
        <f>C12+預測IC!D12</f>
        <v>3.6273022719572487E-2</v>
      </c>
      <c r="E12" s="2">
        <f>D12+預測IC!E12</f>
        <v>4.2952756670010361E-2</v>
      </c>
      <c r="F12" s="2">
        <f>E12+預測IC!F12</f>
        <v>5.6389618511054083E-2</v>
      </c>
      <c r="G12" s="2">
        <f>F12+預測IC!G12</f>
        <v>5.1139061023283049E-2</v>
      </c>
      <c r="H12" s="2">
        <f>G12+預測IC!H12</f>
        <v>9.4202073168460354E-2</v>
      </c>
      <c r="I12" s="2">
        <f>H12+預測IC!I12</f>
        <v>7.1055770507651689E-2</v>
      </c>
      <c r="J12" s="2">
        <f>I12+預測IC!J12</f>
        <v>0.12773743009717944</v>
      </c>
      <c r="K12" s="2">
        <f>J12+預測IC!K12</f>
        <v>0.12158566428042017</v>
      </c>
      <c r="L12" s="2">
        <f>K12+預測IC!L12</f>
        <v>0.12073596047752269</v>
      </c>
      <c r="M12" s="2">
        <f>L12+預測IC!M12</f>
        <v>0.11704856507592362</v>
      </c>
      <c r="N12" s="2">
        <f>M12+預測IC!N12</f>
        <v>0.16168595975092728</v>
      </c>
      <c r="O12" s="2">
        <f>N12+預測IC!O12</f>
        <v>0.18794879868528802</v>
      </c>
      <c r="P12" s="2">
        <f>O12+預測IC!P12</f>
        <v>0.18969856465621682</v>
      </c>
      <c r="Q12" s="2">
        <f>P12+預測IC!Q12</f>
        <v>0.16511999617537915</v>
      </c>
      <c r="R12" s="2">
        <f>Q12+預測IC!R12</f>
        <v>0.14824658440427466</v>
      </c>
      <c r="S12" s="2">
        <f>R12+預測IC!S12</f>
        <v>8.3909077892288339E-2</v>
      </c>
      <c r="T12" s="2">
        <f>S12+預測IC!T12</f>
        <v>3.660194991819609E-2</v>
      </c>
      <c r="U12" s="2">
        <f>T12+預測IC!U12</f>
        <v>1.5798983427418499E-2</v>
      </c>
      <c r="V12" s="2">
        <f>U12+預測IC!V12</f>
        <v>1.8352836487738354E-2</v>
      </c>
      <c r="W12" s="2">
        <f>V12+預測IC!W12</f>
        <v>-1.4755378104011854E-2</v>
      </c>
      <c r="X12" s="2">
        <f>W12+預測IC!X12</f>
        <v>0.10566771770477455</v>
      </c>
      <c r="Y12" s="2">
        <f>X12+預測IC!Y12</f>
        <v>9.0070546019736811E-2</v>
      </c>
      <c r="Z12" s="2">
        <f>Y12+預測IC!Z12</f>
        <v>9.3482794367920327E-2</v>
      </c>
      <c r="AA12" s="2">
        <f>Z12+預測IC!AA12</f>
        <v>0.10912665342665037</v>
      </c>
      <c r="AB12" s="2">
        <f>AA12+預測IC!AB12</f>
        <v>0.10589231603294955</v>
      </c>
      <c r="AC12" s="2">
        <f>AB12+預測IC!AC12</f>
        <v>0.11661063353288702</v>
      </c>
      <c r="AD12" s="2">
        <f>AC12+預測IC!AD12</f>
        <v>0.12868745605352319</v>
      </c>
      <c r="AE12" s="2">
        <f>AD12+預測IC!AE12</f>
        <v>9.0683846951139513E-2</v>
      </c>
      <c r="AF12" s="2">
        <f>AE12+預測IC!AF12</f>
        <v>5.6014782981540771E-2</v>
      </c>
      <c r="AG12" s="2">
        <f>AF12+預測IC!AG12</f>
        <v>4.9096088414166829E-2</v>
      </c>
      <c r="AH12" s="2">
        <f>AG12+預測IC!AH12</f>
        <v>2.4691703767317618E-2</v>
      </c>
      <c r="AI12" s="2">
        <f>AH12+預測IC!AI12</f>
        <v>4.0850826540548793E-2</v>
      </c>
      <c r="AJ12" s="2">
        <f>AI12+預測IC!AJ12</f>
        <v>6.6675567326924853E-2</v>
      </c>
      <c r="AK12" s="2">
        <f>AJ12+預測IC!AK12</f>
        <v>0.10779026057971378</v>
      </c>
      <c r="AL12" s="2">
        <f>AK12+預測IC!AL12</f>
        <v>0.14389425729227717</v>
      </c>
      <c r="AM12" s="2">
        <f>AL12+預測IC!AM12</f>
        <v>0.1693302527118106</v>
      </c>
      <c r="AN12" s="2">
        <f>AM12+預測IC!AN12</f>
        <v>0.1094780615085607</v>
      </c>
      <c r="AO12" s="2">
        <f>AN12+預測IC!AO12</f>
        <v>8.8568585118566592E-2</v>
      </c>
      <c r="AP12" s="2">
        <f>AO12+預測IC!AP12</f>
        <v>6.7029036856651403E-2</v>
      </c>
      <c r="AQ12" s="2">
        <f>AP12+預測IC!AQ12</f>
        <v>5.9768323887917259E-2</v>
      </c>
      <c r="AR12" s="2">
        <f>AQ12+預測IC!AR12</f>
        <v>8.1045025621141228E-2</v>
      </c>
      <c r="AS12" s="2">
        <f>AR12+預測IC!AS12</f>
        <v>5.2006422313912046E-2</v>
      </c>
      <c r="AT12" s="2">
        <f>AS12+預測IC!AT12</f>
        <v>7.7088894521862975E-2</v>
      </c>
      <c r="AU12" s="2">
        <f>AT12+預測IC!AU12</f>
        <v>4.5445164486043715E-2</v>
      </c>
      <c r="AV12" s="2">
        <f>AU12+預測IC!AV12</f>
        <v>-1.3897880375992086E-2</v>
      </c>
      <c r="AW12" s="2">
        <f>AV12+預測IC!AW12</f>
        <v>-2.1235072158004662E-3</v>
      </c>
      <c r="AX12" s="2">
        <f>AW12+預測IC!AX12</f>
        <v>5.3666806674234485E-2</v>
      </c>
      <c r="AY12" s="2">
        <f>AX12+預測IC!AY12</f>
        <v>6.370075970191072E-2</v>
      </c>
      <c r="AZ12" s="2">
        <f>AY12+預測IC!AZ12</f>
        <v>0.120039244809825</v>
      </c>
      <c r="BA12" s="2">
        <f>AZ12+預測IC!BA12</f>
        <v>0.1151349824517658</v>
      </c>
      <c r="BB12" s="2">
        <f>BA12+預測IC!BB12</f>
        <v>0.13873861235655327</v>
      </c>
      <c r="BC12" s="2">
        <f>BB12+預測IC!BC12</f>
        <v>0.14252193274709998</v>
      </c>
      <c r="BD12" s="2">
        <f>BC12+預測IC!BD12</f>
        <v>0.19320234541568643</v>
      </c>
      <c r="BE12" s="2">
        <f>BD12+預測IC!BE12</f>
        <v>0.1470646039489393</v>
      </c>
      <c r="BF12" s="2">
        <f>BE12+預測IC!BF12</f>
        <v>0.13741881695735705</v>
      </c>
      <c r="BG12" s="2">
        <f>BF12+預測IC!BG12</f>
        <v>0.17217605923912771</v>
      </c>
      <c r="BH12" s="2">
        <f>BG12+預測IC!BH12</f>
        <v>0.19558907741688206</v>
      </c>
      <c r="BI12" s="2">
        <f>BH12+預測IC!BI12</f>
        <v>0.13743811648210763</v>
      </c>
      <c r="BJ12" s="2">
        <f>BI12+預測IC!BJ12</f>
        <v>0.12750132798999469</v>
      </c>
      <c r="BK12" s="2">
        <f>BJ12+預測IC!BK12</f>
        <v>0.110067022504237</v>
      </c>
      <c r="BL12" s="2">
        <f>BK12+預測IC!BL12</f>
        <v>0.12610109328189256</v>
      </c>
      <c r="BM12" s="2">
        <f>BL12+預測IC!BM12</f>
        <v>0.12388510296407833</v>
      </c>
      <c r="BN12" s="2">
        <f>BM12+預測IC!BN12</f>
        <v>0.13567852645907988</v>
      </c>
      <c r="BO12" s="2">
        <f>BN12+預測IC!BO12</f>
        <v>0.16026635168392345</v>
      </c>
      <c r="BP12" s="2">
        <f>BO12+預測IC!BP12</f>
        <v>0.14778385877325992</v>
      </c>
      <c r="BQ12" s="2">
        <f>BP12+預測IC!BQ12</f>
        <v>0.15343868473307951</v>
      </c>
      <c r="BR12" s="2">
        <f>BQ12+預測IC!BR12</f>
        <v>0.14763251659340351</v>
      </c>
      <c r="BS12" s="2">
        <f>BR12+預測IC!BS12</f>
        <v>0.14920779068261592</v>
      </c>
      <c r="BT12" s="2">
        <f>BS12+預測IC!BT12</f>
        <v>0.16249430627288233</v>
      </c>
      <c r="BU12" s="2">
        <f>BT12+預測IC!BU12</f>
        <v>0.1270812654475906</v>
      </c>
      <c r="BV12" s="2">
        <f>BU12+預測IC!BV12</f>
        <v>0.10162424861494848</v>
      </c>
      <c r="BW12" s="2">
        <f>BV12+預測IC!BW12</f>
        <v>0.15401614663999805</v>
      </c>
      <c r="BX12" s="2">
        <f>BW12+預測IC!BX12</f>
        <v>0.161212739017011</v>
      </c>
      <c r="BY12" s="2">
        <f>BX12+預測IC!BY12</f>
        <v>0.14170346178720628</v>
      </c>
      <c r="BZ12" s="2">
        <f>BY12+預測IC!BZ12</f>
        <v>0.13465344505823965</v>
      </c>
      <c r="CA12" s="2">
        <f>BZ12+預測IC!CA12</f>
        <v>0.13050806100950893</v>
      </c>
      <c r="CB12" s="2">
        <f>CA12+預測IC!CB12</f>
        <v>7.4236734067000751E-2</v>
      </c>
      <c r="CC12" s="2">
        <f>CB12+預測IC!CC12</f>
        <v>6.09001525797154E-2</v>
      </c>
      <c r="CD12" s="2">
        <f>CC12+預測IC!CD12</f>
        <v>0.10191665930328102</v>
      </c>
      <c r="CE12" s="2">
        <f>CD12+預測IC!CE12</f>
        <v>0.11635419807977147</v>
      </c>
      <c r="CF12" s="2">
        <f>CE12+預測IC!CF12</f>
        <v>0.1485359865354082</v>
      </c>
      <c r="CG12" s="2">
        <f>CF12+預測IC!CG12</f>
        <v>0.14566779424231388</v>
      </c>
      <c r="CH12" s="2">
        <f>CG12+預測IC!CH12</f>
        <v>0.21350046638283407</v>
      </c>
      <c r="CI12" s="2">
        <f>CH12+預測IC!CI12</f>
        <v>0.18419682890210726</v>
      </c>
      <c r="CJ12" s="2">
        <f>CI12+預測IC!CJ12</f>
        <v>0.1946773395674784</v>
      </c>
      <c r="CK12" s="2">
        <f>CJ12+預測IC!CK12</f>
        <v>0.22111803124531826</v>
      </c>
      <c r="CL12" s="2">
        <f>CK12+預測IC!CL12</f>
        <v>0.37483509426650152</v>
      </c>
      <c r="CM12" s="2">
        <f>CL12+預測IC!CM12</f>
        <v>0.34278831637376533</v>
      </c>
      <c r="CN12" s="2">
        <f>CM12+預測IC!CN12</f>
        <v>0.31030367138134973</v>
      </c>
      <c r="CO12" s="2">
        <f>CN12+預測IC!CO12</f>
        <v>0.28860754354304219</v>
      </c>
      <c r="CP12" s="2">
        <f>CO12+預測IC!CP12</f>
        <v>0.28329896882644112</v>
      </c>
      <c r="CQ12" s="2">
        <f>CP12+預測IC!CQ12</f>
        <v>0.32618856714736005</v>
      </c>
      <c r="CR12" s="2">
        <f>CQ12+預測IC!CR12</f>
        <v>0.27824257757921289</v>
      </c>
      <c r="CS12" s="2">
        <f>CR12+預測IC!CS12</f>
        <v>0.27298338722472243</v>
      </c>
      <c r="CT12" s="2">
        <f>CS12+預測IC!CT12</f>
        <v>0.30491947188773005</v>
      </c>
      <c r="CU12" s="2">
        <f>CT12+預測IC!CU12</f>
        <v>0.32872231486451825</v>
      </c>
      <c r="CV12" s="2">
        <f>CU12+預測IC!CV12</f>
        <v>0.32690430794100117</v>
      </c>
      <c r="CW12" s="2">
        <f>CV12+預測IC!CW12</f>
        <v>0.3001312766170493</v>
      </c>
      <c r="CX12" s="2">
        <f>CW12+預測IC!CX12</f>
        <v>0.3330127683197564</v>
      </c>
      <c r="CY12" s="2">
        <f>CX12+預測IC!CY12</f>
        <v>0.32516107215341977</v>
      </c>
      <c r="CZ12" s="2">
        <f>CY12+預測IC!CZ12</f>
        <v>0.4126826545838137</v>
      </c>
      <c r="DA12" s="2">
        <f>CZ12+預測IC!DA12</f>
        <v>0.4430552423068817</v>
      </c>
      <c r="DB12" s="2">
        <f>DA12+預測IC!DB12</f>
        <v>0.3661500404389969</v>
      </c>
      <c r="DC12" s="2">
        <f>DB12+預測IC!DC12</f>
        <v>0.39665272781046518</v>
      </c>
      <c r="DD12" s="2">
        <f>DC12+預測IC!DD12</f>
        <v>0.3807815827159422</v>
      </c>
      <c r="DE12" s="2">
        <f>DD12+預測IC!DE12</f>
        <v>0.34703522720592289</v>
      </c>
      <c r="DF12" s="2">
        <f>DE12+預測IC!DF12</f>
        <v>0.39593950337820921</v>
      </c>
      <c r="DG12" s="2">
        <f>DF12+預測IC!DG12</f>
        <v>0.35225252753698677</v>
      </c>
      <c r="DH12" s="2">
        <f>DG12+預測IC!DH12</f>
        <v>0.35149729402752061</v>
      </c>
      <c r="DI12" s="2">
        <f>DH12+預測IC!DI12</f>
        <v>0.40522261929464004</v>
      </c>
      <c r="DJ12" s="2">
        <f>DI12+預測IC!DJ12</f>
        <v>0.43050005526830243</v>
      </c>
      <c r="DK12" s="2">
        <f>DJ12+預測IC!DK12</f>
        <v>0.40681155746321879</v>
      </c>
      <c r="DL12" s="2">
        <f>DK12+預測IC!DL12</f>
        <v>0.41158378910260451</v>
      </c>
      <c r="DM12" s="2">
        <f>DL12+預測IC!DM12</f>
        <v>0.39328717711227701</v>
      </c>
      <c r="DN12" s="2">
        <f>DM12+預測IC!DN12</f>
        <v>0.42354632826975519</v>
      </c>
      <c r="DO12" s="2">
        <f>DN12+預測IC!DO12</f>
        <v>0.39328133711886698</v>
      </c>
      <c r="DP12" s="2">
        <f>DO12+預測IC!DP12</f>
        <v>0.45163334089856105</v>
      </c>
      <c r="DQ12" s="2">
        <f>DP12+預測IC!DQ12</f>
        <v>0.41799522278596785</v>
      </c>
      <c r="DR12" s="2">
        <f>DQ12+預測IC!DR12</f>
        <v>0.40767749686157717</v>
      </c>
      <c r="DS12" s="2">
        <f>DR12+預測IC!DS12</f>
        <v>0.450198439322467</v>
      </c>
      <c r="DT12" s="2">
        <f>DS12+預測IC!DT12</f>
        <v>0.4017898186102779</v>
      </c>
      <c r="DU12" s="2">
        <f>DT12+預測IC!DU12</f>
        <v>0.40939159992675417</v>
      </c>
      <c r="DV12" s="2">
        <f>DU12+預測IC!DV12</f>
        <v>0.42986370982082239</v>
      </c>
      <c r="DW12" s="2">
        <f>DV12+預測IC!DW12</f>
        <v>0.39760905064495222</v>
      </c>
      <c r="DX12" s="2">
        <f>DW12+預測IC!DX12</f>
        <v>0.43523509528763177</v>
      </c>
      <c r="DY12" s="2">
        <f>DX12+預測IC!DY12</f>
        <v>0.48387373436503101</v>
      </c>
      <c r="DZ12" s="2">
        <f>DY12+預測IC!DZ12</f>
        <v>0.47027420209103071</v>
      </c>
      <c r="EA12" s="2">
        <f>DZ12+預測IC!EA12</f>
        <v>0.54402458709333112</v>
      </c>
      <c r="EB12" s="2">
        <f>EA12+預測IC!EB12</f>
        <v>0.54205029342139721</v>
      </c>
      <c r="EC12" s="2">
        <f>EB12+預測IC!EC12</f>
        <v>0.52810180036187104</v>
      </c>
      <c r="ED12" s="2">
        <f>EC12+預測IC!ED12</f>
        <v>0.46667454594053354</v>
      </c>
      <c r="EE12" s="2">
        <f>ED12+預測IC!EE12</f>
        <v>0.43850781869873556</v>
      </c>
      <c r="EF12" s="2">
        <f>EE12+預測IC!EF12</f>
        <v>0.47042889971032686</v>
      </c>
      <c r="EG12" s="2">
        <f>EF12+預測IC!EG12</f>
        <v>0.44122166361413112</v>
      </c>
      <c r="EH12" s="2">
        <f>EG12+預測IC!EH12</f>
        <v>0.42148140223492786</v>
      </c>
      <c r="EI12" s="2">
        <f>EH12+預測IC!EI12</f>
        <v>0.4304426589083028</v>
      </c>
      <c r="EJ12" s="2">
        <f>EI12+預測IC!EJ12</f>
        <v>0.4665830501016025</v>
      </c>
      <c r="EK12" s="2">
        <f>EJ12+預測IC!EK12</f>
        <v>0.47655617175347531</v>
      </c>
      <c r="EL12" s="2">
        <f>EK12+預測IC!EL12</f>
        <v>0.46755338385378747</v>
      </c>
    </row>
    <row r="13" spans="1:142" x14ac:dyDescent="0.3">
      <c r="A13" s="18">
        <v>20</v>
      </c>
      <c r="B13" s="18">
        <f t="shared" si="10"/>
        <v>53</v>
      </c>
      <c r="C13" s="2">
        <v>-2.950459453302642E-2</v>
      </c>
      <c r="D13" s="2">
        <f>C13+預測IC!D13</f>
        <v>1.6304883391612412E-2</v>
      </c>
      <c r="E13" s="2">
        <f>D13+預測IC!E13</f>
        <v>4.8368943373980913E-2</v>
      </c>
      <c r="F13" s="2">
        <f>E13+預測IC!F13</f>
        <v>9.2060865055048458E-2</v>
      </c>
      <c r="G13" s="2">
        <f>F13+預測IC!G13</f>
        <v>0.10577490032332022</v>
      </c>
      <c r="H13" s="2">
        <f>G13+預測IC!H13</f>
        <v>0.13502616411498097</v>
      </c>
      <c r="I13" s="2">
        <f>H13+預測IC!I13</f>
        <v>0.14612032225882851</v>
      </c>
      <c r="J13" s="2">
        <f>I13+預測IC!J13</f>
        <v>0.20611003817299395</v>
      </c>
      <c r="K13" s="2">
        <f>J13+預測IC!K13</f>
        <v>0.17412875660104665</v>
      </c>
      <c r="L13" s="2">
        <f>K13+預測IC!L13</f>
        <v>0.17109502498093609</v>
      </c>
      <c r="M13" s="2">
        <f>L13+預測IC!M13</f>
        <v>0.19101023138129422</v>
      </c>
      <c r="N13" s="2">
        <f>M13+預測IC!N13</f>
        <v>0.22719220023603381</v>
      </c>
      <c r="O13" s="2">
        <f>N13+預測IC!O13</f>
        <v>0.24402745083450894</v>
      </c>
      <c r="P13" s="2">
        <f>O13+預測IC!P13</f>
        <v>0.228071730028338</v>
      </c>
      <c r="Q13" s="2">
        <f>P13+預測IC!Q13</f>
        <v>0.17297373945350364</v>
      </c>
      <c r="R13" s="2">
        <f>Q13+預測IC!R13</f>
        <v>0.14550364656534817</v>
      </c>
      <c r="S13" s="2">
        <f>R13+預測IC!S13</f>
        <v>7.2655745294970986E-2</v>
      </c>
      <c r="T13" s="2">
        <f>S13+預測IC!T13</f>
        <v>2.250639722264941E-3</v>
      </c>
      <c r="U13" s="2">
        <f>T13+預測IC!U13</f>
        <v>-1.2367355906478469E-2</v>
      </c>
      <c r="V13" s="2">
        <f>U13+預測IC!V13</f>
        <v>-8.9350709407571109E-3</v>
      </c>
      <c r="W13" s="2">
        <f>V13+預測IC!W13</f>
        <v>-2.6525671959940891E-2</v>
      </c>
      <c r="X13" s="2">
        <f>W13+預測IC!X13</f>
        <v>0.1127528265678704</v>
      </c>
      <c r="Y13" s="2">
        <f>X13+預測IC!Y13</f>
        <v>0.10351543530054597</v>
      </c>
      <c r="Z13" s="2">
        <f>Y13+預測IC!Z13</f>
        <v>0.11858908490688115</v>
      </c>
      <c r="AA13" s="2">
        <f>Z13+預測IC!AA13</f>
        <v>0.13931832160346982</v>
      </c>
      <c r="AB13" s="2">
        <f>AA13+預測IC!AB13</f>
        <v>0.12246628351037224</v>
      </c>
      <c r="AC13" s="2">
        <f>AB13+預測IC!AC13</f>
        <v>0.12981930470375308</v>
      </c>
      <c r="AD13" s="2">
        <f>AC13+預測IC!AD13</f>
        <v>0.13628564186907291</v>
      </c>
      <c r="AE13" s="2">
        <f>AD13+預測IC!AE13</f>
        <v>9.3825680294662844E-2</v>
      </c>
      <c r="AF13" s="2">
        <f>AE13+預測IC!AF13</f>
        <v>6.1008144660535377E-2</v>
      </c>
      <c r="AG13" s="2">
        <f>AF13+預測IC!AG13</f>
        <v>5.5966849319693229E-2</v>
      </c>
      <c r="AH13" s="2">
        <f>AG13+預測IC!AH13</f>
        <v>2.9699409728054339E-2</v>
      </c>
      <c r="AI13" s="2">
        <f>AH13+預測IC!AI13</f>
        <v>4.2212369721750798E-2</v>
      </c>
      <c r="AJ13" s="2">
        <f>AI13+預測IC!AJ13</f>
        <v>4.4584355984603009E-2</v>
      </c>
      <c r="AK13" s="2">
        <f>AJ13+預測IC!AK13</f>
        <v>0.10827748053508432</v>
      </c>
      <c r="AL13" s="2">
        <f>AK13+預測IC!AL13</f>
        <v>0.14295384178132969</v>
      </c>
      <c r="AM13" s="2">
        <f>AL13+預測IC!AM13</f>
        <v>0.171626057421147</v>
      </c>
      <c r="AN13" s="2">
        <f>AM13+預測IC!AN13</f>
        <v>7.4686215496347672E-2</v>
      </c>
      <c r="AO13" s="2">
        <f>AN13+預測IC!AO13</f>
        <v>5.8517569123450047E-2</v>
      </c>
      <c r="AP13" s="2">
        <f>AO13+預測IC!AP13</f>
        <v>1.311910003290935E-2</v>
      </c>
      <c r="AQ13" s="2">
        <f>AP13+預測IC!AQ13</f>
        <v>1.0129255221333591E-2</v>
      </c>
      <c r="AR13" s="2">
        <f>AQ13+預測IC!AR13</f>
        <v>4.1681176151036836E-2</v>
      </c>
      <c r="AS13" s="2">
        <f>AR13+預測IC!AS13</f>
        <v>6.8036081463271475E-3</v>
      </c>
      <c r="AT13" s="2">
        <f>AS13+預測IC!AT13</f>
        <v>-1.9610347098744461E-3</v>
      </c>
      <c r="AU13" s="2">
        <f>AT13+預測IC!AU13</f>
        <v>-5.0138392623687952E-2</v>
      </c>
      <c r="AV13" s="2">
        <f>AU13+預測IC!AV13</f>
        <v>-0.14684915644559499</v>
      </c>
      <c r="AW13" s="2">
        <f>AV13+預測IC!AW13</f>
        <v>-0.11167237247710005</v>
      </c>
      <c r="AX13" s="2">
        <f>AW13+預測IC!AX13</f>
        <v>-5.9571599322014016E-2</v>
      </c>
      <c r="AY13" s="2">
        <f>AX13+預測IC!AY13</f>
        <v>-5.6664472689806691E-2</v>
      </c>
      <c r="AZ13" s="2">
        <f>AY13+預測IC!AZ13</f>
        <v>9.0053906350317653E-3</v>
      </c>
      <c r="BA13" s="2">
        <f>AZ13+預測IC!BA13</f>
        <v>-1.8710567349483256E-3</v>
      </c>
      <c r="BB13" s="2">
        <f>BA13+預測IC!BB13</f>
        <v>4.6891386892071736E-2</v>
      </c>
      <c r="BC13" s="2">
        <f>BB13+預測IC!BC13</f>
        <v>5.30617881845152E-2</v>
      </c>
      <c r="BD13" s="2">
        <f>BC13+預測IC!BD13</f>
        <v>9.0335673685652401E-2</v>
      </c>
      <c r="BE13" s="2">
        <f>BD13+預測IC!BE13</f>
        <v>3.9814211053807169E-2</v>
      </c>
      <c r="BF13" s="2">
        <f>BE13+預測IC!BF13</f>
        <v>2.7458080082493577E-2</v>
      </c>
      <c r="BG13" s="2">
        <f>BF13+預測IC!BG13</f>
        <v>6.8251828857752869E-2</v>
      </c>
      <c r="BH13" s="2">
        <f>BG13+預測IC!BH13</f>
        <v>9.3551743628081163E-2</v>
      </c>
      <c r="BI13" s="2">
        <f>BH13+預測IC!BI13</f>
        <v>3.727454913330306E-2</v>
      </c>
      <c r="BJ13" s="2">
        <f>BI13+預測IC!BJ13</f>
        <v>5.613835697904862E-2</v>
      </c>
      <c r="BK13" s="2">
        <f>BJ13+預測IC!BK13</f>
        <v>2.3250737672208477E-2</v>
      </c>
      <c r="BL13" s="2">
        <f>BK13+預測IC!BL13</f>
        <v>5.3400364631082518E-2</v>
      </c>
      <c r="BM13" s="2">
        <f>BL13+預測IC!BM13</f>
        <v>6.5015896163462011E-2</v>
      </c>
      <c r="BN13" s="2">
        <f>BM13+預測IC!BN13</f>
        <v>6.9403443310735932E-2</v>
      </c>
      <c r="BO13" s="2">
        <f>BN13+預測IC!BO13</f>
        <v>0.11049377808457955</v>
      </c>
      <c r="BP13" s="2">
        <f>BO13+預測IC!BP13</f>
        <v>0.10517356326451949</v>
      </c>
      <c r="BQ13" s="2">
        <f>BP13+預測IC!BQ13</f>
        <v>0.12584525671274269</v>
      </c>
      <c r="BR13" s="2">
        <f>BQ13+預測IC!BR13</f>
        <v>0.11990770433696975</v>
      </c>
      <c r="BS13" s="2">
        <f>BR13+預測IC!BS13</f>
        <v>0.11296791918194768</v>
      </c>
      <c r="BT13" s="2">
        <f>BS13+預測IC!BT13</f>
        <v>0.13027812298103236</v>
      </c>
      <c r="BU13" s="2">
        <f>BT13+預測IC!BU13</f>
        <v>6.9644744391779326E-2</v>
      </c>
      <c r="BV13" s="2">
        <f>BU13+預測IC!BV13</f>
        <v>5.2519419808216464E-2</v>
      </c>
      <c r="BW13" s="2">
        <f>BV13+預測IC!BW13</f>
        <v>0.15740946147518758</v>
      </c>
      <c r="BX13" s="2">
        <f>BW13+預測IC!BX13</f>
        <v>0.17316479504125948</v>
      </c>
      <c r="BY13" s="2">
        <f>BX13+預測IC!BY13</f>
        <v>0.16410111028675972</v>
      </c>
      <c r="BZ13" s="2">
        <f>BY13+預測IC!BZ13</f>
        <v>0.16165515357652177</v>
      </c>
      <c r="CA13" s="2">
        <f>BZ13+預測IC!CA13</f>
        <v>0.17787642422303915</v>
      </c>
      <c r="CB13" s="2">
        <f>CA13+預測IC!CB13</f>
        <v>6.6972189409483948E-2</v>
      </c>
      <c r="CC13" s="2">
        <f>CB13+預測IC!CC13</f>
        <v>6.9581879775592617E-2</v>
      </c>
      <c r="CD13" s="2">
        <f>CC13+預測IC!CD13</f>
        <v>0.11842178026434361</v>
      </c>
      <c r="CE13" s="2">
        <f>CD13+預測IC!CE13</f>
        <v>0.1341569941557155</v>
      </c>
      <c r="CF13" s="2">
        <f>CE13+預測IC!CF13</f>
        <v>0.18164047913111903</v>
      </c>
      <c r="CG13" s="2">
        <f>CF13+預測IC!CG13</f>
        <v>0.17734463409290308</v>
      </c>
      <c r="CH13" s="2">
        <f>CG13+預測IC!CH13</f>
        <v>0.22689937716383374</v>
      </c>
      <c r="CI13" s="2">
        <f>CH13+預測IC!CI13</f>
        <v>0.20727058632653872</v>
      </c>
      <c r="CJ13" s="2">
        <f>CI13+預測IC!CJ13</f>
        <v>0.20517999379539767</v>
      </c>
      <c r="CK13" s="2">
        <f>CJ13+預測IC!CK13</f>
        <v>0.22181571147437729</v>
      </c>
      <c r="CL13" s="2">
        <f>CK13+預測IC!CL13</f>
        <v>0.38261180643223192</v>
      </c>
      <c r="CM13" s="2">
        <f>CL13+預測IC!CM13</f>
        <v>0.34762241232251639</v>
      </c>
      <c r="CN13" s="2">
        <f>CM13+預測IC!CN13</f>
        <v>0.31014356580248492</v>
      </c>
      <c r="CO13" s="2">
        <f>CN13+預測IC!CO13</f>
        <v>0.26626971596992716</v>
      </c>
      <c r="CP13" s="2">
        <f>CO13+預測IC!CP13</f>
        <v>0.26036100574733984</v>
      </c>
      <c r="CQ13" s="2">
        <f>CP13+預測IC!CQ13</f>
        <v>0.30325491244559966</v>
      </c>
      <c r="CR13" s="2">
        <f>CQ13+預測IC!CR13</f>
        <v>0.23173569303292813</v>
      </c>
      <c r="CS13" s="2">
        <f>CR13+預測IC!CS13</f>
        <v>0.22191907175091569</v>
      </c>
      <c r="CT13" s="2">
        <f>CS13+預測IC!CT13</f>
        <v>0.25089075425689367</v>
      </c>
      <c r="CU13" s="2">
        <f>CT13+預測IC!CU13</f>
        <v>0.28610625220305819</v>
      </c>
      <c r="CV13" s="2">
        <f>CU13+預測IC!CV13</f>
        <v>0.28631672034700428</v>
      </c>
      <c r="CW13" s="2">
        <f>CV13+預測IC!CW13</f>
        <v>0.26359666091676071</v>
      </c>
      <c r="CX13" s="2">
        <f>CW13+預測IC!CX13</f>
        <v>0.25865686935722382</v>
      </c>
      <c r="CY13" s="2">
        <f>CX13+預測IC!CY13</f>
        <v>0.23967197106597288</v>
      </c>
      <c r="CZ13" s="2">
        <f>CY13+預測IC!CZ13</f>
        <v>0.3526494180031009</v>
      </c>
      <c r="DA13" s="2">
        <f>CZ13+預測IC!DA13</f>
        <v>0.36747920102989745</v>
      </c>
      <c r="DB13" s="2">
        <f>DA13+預測IC!DB13</f>
        <v>0.28939664662856129</v>
      </c>
      <c r="DC13" s="2">
        <f>DB13+預測IC!DC13</f>
        <v>0.31456203936074972</v>
      </c>
      <c r="DD13" s="2">
        <f>DC13+預測IC!DD13</f>
        <v>0.29811973123796953</v>
      </c>
      <c r="DE13" s="2">
        <f>DD13+預測IC!DE13</f>
        <v>0.26908385317164607</v>
      </c>
      <c r="DF13" s="2">
        <f>DE13+預測IC!DF13</f>
        <v>0.33301801887399163</v>
      </c>
      <c r="DG13" s="2">
        <f>DF13+預測IC!DG13</f>
        <v>0.29548875823622722</v>
      </c>
      <c r="DH13" s="2">
        <f>DG13+預測IC!DH13</f>
        <v>0.29594339403634584</v>
      </c>
      <c r="DI13" s="2">
        <f>DH13+預測IC!DI13</f>
        <v>0.36695306168610742</v>
      </c>
      <c r="DJ13" s="2">
        <f>DI13+預測IC!DJ13</f>
        <v>0.38831743852442868</v>
      </c>
      <c r="DK13" s="2">
        <f>DJ13+預測IC!DK13</f>
        <v>0.38197532303232079</v>
      </c>
      <c r="DL13" s="2">
        <f>DK13+預測IC!DL13</f>
        <v>0.35708262414796471</v>
      </c>
      <c r="DM13" s="2">
        <f>DL13+預測IC!DM13</f>
        <v>0.36725513833282825</v>
      </c>
      <c r="DN13" s="2">
        <f>DM13+預測IC!DN13</f>
        <v>0.36683980156746171</v>
      </c>
      <c r="DO13" s="2">
        <f>DN13+預測IC!DO13</f>
        <v>0.33080111128826561</v>
      </c>
      <c r="DP13" s="2">
        <f>DO13+預測IC!DP13</f>
        <v>0.39345183264911537</v>
      </c>
      <c r="DQ13" s="2">
        <f>DP13+預測IC!DQ13</f>
        <v>0.3554190778456085</v>
      </c>
      <c r="DR13" s="2">
        <f>DQ13+預測IC!DR13</f>
        <v>0.33881220061816947</v>
      </c>
      <c r="DS13" s="2">
        <f>DR13+預測IC!DS13</f>
        <v>0.39307962990112333</v>
      </c>
      <c r="DT13" s="2">
        <f>DS13+預測IC!DT13</f>
        <v>0.343053716176699</v>
      </c>
      <c r="DU13" s="2">
        <f>DT13+預測IC!DU13</f>
        <v>0.35949783317245232</v>
      </c>
      <c r="DV13" s="2">
        <f>DU13+預測IC!DV13</f>
        <v>0.39507397171695424</v>
      </c>
      <c r="DW13" s="2">
        <f>DV13+預測IC!DW13</f>
        <v>0.36388374597332312</v>
      </c>
      <c r="DX13" s="2">
        <f>DW13+預測IC!DX13</f>
        <v>0.41975925366256295</v>
      </c>
      <c r="DY13" s="2">
        <f>DX13+預測IC!DY13</f>
        <v>0.48325512186444342</v>
      </c>
      <c r="DZ13" s="2">
        <f>DY13+預測IC!DZ13</f>
        <v>0.46572645508124239</v>
      </c>
      <c r="EA13" s="2">
        <f>DZ13+預測IC!EA13</f>
        <v>0.5318585896834428</v>
      </c>
      <c r="EB13" s="2">
        <f>EA13+預測IC!EB13</f>
        <v>0.52121484437218124</v>
      </c>
      <c r="EC13" s="2">
        <f>EB13+預測IC!EC13</f>
        <v>0.50459843783018998</v>
      </c>
      <c r="ED13" s="2">
        <f>EC13+預測IC!ED13</f>
        <v>0.43865998484368629</v>
      </c>
      <c r="EE13" s="2">
        <f>ED13+預測IC!EE13</f>
        <v>0.40150247312587334</v>
      </c>
      <c r="EF13" s="2">
        <f>EE13+預測IC!EF13</f>
        <v>0.45708982816915877</v>
      </c>
      <c r="EG13" s="2">
        <f>EF13+預測IC!EG13</f>
        <v>0.40382819004773018</v>
      </c>
      <c r="EH13" s="2">
        <f>EG13+預測IC!EH13</f>
        <v>0.39262295983439072</v>
      </c>
      <c r="EI13" s="2">
        <f>EH13+預測IC!EI13</f>
        <v>0.4062452203219778</v>
      </c>
      <c r="EJ13" s="2">
        <f>EI13+預測IC!EJ13</f>
        <v>0.43821655658024716</v>
      </c>
      <c r="EK13" s="2">
        <f>EJ13+預測IC!EK13</f>
        <v>0.44231153945882096</v>
      </c>
      <c r="EL13" s="2">
        <f>EK13+預測IC!EL13</f>
        <v>0.41272968458126907</v>
      </c>
    </row>
    <row r="14" spans="1:142" x14ac:dyDescent="0.3">
      <c r="A14" s="18">
        <v>50</v>
      </c>
      <c r="B14" s="18">
        <f t="shared" si="10"/>
        <v>21</v>
      </c>
      <c r="C14" s="2">
        <v>-5.6853263530549307E-2</v>
      </c>
      <c r="D14" s="2">
        <f>C14+預測IC!D14</f>
        <v>-1.521868015757695E-2</v>
      </c>
      <c r="E14" s="2">
        <f>D14+預測IC!E14</f>
        <v>1.8175069132982322E-2</v>
      </c>
      <c r="F14" s="2">
        <f>E14+預測IC!F14</f>
        <v>9.4699238374250996E-2</v>
      </c>
      <c r="G14" s="2">
        <f>F14+預測IC!G14</f>
        <v>0.13385653895976951</v>
      </c>
      <c r="H14" s="2">
        <f>G14+預測IC!H14</f>
        <v>0.21006754202460604</v>
      </c>
      <c r="I14" s="2">
        <f>H14+預測IC!I14</f>
        <v>0.23977936635848091</v>
      </c>
      <c r="J14" s="2">
        <f>I14+預測IC!J14</f>
        <v>0.3038705144046811</v>
      </c>
      <c r="K14" s="2">
        <f>J14+預測IC!K14</f>
        <v>0.19909127927307252</v>
      </c>
      <c r="L14" s="2">
        <f>K14+預測IC!L14</f>
        <v>0.14057771520310147</v>
      </c>
      <c r="M14" s="2">
        <f>L14+預測IC!M14</f>
        <v>0.13226837970585648</v>
      </c>
      <c r="N14" s="2">
        <f>M14+預測IC!N14</f>
        <v>0.21006351495992778</v>
      </c>
      <c r="O14" s="2">
        <f>N14+預測IC!O14</f>
        <v>0.20307968398799345</v>
      </c>
      <c r="P14" s="2">
        <f>O14+預測IC!P14</f>
        <v>0.1483997057189147</v>
      </c>
      <c r="Q14" s="2">
        <f>P14+預測IC!Q14</f>
        <v>6.0790479745542608E-2</v>
      </c>
      <c r="R14" s="2">
        <f>Q14+預測IC!R14</f>
        <v>3.0461729903108262E-3</v>
      </c>
      <c r="S14" s="2">
        <f>R14+預測IC!S14</f>
        <v>-7.9564861619782073E-2</v>
      </c>
      <c r="T14" s="2">
        <f>S14+預測IC!T14</f>
        <v>-0.12320549833262473</v>
      </c>
      <c r="U14" s="2">
        <f>T14+預測IC!U14</f>
        <v>-0.10453324699870392</v>
      </c>
      <c r="V14" s="2">
        <f>U14+預測IC!V14</f>
        <v>-0.13876474679756154</v>
      </c>
      <c r="W14" s="2">
        <f>V14+預測IC!W14</f>
        <v>-0.16563853631482256</v>
      </c>
      <c r="X14" s="2">
        <f>W14+預測IC!X14</f>
        <v>-1.3488957475111252E-2</v>
      </c>
      <c r="Y14" s="2">
        <f>X14+預測IC!Y14</f>
        <v>2.714917237760394E-2</v>
      </c>
      <c r="Z14" s="2">
        <f>Y14+預測IC!Z14</f>
        <v>6.7708085693001824E-2</v>
      </c>
      <c r="AA14" s="2">
        <f>Z14+預測IC!AA14</f>
        <v>5.3061132037474618E-2</v>
      </c>
      <c r="AB14" s="2">
        <f>AA14+預測IC!AB14</f>
        <v>-1.0250559631710371E-2</v>
      </c>
      <c r="AC14" s="2">
        <f>AB14+預測IC!AC14</f>
        <v>-2.6198872148521922E-2</v>
      </c>
      <c r="AD14" s="2">
        <f>AC14+預測IC!AD14</f>
        <v>-1.2454902957473412E-2</v>
      </c>
      <c r="AE14" s="2">
        <f>AD14+預測IC!AE14</f>
        <v>-0.10175259228538973</v>
      </c>
      <c r="AF14" s="2">
        <f>AE14+預測IC!AF14</f>
        <v>-0.17412849062264679</v>
      </c>
      <c r="AG14" s="2">
        <f>AF14+預測IC!AG14</f>
        <v>-0.18000775559017063</v>
      </c>
      <c r="AH14" s="2">
        <f>AG14+預測IC!AH14</f>
        <v>-0.23654430453603334</v>
      </c>
      <c r="AI14" s="2">
        <f>AH14+預測IC!AI14</f>
        <v>-0.16774740475610242</v>
      </c>
      <c r="AJ14" s="2">
        <f>AI14+預測IC!AJ14</f>
        <v>-0.13344144298765429</v>
      </c>
      <c r="AK14" s="2">
        <f>AJ14+預測IC!AK14</f>
        <v>-7.4990320348935352E-2</v>
      </c>
      <c r="AL14" s="2">
        <f>AK14+預測IC!AL14</f>
        <v>-3.2974971971429803E-2</v>
      </c>
      <c r="AM14" s="2">
        <f>AL14+預測IC!AM14</f>
        <v>1.7780770749429367E-2</v>
      </c>
      <c r="AN14" s="2">
        <f>AM14+預測IC!AN14</f>
        <v>-8.6634802478412931E-2</v>
      </c>
      <c r="AO14" s="2">
        <f>AN14+預測IC!AO14</f>
        <v>-7.0178813654968072E-2</v>
      </c>
      <c r="AP14" s="2">
        <f>AO14+預測IC!AP14</f>
        <v>-0.12468054508974225</v>
      </c>
      <c r="AQ14" s="2">
        <f>AP14+預測IC!AQ14</f>
        <v>-0.1444906287909809</v>
      </c>
      <c r="AR14" s="2">
        <f>AQ14+預測IC!AR14</f>
        <v>-7.8330408932878126E-2</v>
      </c>
      <c r="AS14" s="2">
        <f>AR14+預測IC!AS14</f>
        <v>-6.4852407377901572E-2</v>
      </c>
      <c r="AT14" s="2">
        <f>AS14+預測IC!AT14</f>
        <v>-5.0631498949130882E-2</v>
      </c>
      <c r="AU14" s="2">
        <f>AT14+預測IC!AU14</f>
        <v>-0.10901014568458711</v>
      </c>
      <c r="AV14" s="2">
        <f>AU14+預測IC!AV14</f>
        <v>-0.21972282000723953</v>
      </c>
      <c r="AW14" s="2">
        <f>AV14+預測IC!AW14</f>
        <v>-0.18191885285616005</v>
      </c>
      <c r="AX14" s="2">
        <f>AW14+預測IC!AX14</f>
        <v>-0.14114886932186163</v>
      </c>
      <c r="AY14" s="2">
        <f>AX14+預測IC!AY14</f>
        <v>-0.14212163681452986</v>
      </c>
      <c r="AZ14" s="2">
        <f>AY14+預測IC!AZ14</f>
        <v>-0.13678055931015126</v>
      </c>
      <c r="BA14" s="2">
        <f>AZ14+預測IC!BA14</f>
        <v>-0.17354217541758371</v>
      </c>
      <c r="BB14" s="2">
        <f>BA14+預測IC!BB14</f>
        <v>-0.11459908563035011</v>
      </c>
      <c r="BC14" s="2">
        <f>BB14+預測IC!BC14</f>
        <v>-9.4075881574244735E-2</v>
      </c>
      <c r="BD14" s="2">
        <f>BC14+預測IC!BD14</f>
        <v>-6.6724956074829977E-2</v>
      </c>
      <c r="BE14" s="2">
        <f>BD14+預測IC!BE14</f>
        <v>-0.10012690000507565</v>
      </c>
      <c r="BF14" s="2">
        <f>BE14+預測IC!BF14</f>
        <v>-9.4500333425896504E-2</v>
      </c>
      <c r="BG14" s="2">
        <f>BF14+預測IC!BG14</f>
        <v>-1.2170765357711805E-2</v>
      </c>
      <c r="BH14" s="2">
        <f>BG14+預測IC!BH14</f>
        <v>6.6974005869299885E-2</v>
      </c>
      <c r="BI14" s="2">
        <f>BH14+預測IC!BI14</f>
        <v>3.6886588577300455E-2</v>
      </c>
      <c r="BJ14" s="2">
        <f>BI14+預測IC!BJ14</f>
        <v>6.6966169851814375E-2</v>
      </c>
      <c r="BK14" s="2">
        <f>BJ14+預測IC!BK14</f>
        <v>8.8010496895456522E-2</v>
      </c>
      <c r="BL14" s="2">
        <f>BK14+預測IC!BL14</f>
        <v>0.13749041446051569</v>
      </c>
      <c r="BM14" s="2">
        <f>BL14+預測IC!BM14</f>
        <v>0.17208050909994552</v>
      </c>
      <c r="BN14" s="2">
        <f>BM14+預測IC!BN14</f>
        <v>0.19866464447936069</v>
      </c>
      <c r="BO14" s="2">
        <f>BN14+預測IC!BO14</f>
        <v>0.2228804604300571</v>
      </c>
      <c r="BP14" s="2">
        <f>BO14+預測IC!BP14</f>
        <v>0.23618404199359816</v>
      </c>
      <c r="BQ14" s="2">
        <f>BP14+預測IC!BQ14</f>
        <v>0.24364952098482959</v>
      </c>
      <c r="BR14" s="2">
        <f>BQ14+預測IC!BR14</f>
        <v>0.20048297622863337</v>
      </c>
      <c r="BS14" s="2">
        <f>BR14+預測IC!BS14</f>
        <v>0.15762879382292708</v>
      </c>
      <c r="BT14" s="2">
        <f>BS14+預測IC!BT14</f>
        <v>0.19246256636570794</v>
      </c>
      <c r="BU14" s="2">
        <f>BT14+預測IC!BU14</f>
        <v>8.5067528452239735E-2</v>
      </c>
      <c r="BV14" s="2">
        <f>BU14+預測IC!BV14</f>
        <v>7.1404787289849267E-2</v>
      </c>
      <c r="BW14" s="2">
        <f>BV14+預測IC!BW14</f>
        <v>0.21658430063930628</v>
      </c>
      <c r="BX14" s="2">
        <f>BW14+預測IC!BX14</f>
        <v>0.27394434717378602</v>
      </c>
      <c r="BY14" s="2">
        <f>BX14+預測IC!BY14</f>
        <v>0.22445033659643546</v>
      </c>
      <c r="BZ14" s="2">
        <f>BY14+預測IC!BZ14</f>
        <v>0.17467816298866312</v>
      </c>
      <c r="CA14" s="2">
        <f>BZ14+預測IC!CA14</f>
        <v>0.25340176035255468</v>
      </c>
      <c r="CB14" s="2">
        <f>CA14+預測IC!CB14</f>
        <v>0.14160751403244937</v>
      </c>
      <c r="CC14" s="2">
        <f>CB14+預測IC!CC14</f>
        <v>0.16157730598334608</v>
      </c>
      <c r="CD14" s="2">
        <f>CC14+預測IC!CD14</f>
        <v>0.2177141311452313</v>
      </c>
      <c r="CE14" s="2">
        <f>CD14+預測IC!CE14</f>
        <v>0.18863023834239992</v>
      </c>
      <c r="CF14" s="2">
        <f>CE14+預測IC!CF14</f>
        <v>0.26599188387966499</v>
      </c>
      <c r="CG14" s="2">
        <f>CF14+預測IC!CG14</f>
        <v>0.3531161606205801</v>
      </c>
      <c r="CH14" s="2">
        <f>CG14+預測IC!CH14</f>
        <v>0.41172946749215478</v>
      </c>
      <c r="CI14" s="2">
        <f>CH14+預測IC!CI14</f>
        <v>0.44296755111131797</v>
      </c>
      <c r="CJ14" s="2">
        <f>CI14+預測IC!CJ14</f>
        <v>0.43634674957315533</v>
      </c>
      <c r="CK14" s="2">
        <f>CJ14+預測IC!CK14</f>
        <v>0.46775618251133794</v>
      </c>
      <c r="CL14" s="2">
        <f>CK14+預測IC!CL14</f>
        <v>0.67419988552249321</v>
      </c>
      <c r="CM14" s="2">
        <f>CL14+預測IC!CM14</f>
        <v>0.63767930096189329</v>
      </c>
      <c r="CN14" s="2">
        <f>CM14+預測IC!CN14</f>
        <v>0.59188619885344995</v>
      </c>
      <c r="CO14" s="2">
        <f>CN14+預測IC!CO14</f>
        <v>0.52059547138800266</v>
      </c>
      <c r="CP14" s="2">
        <f>CO14+預測IC!CP14</f>
        <v>0.44563074620940579</v>
      </c>
      <c r="CQ14" s="2">
        <f>CP14+預測IC!CQ14</f>
        <v>0.4763549003874068</v>
      </c>
      <c r="CR14" s="2">
        <f>CQ14+預測IC!CR14</f>
        <v>0.42673429058707457</v>
      </c>
      <c r="CS14" s="2">
        <f>CR14+預測IC!CS14</f>
        <v>0.41456520389554152</v>
      </c>
      <c r="CT14" s="2">
        <f>CS14+預測IC!CT14</f>
        <v>0.48876913595130755</v>
      </c>
      <c r="CU14" s="2">
        <f>CT14+預測IC!CU14</f>
        <v>0.5748565015776782</v>
      </c>
      <c r="CV14" s="2">
        <f>CU14+預測IC!CV14</f>
        <v>0.59252944683013842</v>
      </c>
      <c r="CW14" s="2">
        <f>CV14+預測IC!CW14</f>
        <v>0.58306353214709628</v>
      </c>
      <c r="CX14" s="2">
        <f>CW14+預測IC!CX14</f>
        <v>0.5533212666026025</v>
      </c>
      <c r="CY14" s="2">
        <f>CX14+預測IC!CY14</f>
        <v>0.51903718616753602</v>
      </c>
      <c r="CZ14" s="2">
        <f>CY14+預測IC!CZ14</f>
        <v>0.6206900875821888</v>
      </c>
      <c r="DA14" s="2">
        <f>CZ14+預測IC!DA14</f>
        <v>0.66808994181441039</v>
      </c>
      <c r="DB14" s="2">
        <f>DA14+預測IC!DB14</f>
        <v>0.58445106241759148</v>
      </c>
      <c r="DC14" s="2">
        <f>DB14+預測IC!DC14</f>
        <v>0.59687202881170598</v>
      </c>
      <c r="DD14" s="2">
        <f>DC14+預測IC!DD14</f>
        <v>0.63269253175363138</v>
      </c>
      <c r="DE14" s="2">
        <f>DD14+預測IC!DE14</f>
        <v>0.62053573115388283</v>
      </c>
      <c r="DF14" s="2">
        <f>DE14+預測IC!DF14</f>
        <v>0.78378846533734947</v>
      </c>
      <c r="DG14" s="2">
        <f>DF14+預測IC!DG14</f>
        <v>0.74004719122286344</v>
      </c>
      <c r="DH14" s="2">
        <f>DG14+預測IC!DH14</f>
        <v>0.73848277226869707</v>
      </c>
      <c r="DI14" s="2">
        <f>DH14+預測IC!DI14</f>
        <v>0.86740287149855</v>
      </c>
      <c r="DJ14" s="2">
        <f>DI14+預測IC!DJ14</f>
        <v>0.89795372297926301</v>
      </c>
      <c r="DK14" s="2">
        <f>DJ14+預測IC!DK14</f>
        <v>0.89067854124132495</v>
      </c>
      <c r="DL14" s="2">
        <f>DK14+預測IC!DL14</f>
        <v>0.87926039356546992</v>
      </c>
      <c r="DM14" s="2">
        <f>DL14+預測IC!DM14</f>
        <v>0.89514004552438831</v>
      </c>
      <c r="DN14" s="2">
        <f>DM14+預測IC!DN14</f>
        <v>0.93735930063658612</v>
      </c>
      <c r="DO14" s="2">
        <f>DN14+預測IC!DO14</f>
        <v>0.85832674516334206</v>
      </c>
      <c r="DP14" s="2">
        <f>DO14+預測IC!DP14</f>
        <v>0.9189758593251639</v>
      </c>
      <c r="DQ14" s="2">
        <f>DP14+預測IC!DQ14</f>
        <v>0.82287472146122209</v>
      </c>
      <c r="DR14" s="2">
        <f>DQ14+預測IC!DR14</f>
        <v>0.80073316434093744</v>
      </c>
      <c r="DS14" s="2">
        <f>DR14+預測IC!DS14</f>
        <v>0.85526441323293811</v>
      </c>
      <c r="DT14" s="2">
        <f>DS14+預測IC!DT14</f>
        <v>0.78545260136369888</v>
      </c>
      <c r="DU14" s="2">
        <f>DT14+預測IC!DU14</f>
        <v>0.73442539088556891</v>
      </c>
      <c r="DV14" s="2">
        <f>DU14+預測IC!DV14</f>
        <v>0.73911009802026495</v>
      </c>
      <c r="DW14" s="2">
        <f>DV14+預測IC!DW14</f>
        <v>0.67810424782324896</v>
      </c>
      <c r="DX14" s="2">
        <f>DW14+預測IC!DX14</f>
        <v>0.77424211698702372</v>
      </c>
      <c r="DY14" s="2">
        <f>DX14+預測IC!DY14</f>
        <v>0.83481285487928292</v>
      </c>
      <c r="DZ14" s="2">
        <f>DY14+預測IC!DZ14</f>
        <v>0.82157639996631437</v>
      </c>
      <c r="EA14" s="2">
        <f>DZ14+預測IC!EA14</f>
        <v>0.87666027622173082</v>
      </c>
      <c r="EB14" s="2">
        <f>EA14+預測IC!EB14</f>
        <v>0.84281193610672922</v>
      </c>
      <c r="EC14" s="2">
        <f>EB14+預測IC!EC14</f>
        <v>0.84659764666665271</v>
      </c>
      <c r="ED14" s="2">
        <f>EC14+預測IC!ED14</f>
        <v>0.74766032067284371</v>
      </c>
      <c r="EE14" s="2">
        <f>ED14+預測IC!EE14</f>
        <v>0.73512532800310126</v>
      </c>
      <c r="EF14" s="2">
        <f>EE14+預測IC!EF14</f>
        <v>0.78579164855094163</v>
      </c>
      <c r="EG14" s="2">
        <f>EF14+預測IC!EG14</f>
        <v>0.65982683688145627</v>
      </c>
      <c r="EH14" s="2">
        <f>EG14+預測IC!EH14</f>
        <v>0.64814878363055739</v>
      </c>
      <c r="EI14" s="2">
        <f>EH14+預測IC!EI14</f>
        <v>0.65384415102401316</v>
      </c>
      <c r="EJ14" s="2">
        <f>EI14+預測IC!EJ14</f>
        <v>0.68037647750007013</v>
      </c>
      <c r="EK14" s="2">
        <f>EJ14+預測IC!EK14</f>
        <v>0.67878039766186626</v>
      </c>
      <c r="EL14" s="2">
        <f>EK14+預測IC!EL14</f>
        <v>0.58458177841996917</v>
      </c>
    </row>
    <row r="15" spans="1:142" x14ac:dyDescent="0.3">
      <c r="A15" s="18">
        <v>110</v>
      </c>
      <c r="B15" s="18">
        <f t="shared" si="10"/>
        <v>10</v>
      </c>
      <c r="C15" s="2">
        <v>-9.5037535583778296E-2</v>
      </c>
      <c r="D15" s="2">
        <f>C15+預測IC!D15</f>
        <v>-6.3006456012617479E-2</v>
      </c>
      <c r="E15" s="2">
        <f>D15+預測IC!E15</f>
        <v>-0.11963291688764609</v>
      </c>
      <c r="F15" s="2">
        <f>E15+預測IC!F15</f>
        <v>5.6563924512739019E-2</v>
      </c>
      <c r="G15" s="2">
        <f>F15+預測IC!G15</f>
        <v>0.12029535378356009</v>
      </c>
      <c r="H15" s="2">
        <f>G15+預測IC!H15</f>
        <v>0.20211100370723434</v>
      </c>
      <c r="I15" s="2">
        <f>H15+預測IC!I15</f>
        <v>0.30998427707912601</v>
      </c>
      <c r="J15" s="2">
        <f>I15+預測IC!J15</f>
        <v>0.44534293952226933</v>
      </c>
      <c r="K15" s="2">
        <f>J15+預測IC!K15</f>
        <v>0.19559241794380045</v>
      </c>
      <c r="L15" s="2">
        <f>K15+預測IC!L15</f>
        <v>9.2084295885045547E-2</v>
      </c>
      <c r="M15" s="2">
        <f>L15+預測IC!M15</f>
        <v>-5.5017967429190739E-2</v>
      </c>
      <c r="N15" s="2">
        <f>M15+預測IC!N15</f>
        <v>4.6657691027723366E-2</v>
      </c>
      <c r="O15" s="2">
        <f>N15+預測IC!O15</f>
        <v>2.7761148027542877E-2</v>
      </c>
      <c r="P15" s="2">
        <f>O15+預測IC!P15</f>
        <v>-3.9596812527653964E-2</v>
      </c>
      <c r="Q15" s="2">
        <f>P15+預測IC!Q15</f>
        <v>-8.1969429145491768E-2</v>
      </c>
      <c r="R15" s="2">
        <f>Q15+預測IC!R15</f>
        <v>-8.3385825794958748E-2</v>
      </c>
      <c r="S15" s="2">
        <f>R15+預測IC!S15</f>
        <v>-0.18690153913050184</v>
      </c>
      <c r="T15" s="2">
        <f>S15+預測IC!T15</f>
        <v>-0.24510002589879032</v>
      </c>
      <c r="U15" s="2">
        <f>T15+預測IC!U15</f>
        <v>-0.16098364237244847</v>
      </c>
      <c r="V15" s="2">
        <f>U15+預測IC!V15</f>
        <v>-0.22158363806214715</v>
      </c>
      <c r="W15" s="2">
        <f>V15+預測IC!W15</f>
        <v>-0.23702461575933859</v>
      </c>
      <c r="X15" s="2">
        <f>W15+預測IC!X15</f>
        <v>-3.2183659891936695E-2</v>
      </c>
      <c r="Y15" s="2">
        <f>X15+預測IC!Y15</f>
        <v>-2.5768588555146618E-2</v>
      </c>
      <c r="Z15" s="2">
        <f>Y15+預測IC!Z15</f>
        <v>5.4202429783036743E-2</v>
      </c>
      <c r="AA15" s="2">
        <f>Z15+預測IC!AA15</f>
        <v>3.0405580179831554E-2</v>
      </c>
      <c r="AB15" s="2">
        <f>AA15+預測IC!AB15</f>
        <v>-7.9257522550009646E-2</v>
      </c>
      <c r="AC15" s="2">
        <f>AB15+預測IC!AC15</f>
        <v>-0.1073120341580342</v>
      </c>
      <c r="AD15" s="2">
        <f>AC15+預測IC!AD15</f>
        <v>-0.15431939273505271</v>
      </c>
      <c r="AE15" s="2">
        <f>AD15+預測IC!AE15</f>
        <v>-0.24186522210106309</v>
      </c>
      <c r="AF15" s="2">
        <f>AE15+預測IC!AF15</f>
        <v>-0.28261377696087864</v>
      </c>
      <c r="AG15" s="2">
        <f>AF15+預測IC!AG15</f>
        <v>-0.27975214116575237</v>
      </c>
      <c r="AH15" s="2">
        <f>AG15+預測IC!AH15</f>
        <v>-0.27312351759881737</v>
      </c>
      <c r="AI15" s="2">
        <f>AH15+預測IC!AI15</f>
        <v>-0.21609797726405014</v>
      </c>
      <c r="AJ15" s="2">
        <f>AI15+預測IC!AJ15</f>
        <v>-0.22819529969997834</v>
      </c>
      <c r="AK15" s="2">
        <f>AJ15+預測IC!AK15</f>
        <v>-0.17023135855055041</v>
      </c>
      <c r="AL15" s="2">
        <f>AK15+預測IC!AL15</f>
        <v>-0.14178774910035957</v>
      </c>
      <c r="AM15" s="2">
        <f>AL15+預測IC!AM15</f>
        <v>-0.10725445753399517</v>
      </c>
      <c r="AN15" s="2">
        <f>AM15+預測IC!AN15</f>
        <v>-0.22595842384644246</v>
      </c>
      <c r="AO15" s="2">
        <f>AN15+預測IC!AO15</f>
        <v>-0.27300530537877682</v>
      </c>
      <c r="AP15" s="2">
        <f>AO15+預測IC!AP15</f>
        <v>-0.31083964472358971</v>
      </c>
      <c r="AQ15" s="2">
        <f>AP15+預測IC!AQ15</f>
        <v>-0.35458951412694073</v>
      </c>
      <c r="AR15" s="2">
        <f>AQ15+預測IC!AR15</f>
        <v>-0.24539938700891853</v>
      </c>
      <c r="AS15" s="2">
        <f>AR15+預測IC!AS15</f>
        <v>-0.18037058338966833</v>
      </c>
      <c r="AT15" s="2">
        <f>AS15+預測IC!AT15</f>
        <v>-0.18593971301035531</v>
      </c>
      <c r="AU15" s="2">
        <f>AT15+預測IC!AU15</f>
        <v>-0.23868337297587031</v>
      </c>
      <c r="AV15" s="2">
        <f>AU15+預測IC!AV15</f>
        <v>-0.32976718254133985</v>
      </c>
      <c r="AW15" s="2">
        <f>AV15+預測IC!AW15</f>
        <v>-0.23960910028168989</v>
      </c>
      <c r="AX15" s="2">
        <f>AW15+預測IC!AX15</f>
        <v>-0.12552940713484148</v>
      </c>
      <c r="AY15" s="2">
        <f>AX15+預測IC!AY15</f>
        <v>-0.13783750373578876</v>
      </c>
      <c r="AZ15" s="2">
        <f>AY15+預測IC!AZ15</f>
        <v>-0.1058232019548245</v>
      </c>
      <c r="BA15" s="2">
        <f>AZ15+預測IC!BA15</f>
        <v>-0.12228114044828922</v>
      </c>
      <c r="BB15" s="2">
        <f>BA15+預測IC!BB15</f>
        <v>1.5252299217988291E-2</v>
      </c>
      <c r="BC15" s="2">
        <f>BB15+預測IC!BC15</f>
        <v>8.2793183018230423E-2</v>
      </c>
      <c r="BD15" s="2">
        <f>BC15+預測IC!BD15</f>
        <v>6.1959169681245672E-2</v>
      </c>
      <c r="BE15" s="2">
        <f>BD15+預測IC!BE15</f>
        <v>7.2366690183517449E-3</v>
      </c>
      <c r="BF15" s="2">
        <f>BE15+預測IC!BF15</f>
        <v>-5.0556064777202932E-2</v>
      </c>
      <c r="BG15" s="2">
        <f>BF15+預測IC!BG15</f>
        <v>-7.4756837339514312E-3</v>
      </c>
      <c r="BH15" s="2">
        <f>BG15+預測IC!BH15</f>
        <v>6.1184329464384256E-2</v>
      </c>
      <c r="BI15" s="2">
        <f>BH15+預測IC!BI15</f>
        <v>1.7098351672810208E-2</v>
      </c>
      <c r="BJ15" s="2">
        <f>BI15+預測IC!BJ15</f>
        <v>5.5253928774846701E-2</v>
      </c>
      <c r="BK15" s="2">
        <f>BJ15+預測IC!BK15</f>
        <v>7.783853531914911E-2</v>
      </c>
      <c r="BL15" s="2">
        <f>BK15+預測IC!BL15</f>
        <v>0.14347499494299226</v>
      </c>
      <c r="BM15" s="2">
        <f>BL15+預測IC!BM15</f>
        <v>0.19354038173976532</v>
      </c>
      <c r="BN15" s="2">
        <f>BM15+預測IC!BN15</f>
        <v>0.2401215516402426</v>
      </c>
      <c r="BO15" s="2">
        <f>BN15+預測IC!BO15</f>
        <v>0.27151692511485687</v>
      </c>
      <c r="BP15" s="2">
        <f>BO15+預測IC!BP15</f>
        <v>0.29585535449148026</v>
      </c>
      <c r="BQ15" s="2">
        <f>BP15+預測IC!BQ15</f>
        <v>0.31155050763862574</v>
      </c>
      <c r="BR15" s="2">
        <f>BQ15+預測IC!BR15</f>
        <v>0.2364935118260775</v>
      </c>
      <c r="BS15" s="2">
        <f>BR15+預測IC!BS15</f>
        <v>0.21664023401144214</v>
      </c>
      <c r="BT15" s="2">
        <f>BS15+預測IC!BT15</f>
        <v>0.29035065946549299</v>
      </c>
      <c r="BU15" s="2">
        <f>BT15+預測IC!BU15</f>
        <v>0.23699930849422324</v>
      </c>
      <c r="BV15" s="2">
        <f>BU15+預測IC!BV15</f>
        <v>0.20336051995051296</v>
      </c>
      <c r="BW15" s="2">
        <f>BV15+預測IC!BW15</f>
        <v>0.39763001599029868</v>
      </c>
      <c r="BX15" s="2">
        <f>BW15+預測IC!BX15</f>
        <v>0.38972047549208555</v>
      </c>
      <c r="BY15" s="2">
        <f>BX15+預測IC!BY15</f>
        <v>0.28581287758550988</v>
      </c>
      <c r="BZ15" s="2">
        <f>BY15+預測IC!BZ15</f>
        <v>0.19904011712777062</v>
      </c>
      <c r="CA15" s="2">
        <f>BZ15+預測IC!CA15</f>
        <v>0.37860388273108125</v>
      </c>
      <c r="CB15" s="2">
        <f>CA15+預測IC!CB15</f>
        <v>0.31415211544239208</v>
      </c>
      <c r="CC15" s="2">
        <f>CB15+預測IC!CC15</f>
        <v>0.28362209889965495</v>
      </c>
      <c r="CD15" s="2">
        <f>CC15+預測IC!CD15</f>
        <v>0.37877847565996664</v>
      </c>
      <c r="CE15" s="2">
        <f>CD15+預測IC!CE15</f>
        <v>0.27376751916945885</v>
      </c>
      <c r="CF15" s="2">
        <f>CE15+預測IC!CF15</f>
        <v>0.35268798086423403</v>
      </c>
      <c r="CG15" s="2">
        <f>CF15+預測IC!CG15</f>
        <v>0.61183698148580157</v>
      </c>
      <c r="CH15" s="2">
        <f>CG15+預測IC!CH15</f>
        <v>0.67935676063373984</v>
      </c>
      <c r="CI15" s="2">
        <f>CH15+預測IC!CI15</f>
        <v>0.69126528809230836</v>
      </c>
      <c r="CJ15" s="2">
        <f>CI15+預測IC!CJ15</f>
        <v>0.64729318418879989</v>
      </c>
      <c r="CK15" s="2">
        <f>CJ15+預測IC!CK15</f>
        <v>0.71573113705442826</v>
      </c>
      <c r="CL15" s="2">
        <f>CK15+預測IC!CL15</f>
        <v>1.0063322290389318</v>
      </c>
      <c r="CM15" s="2">
        <f>CL15+預測IC!CM15</f>
        <v>0.98017148852896219</v>
      </c>
      <c r="CN15" s="2">
        <f>CM15+預測IC!CN15</f>
        <v>0.89429935568124741</v>
      </c>
      <c r="CO15" s="2">
        <f>CN15+預測IC!CO15</f>
        <v>0.69920328397160203</v>
      </c>
      <c r="CP15" s="2">
        <f>CO15+預測IC!CP15</f>
        <v>0.69136416383414967</v>
      </c>
      <c r="CQ15" s="2">
        <f>CP15+預測IC!CQ15</f>
        <v>0.69425420994509957</v>
      </c>
      <c r="CR15" s="2">
        <f>CQ15+預測IC!CR15</f>
        <v>0.65986592630510288</v>
      </c>
      <c r="CS15" s="2">
        <f>CR15+預測IC!CS15</f>
        <v>0.65086466627201967</v>
      </c>
      <c r="CT15" s="2">
        <f>CS15+預測IC!CT15</f>
        <v>0.67074272041517791</v>
      </c>
      <c r="CU15" s="2">
        <f>CT15+預測IC!CU15</f>
        <v>0.84157184106513072</v>
      </c>
      <c r="CV15" s="2">
        <f>CU15+預測IC!CV15</f>
        <v>0.87071826938718166</v>
      </c>
      <c r="CW15" s="2">
        <f>CV15+預測IC!CW15</f>
        <v>0.88199764905487377</v>
      </c>
      <c r="CX15" s="2">
        <f>CW15+預測IC!CX15</f>
        <v>0.84196826545080639</v>
      </c>
      <c r="CY15" s="2">
        <f>CX15+預測IC!CY15</f>
        <v>0.79930182045111631</v>
      </c>
      <c r="CZ15" s="2">
        <f>CY15+預測IC!CZ15</f>
        <v>0.94322166235115634</v>
      </c>
      <c r="DA15" s="2">
        <f>CZ15+預測IC!DA15</f>
        <v>1.0118197300858069</v>
      </c>
      <c r="DB15" s="2">
        <f>DA15+預測IC!DB15</f>
        <v>0.97188733713736586</v>
      </c>
      <c r="DC15" s="2">
        <f>DB15+預測IC!DC15</f>
        <v>0.98948571355137116</v>
      </c>
      <c r="DD15" s="2">
        <f>DC15+預測IC!DD15</f>
        <v>1.1764071149774225</v>
      </c>
      <c r="DE15" s="2">
        <f>DD15+預測IC!DE15</f>
        <v>1.1185692590572229</v>
      </c>
      <c r="DF15" s="2">
        <f>DE15+預測IC!DF15</f>
        <v>1.4180048880244303</v>
      </c>
      <c r="DG15" s="2">
        <f>DF15+預測IC!DG15</f>
        <v>1.3778332547687944</v>
      </c>
      <c r="DH15" s="2">
        <f>DG15+預測IC!DH15</f>
        <v>1.3119094424895767</v>
      </c>
      <c r="DI15" s="2">
        <f>DH15+預測IC!DI15</f>
        <v>1.332100366916539</v>
      </c>
      <c r="DJ15" s="2">
        <f>DI15+預測IC!DJ15</f>
        <v>1.3502454775012558</v>
      </c>
      <c r="DK15" s="2">
        <f>DJ15+預測IC!DK15</f>
        <v>1.4464739631467964</v>
      </c>
      <c r="DL15" s="2">
        <f>DK15+預測IC!DL15</f>
        <v>1.4805486102844756</v>
      </c>
      <c r="DM15" s="2">
        <f>DL15+預測IC!DM15</f>
        <v>1.4281385380146014</v>
      </c>
      <c r="DN15" s="2">
        <f>DM15+預測IC!DN15</f>
        <v>1.4401253622282311</v>
      </c>
      <c r="DO15" s="2">
        <f>DN15+預測IC!DO15</f>
        <v>1.3016783377720125</v>
      </c>
      <c r="DP15" s="2">
        <f>DO15+預測IC!DP15</f>
        <v>1.2882669117979346</v>
      </c>
      <c r="DQ15" s="2">
        <f>DP15+預測IC!DQ15</f>
        <v>1.1543347649629421</v>
      </c>
      <c r="DR15" s="2">
        <f>DQ15+預測IC!DR15</f>
        <v>1.1375513770825327</v>
      </c>
      <c r="DS15" s="2">
        <f>DR15+預測IC!DS15</f>
        <v>1.2342183386964305</v>
      </c>
      <c r="DT15" s="2">
        <f>DS15+預測IC!DT15</f>
        <v>1.134260000372751</v>
      </c>
      <c r="DU15" s="2">
        <f>DT15+預測IC!DU15</f>
        <v>1.0937656829263087</v>
      </c>
      <c r="DV15" s="2">
        <f>DU15+預測IC!DV15</f>
        <v>1.1127503900404054</v>
      </c>
      <c r="DW15" s="2">
        <f>DV15+預測IC!DW15</f>
        <v>1.0727655423270588</v>
      </c>
      <c r="DX15" s="2">
        <f>DW15+預測IC!DX15</f>
        <v>1.1107699479487454</v>
      </c>
      <c r="DY15" s="2">
        <f>DX15+預測IC!DY15</f>
        <v>1.2282613782589096</v>
      </c>
      <c r="DZ15" s="2">
        <f>DY15+預測IC!DZ15</f>
        <v>1.1941790974238327</v>
      </c>
      <c r="EA15" s="2">
        <f>DZ15+預測IC!EA15</f>
        <v>1.188267561033248</v>
      </c>
      <c r="EB15" s="2">
        <f>EA15+預測IC!EB15</f>
        <v>1.1576160257437902</v>
      </c>
      <c r="EC15" s="2">
        <f>EB15+預測IC!EC15</f>
        <v>1.1526288131866664</v>
      </c>
      <c r="ED15" s="2">
        <f>EC15+預測IC!ED15</f>
        <v>1.0104674188816791</v>
      </c>
      <c r="EE15" s="2">
        <f>ED15+預測IC!EE15</f>
        <v>1.0008498595847604</v>
      </c>
      <c r="EF15" s="2">
        <f>EE15+預測IC!EF15</f>
        <v>1.0363655931872924</v>
      </c>
      <c r="EG15" s="2">
        <f>EF15+預測IC!EG15</f>
        <v>0.77491685160835622</v>
      </c>
      <c r="EH15" s="2">
        <f>EG15+預測IC!EH15</f>
        <v>0.75156649837210199</v>
      </c>
      <c r="EI15" s="2">
        <f>EH15+預測IC!EI15</f>
        <v>0.78002199716986365</v>
      </c>
      <c r="EJ15" s="2">
        <f>EI15+預測IC!EJ15</f>
        <v>0.8376542412292447</v>
      </c>
      <c r="EK15" s="2">
        <f>EJ15+預測IC!EK15</f>
        <v>0.93965297728596509</v>
      </c>
      <c r="EL15" s="2">
        <f>EK15+預測IC!EL15</f>
        <v>0.89888260304568468</v>
      </c>
    </row>
    <row r="16" spans="1:142" x14ac:dyDescent="0.3">
      <c r="A16" s="18">
        <v>120</v>
      </c>
      <c r="B16" s="18">
        <f t="shared" si="10"/>
        <v>9</v>
      </c>
      <c r="C16" s="2">
        <v>-9.71680377431344E-2</v>
      </c>
      <c r="D16" s="2">
        <f>C16+預測IC!D16</f>
        <v>-8.8824306176499002E-2</v>
      </c>
      <c r="E16" s="2">
        <f>D16+預測IC!E16</f>
        <v>-0.1632845506316119</v>
      </c>
      <c r="F16" s="2">
        <f>E16+預測IC!F16</f>
        <v>3.7069991914719103E-3</v>
      </c>
      <c r="G16" s="2">
        <f>F16+預測IC!G16</f>
        <v>7.4446526754584463E-2</v>
      </c>
      <c r="H16" s="2">
        <f>G16+預測IC!H16</f>
        <v>0.15702781567857499</v>
      </c>
      <c r="I16" s="2">
        <f>H16+預測IC!I16</f>
        <v>0.27306612124203067</v>
      </c>
      <c r="J16" s="2">
        <f>I16+預測IC!J16</f>
        <v>0.42292689811514861</v>
      </c>
      <c r="K16" s="2">
        <f>J16+預測IC!K16</f>
        <v>0.13504933778562633</v>
      </c>
      <c r="L16" s="2">
        <f>K16+預測IC!L16</f>
        <v>4.2543177768514684E-2</v>
      </c>
      <c r="M16" s="2">
        <f>L16+預測IC!M16</f>
        <v>-0.11631638538399811</v>
      </c>
      <c r="N16" s="2">
        <f>M16+預測IC!N16</f>
        <v>-7.4329024330517107E-3</v>
      </c>
      <c r="O16" s="2">
        <f>N16+預測IC!O16</f>
        <v>-3.6804850495191416E-2</v>
      </c>
      <c r="P16" s="2">
        <f>O16+預測IC!P16</f>
        <v>-0.11645441260831452</v>
      </c>
      <c r="Q16" s="2">
        <f>P16+預測IC!Q16</f>
        <v>-0.16447474316134486</v>
      </c>
      <c r="R16" s="2">
        <f>Q16+預測IC!R16</f>
        <v>-0.15589760103118455</v>
      </c>
      <c r="S16" s="2">
        <f>R16+預測IC!S16</f>
        <v>-0.26448613038359087</v>
      </c>
      <c r="T16" s="2">
        <f>S16+預測IC!T16</f>
        <v>-0.35871285653718371</v>
      </c>
      <c r="U16" s="2">
        <f>T16+預測IC!U16</f>
        <v>-0.28672562564961052</v>
      </c>
      <c r="V16" s="2">
        <f>U16+預測IC!V16</f>
        <v>-0.36202150787823739</v>
      </c>
      <c r="W16" s="2">
        <f>V16+預測IC!W16</f>
        <v>-0.42476555059940135</v>
      </c>
      <c r="X16" s="2">
        <f>W16+預測IC!X16</f>
        <v>-0.24135398800751015</v>
      </c>
      <c r="Y16" s="2">
        <f>X16+預測IC!Y16</f>
        <v>-0.22439788456189261</v>
      </c>
      <c r="Z16" s="2">
        <f>Y16+預測IC!Z16</f>
        <v>-0.14366270231255304</v>
      </c>
      <c r="AA16" s="2">
        <f>Z16+預測IC!AA16</f>
        <v>-0.18285317779639912</v>
      </c>
      <c r="AB16" s="2">
        <f>AA16+預測IC!AB16</f>
        <v>-0.30384247919600982</v>
      </c>
      <c r="AC16" s="2">
        <f>AB16+預測IC!AC16</f>
        <v>-0.33300988068176213</v>
      </c>
      <c r="AD16" s="2">
        <f>AC16+預測IC!AD16</f>
        <v>-0.34489341465029866</v>
      </c>
      <c r="AE16" s="2">
        <f>AD16+預測IC!AE16</f>
        <v>-0.45660121229487083</v>
      </c>
      <c r="AF16" s="2">
        <f>AE16+預測IC!AF16</f>
        <v>-0.5036561442826728</v>
      </c>
      <c r="AG16" s="2">
        <f>AF16+預測IC!AG16</f>
        <v>-0.50631320073966257</v>
      </c>
      <c r="AH16" s="2">
        <f>AG16+預測IC!AH16</f>
        <v>-0.51871382959342061</v>
      </c>
      <c r="AI16" s="2">
        <f>AH16+預測IC!AI16</f>
        <v>-0.4647810260214239</v>
      </c>
      <c r="AJ16" s="2">
        <f>AI16+預測IC!AJ16</f>
        <v>-0.50050110893141608</v>
      </c>
      <c r="AK16" s="2">
        <f>AJ16+預測IC!AK16</f>
        <v>-0.43607970809904401</v>
      </c>
      <c r="AL16" s="2">
        <f>AK16+預測IC!AL16</f>
        <v>-0.41130181010358374</v>
      </c>
      <c r="AM16" s="2">
        <f>AL16+預測IC!AM16</f>
        <v>-0.38271058362131366</v>
      </c>
      <c r="AN16" s="2">
        <f>AM16+預測IC!AN16</f>
        <v>-0.52011349752879643</v>
      </c>
      <c r="AO16" s="2">
        <f>AN16+預測IC!AO16</f>
        <v>-0.56453316987012414</v>
      </c>
      <c r="AP16" s="2">
        <f>AO16+預測IC!AP16</f>
        <v>-0.62748864587306652</v>
      </c>
      <c r="AQ16" s="2">
        <f>AP16+預測IC!AQ16</f>
        <v>-0.67288424074096043</v>
      </c>
      <c r="AR16" s="2">
        <f>AQ16+預測IC!AR16</f>
        <v>-0.56223120665288695</v>
      </c>
      <c r="AS16" s="2">
        <f>AR16+預測IC!AS16</f>
        <v>-0.49651111480450927</v>
      </c>
      <c r="AT16" s="2">
        <f>AS16+預測IC!AT16</f>
        <v>-0.50147034952243363</v>
      </c>
      <c r="AU16" s="2">
        <f>AT16+預測IC!AU16</f>
        <v>-0.56622777351139952</v>
      </c>
      <c r="AV16" s="2">
        <f>AU16+預測IC!AV16</f>
        <v>-0.65568705825140539</v>
      </c>
      <c r="AW16" s="2">
        <f>AV16+預測IC!AW16</f>
        <v>-0.56085268863734838</v>
      </c>
      <c r="AX16" s="2">
        <f>AW16+預測IC!AX16</f>
        <v>-0.4472570917254004</v>
      </c>
      <c r="AY16" s="2">
        <f>AX16+預測IC!AY16</f>
        <v>-0.45842523658390594</v>
      </c>
      <c r="AZ16" s="2">
        <f>AY16+預測IC!AZ16</f>
        <v>-0.43180523750729644</v>
      </c>
      <c r="BA16" s="2">
        <f>AZ16+預測IC!BA16</f>
        <v>-0.44390222331543822</v>
      </c>
      <c r="BB16" s="2">
        <f>BA16+預測IC!BB16</f>
        <v>-0.31092356655573022</v>
      </c>
      <c r="BC16" s="2">
        <f>BB16+預測IC!BC16</f>
        <v>-0.24553123601943039</v>
      </c>
      <c r="BD16" s="2">
        <f>BC16+預測IC!BD16</f>
        <v>-0.27057897303864753</v>
      </c>
      <c r="BE16" s="2">
        <f>BD16+預測IC!BE16</f>
        <v>-0.31784058265716714</v>
      </c>
      <c r="BF16" s="2">
        <f>BE16+預測IC!BF16</f>
        <v>-0.3768884393879906</v>
      </c>
      <c r="BG16" s="2">
        <f>BF16+預測IC!BG16</f>
        <v>-0.31995863702996175</v>
      </c>
      <c r="BH16" s="2">
        <f>BG16+預測IC!BH16</f>
        <v>-0.26074365811913958</v>
      </c>
      <c r="BI16" s="2">
        <f>BH16+預測IC!BI16</f>
        <v>-0.30109209264882542</v>
      </c>
      <c r="BJ16" s="2">
        <f>BI16+預測IC!BJ16</f>
        <v>-0.27207937350419792</v>
      </c>
      <c r="BK16" s="2">
        <f>BJ16+預測IC!BK16</f>
        <v>-0.23559102230260495</v>
      </c>
      <c r="BL16" s="2">
        <f>BK16+預測IC!BL16</f>
        <v>-0.1635072484930723</v>
      </c>
      <c r="BM16" s="2">
        <f>BL16+預測IC!BM16</f>
        <v>-0.12001973154807223</v>
      </c>
      <c r="BN16" s="2">
        <f>BM16+預測IC!BN16</f>
        <v>-7.5178402102705238E-2</v>
      </c>
      <c r="BO16" s="2">
        <f>BN16+預測IC!BO16</f>
        <v>-4.9477323216449876E-2</v>
      </c>
      <c r="BP16" s="2">
        <f>BO16+預測IC!BP16</f>
        <v>-1.4557310394308624E-2</v>
      </c>
      <c r="BQ16" s="2">
        <f>BP16+預測IC!BQ16</f>
        <v>1.9687231914159269E-3</v>
      </c>
      <c r="BR16" s="2">
        <f>BQ16+預測IC!BR16</f>
        <v>-5.8620574887658983E-2</v>
      </c>
      <c r="BS16" s="2">
        <f>BR16+預測IC!BS16</f>
        <v>-6.7893928305852683E-2</v>
      </c>
      <c r="BT16" s="2">
        <f>BS16+預測IC!BT16</f>
        <v>-8.0811475082901152E-3</v>
      </c>
      <c r="BU16" s="2">
        <f>BT16+預測IC!BU16</f>
        <v>-5.0566387226056587E-2</v>
      </c>
      <c r="BV16" s="2">
        <f>BU16+預測IC!BV16</f>
        <v>-7.6692558005420436E-2</v>
      </c>
      <c r="BW16" s="2">
        <f>BV16+預測IC!BW16</f>
        <v>0.13613808317028475</v>
      </c>
      <c r="BX16" s="2">
        <f>BW16+預測IC!BX16</f>
        <v>0.14423732677475423</v>
      </c>
      <c r="BY16" s="2">
        <f>BX16+預測IC!BY16</f>
        <v>4.3035109401344029E-2</v>
      </c>
      <c r="BZ16" s="2">
        <f>BY16+預測IC!BZ16</f>
        <v>-3.6899462501897962E-2</v>
      </c>
      <c r="CA16" s="2">
        <f>BZ16+預測IC!CA16</f>
        <v>0.13455386100867273</v>
      </c>
      <c r="CB16" s="2">
        <f>CA16+預測IC!CB16</f>
        <v>6.9289164514641191E-2</v>
      </c>
      <c r="CC16" s="2">
        <f>CB16+預測IC!CC16</f>
        <v>8.1397724208630215E-3</v>
      </c>
      <c r="CD16" s="2">
        <f>CC16+預測IC!CD16</f>
        <v>0.11459411422508961</v>
      </c>
      <c r="CE16" s="2">
        <f>CD16+預測IC!CE16</f>
        <v>-6.2881376779895942E-3</v>
      </c>
      <c r="CF16" s="2">
        <f>CE16+預測IC!CF16</f>
        <v>7.6652198518761913E-2</v>
      </c>
      <c r="CG16" s="2">
        <f>CF16+預測IC!CG16</f>
        <v>0.320700110051516</v>
      </c>
      <c r="CH16" s="2">
        <f>CG16+預測IC!CH16</f>
        <v>0.36875461459722514</v>
      </c>
      <c r="CI16" s="2">
        <f>CH16+預測IC!CI16</f>
        <v>0.28920526258859836</v>
      </c>
      <c r="CJ16" s="2">
        <f>CI16+預測IC!CJ16</f>
        <v>0.23246208246746536</v>
      </c>
      <c r="CK16" s="2">
        <f>CJ16+預測IC!CK16</f>
        <v>0.34114700896477346</v>
      </c>
      <c r="CL16" s="2">
        <f>CK16+預測IC!CL16</f>
        <v>0.65268980423920897</v>
      </c>
      <c r="CM16" s="2">
        <f>CL16+預測IC!CM16</f>
        <v>0.6314259144366029</v>
      </c>
      <c r="CN16" s="2">
        <f>CM16+預測IC!CN16</f>
        <v>0.57004603949927757</v>
      </c>
      <c r="CO16" s="2">
        <f>CN16+預測IC!CO16</f>
        <v>0.3598904387442966</v>
      </c>
      <c r="CP16" s="2">
        <f>CO16+預測IC!CP16</f>
        <v>0.34636740628296836</v>
      </c>
      <c r="CQ16" s="2">
        <f>CP16+預測IC!CQ16</f>
        <v>0.34284090530123712</v>
      </c>
      <c r="CR16" s="2">
        <f>CQ16+預測IC!CR16</f>
        <v>0.31211671365660965</v>
      </c>
      <c r="CS16" s="2">
        <f>CR16+預測IC!CS16</f>
        <v>0.3021153136198505</v>
      </c>
      <c r="CT16" s="2">
        <f>CS16+預測IC!CT16</f>
        <v>0.33102459964119185</v>
      </c>
      <c r="CU16" s="2">
        <f>CT16+預測IC!CU16</f>
        <v>0.503920820857227</v>
      </c>
      <c r="CV16" s="2">
        <f>CU16+預測IC!CV16</f>
        <v>0.52422211543951591</v>
      </c>
      <c r="CW16" s="2">
        <f>CV16+預測IC!CW16</f>
        <v>0.53078102381777215</v>
      </c>
      <c r="CX16" s="2">
        <f>CW16+預測IC!CX16</f>
        <v>0.50385772036638321</v>
      </c>
      <c r="CY16" s="2">
        <f>CX16+預測IC!CY16</f>
        <v>0.45422008096155342</v>
      </c>
      <c r="CZ16" s="2">
        <f>CY16+預測IC!CZ16</f>
        <v>0.61407831964853998</v>
      </c>
      <c r="DA16" s="2">
        <f>CZ16+預測IC!DA16</f>
        <v>0.70996686818939692</v>
      </c>
      <c r="DB16" s="2">
        <f>DA16+預測IC!DB16</f>
        <v>0.65260642363378973</v>
      </c>
      <c r="DC16" s="2">
        <f>DB16+預測IC!DC16</f>
        <v>0.6682015999112233</v>
      </c>
      <c r="DD16" s="2">
        <f>DC16+預測IC!DD16</f>
        <v>0.87786315719380947</v>
      </c>
      <c r="DE16" s="2">
        <f>DD16+預測IC!DE16</f>
        <v>0.83062320490768049</v>
      </c>
      <c r="DF16" s="2">
        <f>DE16+預測IC!DF16</f>
        <v>1.1525529550741944</v>
      </c>
      <c r="DG16" s="2">
        <f>DF16+預測IC!DG16</f>
        <v>1.1081035621318651</v>
      </c>
      <c r="DH16" s="2">
        <f>DG16+預測IC!DH16</f>
        <v>1.0600394320512683</v>
      </c>
      <c r="DI16" s="2">
        <f>DH16+預測IC!DI16</f>
        <v>1.1033425633191558</v>
      </c>
      <c r="DJ16" s="2">
        <f>DI16+預測IC!DJ16</f>
        <v>1.1221546249976722</v>
      </c>
      <c r="DK16" s="2">
        <f>DJ16+預測IC!DK16</f>
        <v>1.2267124974900803</v>
      </c>
      <c r="DL16" s="2">
        <f>DK16+預測IC!DL16</f>
        <v>1.2633069793396272</v>
      </c>
      <c r="DM16" s="2">
        <f>DL16+預測IC!DM16</f>
        <v>1.2127159165031227</v>
      </c>
      <c r="DN16" s="2">
        <f>DM16+預測IC!DN16</f>
        <v>1.2349498832832981</v>
      </c>
      <c r="DO16" s="2">
        <f>DN16+預測IC!DO16</f>
        <v>1.0594601139315971</v>
      </c>
      <c r="DP16" s="2">
        <f>DO16+預測IC!DP16</f>
        <v>1.0646532714618122</v>
      </c>
      <c r="DQ16" s="2">
        <f>DP16+預測IC!DQ16</f>
        <v>0.92841118121180732</v>
      </c>
      <c r="DR16" s="2">
        <f>DQ16+預測IC!DR16</f>
        <v>0.8964575123328159</v>
      </c>
      <c r="DS16" s="2">
        <f>DR16+預測IC!DS16</f>
        <v>1.0129040808804597</v>
      </c>
      <c r="DT16" s="2">
        <f>DS16+預測IC!DT16</f>
        <v>0.90019631024634783</v>
      </c>
      <c r="DU16" s="2">
        <f>DT16+預測IC!DU16</f>
        <v>0.88482098279136301</v>
      </c>
      <c r="DV16" s="2">
        <f>DU16+預測IC!DV16</f>
        <v>0.90399432305857352</v>
      </c>
      <c r="DW16" s="2">
        <f>DV16+預測IC!DW16</f>
        <v>0.88328329259494875</v>
      </c>
      <c r="DX16" s="2">
        <f>DW16+預測IC!DX16</f>
        <v>0.92750196759700176</v>
      </c>
      <c r="DY16" s="2">
        <f>DX16+預測IC!DY16</f>
        <v>1.0419722699180605</v>
      </c>
      <c r="DZ16" s="2">
        <f>DY16+預測IC!DZ16</f>
        <v>0.99579332908310247</v>
      </c>
      <c r="EA16" s="2">
        <f>DZ16+預測IC!EA16</f>
        <v>0.99693589881304279</v>
      </c>
      <c r="EB16" s="2">
        <f>EA16+預測IC!EB16</f>
        <v>0.96624678941523989</v>
      </c>
      <c r="EC16" s="2">
        <f>EB16+預測IC!EC16</f>
        <v>0.95149554387916679</v>
      </c>
      <c r="ED16" s="2">
        <f>EC16+預測IC!ED16</f>
        <v>0.8040739759694947</v>
      </c>
      <c r="EE16" s="2">
        <f>ED16+預測IC!EE16</f>
        <v>0.79253636866785504</v>
      </c>
      <c r="EF16" s="2">
        <f>EE16+預測IC!EF16</f>
        <v>0.8214462551273114</v>
      </c>
      <c r="EG16" s="2">
        <f>EF16+預測IC!EG16</f>
        <v>0.54038176059998677</v>
      </c>
      <c r="EH16" s="2">
        <f>EG16+預測IC!EH16</f>
        <v>0.51984779866358277</v>
      </c>
      <c r="EI16" s="2">
        <f>EH16+預測IC!EI16</f>
        <v>0.5456595287693804</v>
      </c>
      <c r="EJ16" s="2">
        <f>EI16+預測IC!EJ16</f>
        <v>0.60108849470695247</v>
      </c>
      <c r="EK16" s="2">
        <f>EJ16+預測IC!EK16</f>
        <v>0.7402706364150643</v>
      </c>
      <c r="EL16" s="2">
        <f>EK16+預測IC!EL16</f>
        <v>0.70668081191188825</v>
      </c>
    </row>
    <row r="17" spans="1:142" x14ac:dyDescent="0.3">
      <c r="A17" s="18">
        <v>130</v>
      </c>
      <c r="B17" s="18">
        <f t="shared" si="10"/>
        <v>8</v>
      </c>
      <c r="C17" s="2">
        <v>-0.10848541786298629</v>
      </c>
      <c r="D17" s="2">
        <f>C17+預測IC!D17</f>
        <v>-0.1080759683840035</v>
      </c>
      <c r="E17" s="2">
        <f>D17+預測IC!E17</f>
        <v>-0.16562737507843894</v>
      </c>
      <c r="F17" s="2">
        <f>E17+預測IC!F17</f>
        <v>2.3270329127403067E-2</v>
      </c>
      <c r="G17" s="2">
        <f>F17+預測IC!G17</f>
        <v>6.2670223829117896E-2</v>
      </c>
      <c r="H17" s="2">
        <f>G17+預測IC!H17</f>
        <v>0.10262351905363554</v>
      </c>
      <c r="I17" s="2">
        <f>H17+預測IC!I17</f>
        <v>0.22573089493602724</v>
      </c>
      <c r="J17" s="2">
        <f>I17+預測IC!J17</f>
        <v>0.3853719059194578</v>
      </c>
      <c r="K17" s="2">
        <f>J17+預測IC!K17</f>
        <v>0.10370662385935869</v>
      </c>
      <c r="L17" s="2">
        <f>K17+預測IC!L17</f>
        <v>3.0474435818023768E-2</v>
      </c>
      <c r="M17" s="2">
        <f>L17+預測IC!M17</f>
        <v>-0.15008196559462206</v>
      </c>
      <c r="N17" s="2">
        <f>M17+預測IC!N17</f>
        <v>-3.3019068957616263E-2</v>
      </c>
      <c r="O17" s="2">
        <f>N17+預測IC!O17</f>
        <v>-5.708636327654909E-2</v>
      </c>
      <c r="P17" s="2">
        <f>O17+預測IC!P17</f>
        <v>-0.14428291231738627</v>
      </c>
      <c r="Q17" s="2">
        <f>P17+預測IC!Q17</f>
        <v>-0.19450198921063694</v>
      </c>
      <c r="R17" s="2">
        <f>Q17+預測IC!R17</f>
        <v>-0.19471007939572191</v>
      </c>
      <c r="S17" s="2">
        <f>R17+預測IC!S17</f>
        <v>-0.32793628975932171</v>
      </c>
      <c r="T17" s="2">
        <f>S17+預測IC!T17</f>
        <v>-0.42181301721581499</v>
      </c>
      <c r="U17" s="2">
        <f>T17+預測IC!U17</f>
        <v>-0.34820733519268177</v>
      </c>
      <c r="V17" s="2">
        <f>U17+預測IC!V17</f>
        <v>-0.41966662302520841</v>
      </c>
      <c r="W17" s="2">
        <f>V17+預測IC!W17</f>
        <v>-0.49624831970189565</v>
      </c>
      <c r="X17" s="2">
        <f>W17+預測IC!X17</f>
        <v>-0.31999586433921323</v>
      </c>
      <c r="Y17" s="2">
        <f>X17+預測IC!Y17</f>
        <v>-0.29255436477991492</v>
      </c>
      <c r="Z17" s="2">
        <f>Y17+預測IC!Z17</f>
        <v>-0.20672433828498993</v>
      </c>
      <c r="AA17" s="2">
        <f>Z17+預測IC!AA17</f>
        <v>-0.25257918927977063</v>
      </c>
      <c r="AB17" s="2">
        <f>AA17+預測IC!AB17</f>
        <v>-0.37338148106040092</v>
      </c>
      <c r="AC17" s="2">
        <f>AB17+預測IC!AC17</f>
        <v>-0.4128697422210299</v>
      </c>
      <c r="AD17" s="2">
        <f>AC17+預測IC!AD17</f>
        <v>-0.42510768972151175</v>
      </c>
      <c r="AE17" s="2">
        <f>AD17+預測IC!AE17</f>
        <v>-0.54920862587487052</v>
      </c>
      <c r="AF17" s="2">
        <f>AE17+預測IC!AF17</f>
        <v>-0.58179085263842589</v>
      </c>
      <c r="AG17" s="2">
        <f>AF17+預測IC!AG17</f>
        <v>-0.58305587588599739</v>
      </c>
      <c r="AH17" s="2">
        <f>AG17+預測IC!AH17</f>
        <v>-0.58511621815087533</v>
      </c>
      <c r="AI17" s="2">
        <f>AH17+預測IC!AI17</f>
        <v>-0.54787248835660707</v>
      </c>
      <c r="AJ17" s="2">
        <f>AI17+預測IC!AJ17</f>
        <v>-0.59043214421668022</v>
      </c>
      <c r="AK17" s="2">
        <f>AJ17+預測IC!AK17</f>
        <v>-0.55861965821686033</v>
      </c>
      <c r="AL17" s="2">
        <f>AK17+預測IC!AL17</f>
        <v>-0.52444668084982538</v>
      </c>
      <c r="AM17" s="2">
        <f>AL17+預測IC!AM17</f>
        <v>-0.47991903691481586</v>
      </c>
      <c r="AN17" s="2">
        <f>AM17+預測IC!AN17</f>
        <v>-0.59495074444639529</v>
      </c>
      <c r="AO17" s="2">
        <f>AN17+預測IC!AO17</f>
        <v>-0.6237016681936467</v>
      </c>
      <c r="AP17" s="2">
        <f>AO17+預測IC!AP17</f>
        <v>-0.70890443881566756</v>
      </c>
      <c r="AQ17" s="2">
        <f>AP17+預測IC!AQ17</f>
        <v>-0.74474482680415088</v>
      </c>
      <c r="AR17" s="2">
        <f>AQ17+預測IC!AR17</f>
        <v>-0.61863438116974379</v>
      </c>
      <c r="AS17" s="2">
        <f>AR17+預測IC!AS17</f>
        <v>-0.53253470811345383</v>
      </c>
      <c r="AT17" s="2">
        <f>AS17+預測IC!AT17</f>
        <v>-0.56099419684098595</v>
      </c>
      <c r="AU17" s="2">
        <f>AT17+預測IC!AU17</f>
        <v>-0.60534866004855903</v>
      </c>
      <c r="AV17" s="2">
        <f>AU17+預測IC!AV17</f>
        <v>-0.66205496490647986</v>
      </c>
      <c r="AW17" s="2">
        <f>AV17+預測IC!AW17</f>
        <v>-0.54805470560153524</v>
      </c>
      <c r="AX17" s="2">
        <f>AW17+預測IC!AX17</f>
        <v>-0.45204362279299259</v>
      </c>
      <c r="AY17" s="2">
        <f>AX17+預測IC!AY17</f>
        <v>-0.46280996271577152</v>
      </c>
      <c r="AZ17" s="2">
        <f>AY17+預測IC!AZ17</f>
        <v>-0.43669721009364004</v>
      </c>
      <c r="BA17" s="2">
        <f>AZ17+預測IC!BA17</f>
        <v>-0.44639361328234867</v>
      </c>
      <c r="BB17" s="2">
        <f>BA17+預測IC!BB17</f>
        <v>-0.30407623794317418</v>
      </c>
      <c r="BC17" s="2">
        <f>BB17+預測IC!BC17</f>
        <v>-0.22215832028317656</v>
      </c>
      <c r="BD17" s="2">
        <f>BC17+預測IC!BD17</f>
        <v>-0.23799261001491284</v>
      </c>
      <c r="BE17" s="2">
        <f>BD17+預測IC!BE17</f>
        <v>-0.27459100259898861</v>
      </c>
      <c r="BF17" s="2">
        <f>BE17+預測IC!BF17</f>
        <v>-0.29794891247834548</v>
      </c>
      <c r="BG17" s="2">
        <f>BF17+預測IC!BG17</f>
        <v>-0.28445456321755147</v>
      </c>
      <c r="BH17" s="2">
        <f>BG17+預測IC!BH17</f>
        <v>-0.22035690770049748</v>
      </c>
      <c r="BI17" s="2">
        <f>BH17+預測IC!BI17</f>
        <v>-0.24480511661218873</v>
      </c>
      <c r="BJ17" s="2">
        <f>BI17+預測IC!BJ17</f>
        <v>-0.20498680143874837</v>
      </c>
      <c r="BK17" s="2">
        <f>BJ17+預測IC!BK17</f>
        <v>-0.16421624716161309</v>
      </c>
      <c r="BL17" s="2">
        <f>BK17+預測IC!BL17</f>
        <v>-8.5928901667009977E-2</v>
      </c>
      <c r="BM17" s="2">
        <f>BL17+預測IC!BM17</f>
        <v>-1.6018479958695334E-2</v>
      </c>
      <c r="BN17" s="2">
        <f>BM17+預測IC!BN17</f>
        <v>4.0363571789189416E-2</v>
      </c>
      <c r="BO17" s="2">
        <f>BN17+預測IC!BO17</f>
        <v>5.0632201568586319E-2</v>
      </c>
      <c r="BP17" s="2">
        <f>BO17+預測IC!BP17</f>
        <v>8.6477043023720529E-2</v>
      </c>
      <c r="BQ17" s="2">
        <f>BP17+預測IC!BQ17</f>
        <v>0.12599056888504861</v>
      </c>
      <c r="BR17" s="2">
        <f>BQ17+預測IC!BR17</f>
        <v>9.352189341121761E-2</v>
      </c>
      <c r="BS17" s="2">
        <f>BR17+預測IC!BS17</f>
        <v>8.2893392433491073E-2</v>
      </c>
      <c r="BT17" s="2">
        <f>BS17+預測IC!BT17</f>
        <v>0.13417543355142553</v>
      </c>
      <c r="BU17" s="2">
        <f>BT17+預測IC!BU17</f>
        <v>6.2284492086742249E-2</v>
      </c>
      <c r="BV17" s="2">
        <f>BU17+預測IC!BV17</f>
        <v>3.8507571959549014E-2</v>
      </c>
      <c r="BW17" s="2">
        <f>BV17+預測IC!BW17</f>
        <v>0.2727582324710649</v>
      </c>
      <c r="BX17" s="2">
        <f>BW17+預測IC!BX17</f>
        <v>0.27518870393449346</v>
      </c>
      <c r="BY17" s="2">
        <f>BX17+預測IC!BY17</f>
        <v>0.17034235602519607</v>
      </c>
      <c r="BZ17" s="2">
        <f>BY17+預測IC!BZ17</f>
        <v>8.2739182869248584E-2</v>
      </c>
      <c r="CA17" s="2">
        <f>BZ17+預測IC!CA17</f>
        <v>0.21199222742411428</v>
      </c>
      <c r="CB17" s="2">
        <f>CA17+預測IC!CB17</f>
        <v>0.14565861410044001</v>
      </c>
      <c r="CC17" s="2">
        <f>CB17+預測IC!CC17</f>
        <v>8.1043536686557685E-2</v>
      </c>
      <c r="CD17" s="2">
        <f>CC17+預測IC!CD17</f>
        <v>0.1986973615253837</v>
      </c>
      <c r="CE17" s="2">
        <f>CD17+預測IC!CE17</f>
        <v>4.0418562278261488E-2</v>
      </c>
      <c r="CF17" s="2">
        <f>CE17+預測IC!CF17</f>
        <v>0.11581124636259379</v>
      </c>
      <c r="CG17" s="2">
        <f>CF17+預測IC!CG17</f>
        <v>0.2732725201923582</v>
      </c>
      <c r="CH17" s="2">
        <f>CG17+預測IC!CH17</f>
        <v>0.3561448999920272</v>
      </c>
      <c r="CI17" s="2">
        <f>CH17+預測IC!CI17</f>
        <v>0.28427812012507497</v>
      </c>
      <c r="CJ17" s="2">
        <f>CI17+預測IC!CJ17</f>
        <v>0.20265302125181517</v>
      </c>
      <c r="CK17" s="2">
        <f>CJ17+預測IC!CK17</f>
        <v>0.32109315978677977</v>
      </c>
      <c r="CL17" s="2">
        <f>CK17+預測IC!CL17</f>
        <v>0.66138135510837692</v>
      </c>
      <c r="CM17" s="2">
        <f>CL17+預測IC!CM17</f>
        <v>0.6311259667062411</v>
      </c>
      <c r="CN17" s="2">
        <f>CM17+預測IC!CN17</f>
        <v>0.5595242328366159</v>
      </c>
      <c r="CO17" s="2">
        <f>CN17+預測IC!CO17</f>
        <v>0.34232913726621428</v>
      </c>
      <c r="CP17" s="2">
        <f>CO17+預測IC!CP17</f>
        <v>0.34349704849643353</v>
      </c>
      <c r="CQ17" s="2">
        <f>CP17+預測IC!CQ17</f>
        <v>0.33730324483276863</v>
      </c>
      <c r="CR17" s="2">
        <f>CQ17+預測IC!CR17</f>
        <v>0.30801956411535275</v>
      </c>
      <c r="CS17" s="2">
        <f>CR17+預測IC!CS17</f>
        <v>0.27534956682622674</v>
      </c>
      <c r="CT17" s="2">
        <f>CS17+預測IC!CT17</f>
        <v>0.31516849997120422</v>
      </c>
      <c r="CU17" s="2">
        <f>CT17+預測IC!CU17</f>
        <v>0.45750707329827772</v>
      </c>
      <c r="CV17" s="2">
        <f>CU17+預測IC!CV17</f>
        <v>0.46951921396879304</v>
      </c>
      <c r="CW17" s="2">
        <f>CV17+預測IC!CW17</f>
        <v>0.4787494348808578</v>
      </c>
      <c r="CX17" s="2">
        <f>CW17+預測IC!CX17</f>
        <v>0.46471735952906995</v>
      </c>
      <c r="CY17" s="2">
        <f>CX17+預測IC!CY17</f>
        <v>0.40670667628963575</v>
      </c>
      <c r="CZ17" s="2">
        <f>CY17+預測IC!CZ17</f>
        <v>0.57027668379988372</v>
      </c>
      <c r="DA17" s="2">
        <f>CZ17+預測IC!DA17</f>
        <v>0.6547503614966157</v>
      </c>
      <c r="DB17" s="2">
        <f>DA17+預測IC!DB17</f>
        <v>0.59621767871499554</v>
      </c>
      <c r="DC17" s="2">
        <f>DB17+預測IC!DC17</f>
        <v>0.62202001101749183</v>
      </c>
      <c r="DD17" s="2">
        <f>DC17+預測IC!DD17</f>
        <v>0.57348554410629937</v>
      </c>
      <c r="DE17" s="2">
        <f>DD17+預測IC!DE17</f>
        <v>0.50954677408289928</v>
      </c>
      <c r="DF17" s="2">
        <f>DE17+預測IC!DF17</f>
        <v>0.85766630250990272</v>
      </c>
      <c r="DG17" s="2">
        <f>DF17+預測IC!DG17</f>
        <v>0.80673842490068504</v>
      </c>
      <c r="DH17" s="2">
        <f>DG17+預測IC!DH17</f>
        <v>0.74191946434991052</v>
      </c>
      <c r="DI17" s="2">
        <f>DH17+預測IC!DI17</f>
        <v>0.80094942433819294</v>
      </c>
      <c r="DJ17" s="2">
        <f>DI17+預測IC!DJ17</f>
        <v>0.80154649182271676</v>
      </c>
      <c r="DK17" s="2">
        <f>DJ17+預測IC!DK17</f>
        <v>0.91764033680269919</v>
      </c>
      <c r="DL17" s="2">
        <f>DK17+預測IC!DL17</f>
        <v>0.99127538510640323</v>
      </c>
      <c r="DM17" s="2">
        <f>DL17+預測IC!DM17</f>
        <v>0.90257308936179059</v>
      </c>
      <c r="DN17" s="2">
        <f>DM17+預測IC!DN17</f>
        <v>0.95711429742056364</v>
      </c>
      <c r="DO17" s="2">
        <f>DN17+預測IC!DO17</f>
        <v>0.77071519548775491</v>
      </c>
      <c r="DP17" s="2">
        <f>DO17+預測IC!DP17</f>
        <v>0.77926622400114476</v>
      </c>
      <c r="DQ17" s="2">
        <f>DP17+預測IC!DQ17</f>
        <v>0.63463403173962718</v>
      </c>
      <c r="DR17" s="2">
        <f>DQ17+預測IC!DR17</f>
        <v>0.65029253231907058</v>
      </c>
      <c r="DS17" s="2">
        <f>DR17+預測IC!DS17</f>
        <v>0.80014000862650714</v>
      </c>
      <c r="DT17" s="2">
        <f>DS17+預測IC!DT17</f>
        <v>0.69264354413326401</v>
      </c>
      <c r="DU17" s="2">
        <f>DT17+預測IC!DU17</f>
        <v>0.64663565360595487</v>
      </c>
      <c r="DV17" s="2">
        <f>DU17+預測IC!DV17</f>
        <v>0.67564849700455831</v>
      </c>
      <c r="DW17" s="2">
        <f>DV17+預測IC!DW17</f>
        <v>0.67833399517706638</v>
      </c>
      <c r="DX17" s="2">
        <f>DW17+預測IC!DX17</f>
        <v>0.73528926725433574</v>
      </c>
      <c r="DY17" s="2">
        <f>DX17+預測IC!DY17</f>
        <v>0.87621954294430926</v>
      </c>
      <c r="DZ17" s="2">
        <f>DY17+預測IC!DZ17</f>
        <v>0.84236980942398887</v>
      </c>
      <c r="EA17" s="2">
        <f>DZ17+預測IC!EA17</f>
        <v>0.87551750925373339</v>
      </c>
      <c r="EB17" s="2">
        <f>EA17+預測IC!EB17</f>
        <v>0.82434819455776953</v>
      </c>
      <c r="EC17" s="2">
        <f>EB17+預測IC!EC17</f>
        <v>0.83652496940028498</v>
      </c>
      <c r="ED17" s="2">
        <f>EC17+預測IC!ED17</f>
        <v>0.6721951025092775</v>
      </c>
      <c r="EE17" s="2">
        <f>ED17+預測IC!EE17</f>
        <v>0.64608216291523723</v>
      </c>
      <c r="EF17" s="2">
        <f>EE17+預測IC!EF17</f>
        <v>0.6605571792914694</v>
      </c>
      <c r="EG17" s="2">
        <f>EF17+預測IC!EG17</f>
        <v>0.36849557414875339</v>
      </c>
      <c r="EH17" s="2">
        <f>EG17+預測IC!EH17</f>
        <v>0.35274449092913313</v>
      </c>
      <c r="EI17" s="2">
        <f>EH17+預測IC!EI17</f>
        <v>0.37557375929735648</v>
      </c>
      <c r="EJ17" s="2">
        <f>EI17+預測IC!EJ17</f>
        <v>0.42036214315490966</v>
      </c>
      <c r="EK17" s="2">
        <f>EJ17+預測IC!EK17</f>
        <v>0.54859646036502818</v>
      </c>
      <c r="EL17" s="2">
        <f>EK17+預測IC!EL17</f>
        <v>0.5562644487756806</v>
      </c>
    </row>
    <row r="18" spans="1:142" x14ac:dyDescent="0.3">
      <c r="A18" s="18">
        <v>150</v>
      </c>
      <c r="B18" s="18">
        <f t="shared" si="10"/>
        <v>7</v>
      </c>
      <c r="C18" s="2">
        <v>-5.264358642546442E-2</v>
      </c>
      <c r="D18" s="2">
        <f>C18+預測IC!D18</f>
        <v>-3.182509065277811E-2</v>
      </c>
      <c r="E18" s="2">
        <f>D18+預測IC!E18</f>
        <v>-0.10810115327278579</v>
      </c>
      <c r="F18" s="2">
        <f>E18+預測IC!F18</f>
        <v>0.10502252473155581</v>
      </c>
      <c r="G18" s="2">
        <f>F18+預測IC!G18</f>
        <v>0.15344342129956848</v>
      </c>
      <c r="H18" s="2">
        <f>G18+預測IC!H18</f>
        <v>0.21549610534911157</v>
      </c>
      <c r="I18" s="2">
        <f>H18+預測IC!I18</f>
        <v>0.37016537841492669</v>
      </c>
      <c r="J18" s="2">
        <f>I18+預測IC!J18</f>
        <v>0.56336500554141555</v>
      </c>
      <c r="K18" s="2">
        <f>J18+預測IC!K18</f>
        <v>0.24864219354970885</v>
      </c>
      <c r="L18" s="2">
        <f>K18+預測IC!L18</f>
        <v>0.18793119718145349</v>
      </c>
      <c r="M18" s="2">
        <f>L18+預測IC!M18</f>
        <v>6.7964735272488253E-4</v>
      </c>
      <c r="N18" s="2">
        <f>M18+預測IC!N18</f>
        <v>0.12208860559089098</v>
      </c>
      <c r="O18" s="2">
        <f>N18+預測IC!O18</f>
        <v>0.12157601643755991</v>
      </c>
      <c r="P18" s="2">
        <f>O18+預測IC!P18</f>
        <v>1.4571249250398113E-2</v>
      </c>
      <c r="Q18" s="2">
        <f>P18+預測IC!Q18</f>
        <v>-4.1495025878264626E-2</v>
      </c>
      <c r="R18" s="2">
        <f>Q18+預測IC!R18</f>
        <v>-6.3629866138592908E-2</v>
      </c>
      <c r="S18" s="2">
        <f>R18+預測IC!S18</f>
        <v>-0.2220611823544909</v>
      </c>
      <c r="T18" s="2">
        <f>S18+預測IC!T18</f>
        <v>-0.31055718158148582</v>
      </c>
      <c r="U18" s="2">
        <f>T18+預測IC!U18</f>
        <v>-0.24684216128041669</v>
      </c>
      <c r="V18" s="2">
        <f>U18+預測IC!V18</f>
        <v>-0.3150240892831988</v>
      </c>
      <c r="W18" s="2">
        <f>V18+預測IC!W18</f>
        <v>-0.40405435461773342</v>
      </c>
      <c r="X18" s="2">
        <f>W18+預測IC!X18</f>
        <v>-0.18040400213215912</v>
      </c>
      <c r="Y18" s="2">
        <f>X18+預測IC!Y18</f>
        <v>-0.12461072022522644</v>
      </c>
      <c r="Z18" s="2">
        <f>Y18+預測IC!Z18</f>
        <v>-3.8606766714188237E-2</v>
      </c>
      <c r="AA18" s="2">
        <f>Z18+預測IC!AA18</f>
        <v>-7.8488651680762439E-2</v>
      </c>
      <c r="AB18" s="2">
        <f>AA18+預測IC!AB18</f>
        <v>-0.21619710178956503</v>
      </c>
      <c r="AC18" s="2">
        <f>AB18+預測IC!AC18</f>
        <v>-0.22821775894079685</v>
      </c>
      <c r="AD18" s="2">
        <f>AC18+預測IC!AD18</f>
        <v>-0.26656475285442127</v>
      </c>
      <c r="AE18" s="2">
        <f>AD18+預測IC!AE18</f>
        <v>-0.41044835046007866</v>
      </c>
      <c r="AF18" s="2">
        <f>AE18+預測IC!AF18</f>
        <v>-0.43651866643549309</v>
      </c>
      <c r="AG18" s="2">
        <f>AF18+預測IC!AG18</f>
        <v>-0.44443879122334334</v>
      </c>
      <c r="AH18" s="2">
        <f>AG18+預測IC!AH18</f>
        <v>-0.45205956265736369</v>
      </c>
      <c r="AI18" s="2">
        <f>AH18+預測IC!AI18</f>
        <v>-0.40651319284197629</v>
      </c>
      <c r="AJ18" s="2">
        <f>AI18+預測IC!AJ18</f>
        <v>-0.43710028968582487</v>
      </c>
      <c r="AK18" s="2">
        <f>AJ18+預測IC!AK18</f>
        <v>-0.43928777065449898</v>
      </c>
      <c r="AL18" s="2">
        <f>AK18+預測IC!AL18</f>
        <v>-0.387916335469285</v>
      </c>
      <c r="AM18" s="2">
        <f>AL18+預測IC!AM18</f>
        <v>-0.35555169759224819</v>
      </c>
      <c r="AN18" s="2">
        <f>AM18+預測IC!AN18</f>
        <v>-0.48284019389345678</v>
      </c>
      <c r="AO18" s="2">
        <f>AN18+預測IC!AO18</f>
        <v>-0.51936716332743282</v>
      </c>
      <c r="AP18" s="2">
        <f>AO18+預測IC!AP18</f>
        <v>-0.60626028466031312</v>
      </c>
      <c r="AQ18" s="2">
        <f>AP18+預測IC!AQ18</f>
        <v>-0.6490904656928419</v>
      </c>
      <c r="AR18" s="2">
        <f>AQ18+預測IC!AR18</f>
        <v>-0.53790316113230985</v>
      </c>
      <c r="AS18" s="2">
        <f>AR18+預測IC!AS18</f>
        <v>-0.50292230463025844</v>
      </c>
      <c r="AT18" s="2">
        <f>AS18+預測IC!AT18</f>
        <v>-0.53103601925838817</v>
      </c>
      <c r="AU18" s="2">
        <f>AT18+預測IC!AU18</f>
        <v>-0.58266151802772659</v>
      </c>
      <c r="AV18" s="2">
        <f>AU18+預測IC!AV18</f>
        <v>-0.61894984655498719</v>
      </c>
      <c r="AW18" s="2">
        <f>AV18+預測IC!AW18</f>
        <v>-0.50295149850221244</v>
      </c>
      <c r="AX18" s="2">
        <f>AW18+預測IC!AX18</f>
        <v>-0.36446763843542274</v>
      </c>
      <c r="AY18" s="2">
        <f>AX18+預測IC!AY18</f>
        <v>-0.29548213508679899</v>
      </c>
      <c r="AZ18" s="2">
        <f>AY18+預測IC!AZ18</f>
        <v>-0.25413249499171042</v>
      </c>
      <c r="BA18" s="2">
        <f>AZ18+預測IC!BA18</f>
        <v>-0.23627146657433634</v>
      </c>
      <c r="BB18" s="2">
        <f>BA18+預測IC!BB18</f>
        <v>-8.5987479627358837E-2</v>
      </c>
      <c r="BC18" s="2">
        <f>BB18+預測IC!BC18</f>
        <v>-3.6986543298240943E-3</v>
      </c>
      <c r="BD18" s="2">
        <f>BC18+預測IC!BD18</f>
        <v>-1.3930686408773684E-2</v>
      </c>
      <c r="BE18" s="2">
        <f>BD18+預測IC!BE18</f>
        <v>-5.8708565307777724E-2</v>
      </c>
      <c r="BF18" s="2">
        <f>BE18+預測IC!BF18</f>
        <v>-0.10258972235670413</v>
      </c>
      <c r="BG18" s="2">
        <f>BF18+預測IC!BG18</f>
        <v>-8.519674223079729E-2</v>
      </c>
      <c r="BH18" s="2">
        <f>BG18+預測IC!BH18</f>
        <v>-3.0019095013760252E-2</v>
      </c>
      <c r="BI18" s="2">
        <f>BH18+預測IC!BI18</f>
        <v>-6.8258920113536584E-2</v>
      </c>
      <c r="BJ18" s="2">
        <f>BI18+預測IC!BJ18</f>
        <v>-3.6352064557559211E-2</v>
      </c>
      <c r="BK18" s="2">
        <f>BJ18+預測IC!BK18</f>
        <v>3.8251075406700377E-3</v>
      </c>
      <c r="BL18" s="2">
        <f>BK18+預測IC!BL18</f>
        <v>9.1046594253339413E-2</v>
      </c>
      <c r="BM18" s="2">
        <f>BL18+預測IC!BM18</f>
        <v>0.14873612466408509</v>
      </c>
      <c r="BN18" s="2">
        <f>BM18+預測IC!BN18</f>
        <v>0.20612767840374568</v>
      </c>
      <c r="BO18" s="2">
        <f>BN18+預測IC!BO18</f>
        <v>0.22664414595511226</v>
      </c>
      <c r="BP18" s="2">
        <f>BO18+預測IC!BP18</f>
        <v>0.25181339908653522</v>
      </c>
      <c r="BQ18" s="2">
        <f>BP18+預測IC!BQ18</f>
        <v>0.26804278249870533</v>
      </c>
      <c r="BR18" s="2">
        <f>BQ18+預測IC!BR18</f>
        <v>0.26824384128419476</v>
      </c>
      <c r="BS18" s="2">
        <f>BR18+預測IC!BS18</f>
        <v>0.24766244154127018</v>
      </c>
      <c r="BT18" s="2">
        <f>BS18+預測IC!BT18</f>
        <v>0.33836083696955893</v>
      </c>
      <c r="BU18" s="2">
        <f>BT18+預測IC!BU18</f>
        <v>0.24897703166835589</v>
      </c>
      <c r="BV18" s="2">
        <f>BU18+預測IC!BV18</f>
        <v>0.22115726237616451</v>
      </c>
      <c r="BW18" s="2">
        <f>BV18+預測IC!BW18</f>
        <v>0.46094857491020869</v>
      </c>
      <c r="BX18" s="2">
        <f>BW18+預測IC!BX18</f>
        <v>0.49195747596276879</v>
      </c>
      <c r="BY18" s="2">
        <f>BX18+預測IC!BY18</f>
        <v>0.40227565652490671</v>
      </c>
      <c r="BZ18" s="2">
        <f>BY18+預測IC!BZ18</f>
        <v>0.29246108539830012</v>
      </c>
      <c r="CA18" s="2">
        <f>BZ18+預測IC!CA18</f>
        <v>0.45233002937082489</v>
      </c>
      <c r="CB18" s="2">
        <f>CA18+預測IC!CB18</f>
        <v>0.37360573892375676</v>
      </c>
      <c r="CC18" s="2">
        <f>CB18+預測IC!CC18</f>
        <v>0.29996297893971141</v>
      </c>
      <c r="CD18" s="2">
        <f>CC18+預測IC!CD18</f>
        <v>0.42294366597138133</v>
      </c>
      <c r="CE18" s="2">
        <f>CD18+預測IC!CE18</f>
        <v>0.28901105906179925</v>
      </c>
      <c r="CF18" s="2">
        <f>CE18+預測IC!CF18</f>
        <v>0.38132548222395718</v>
      </c>
      <c r="CG18" s="2">
        <f>CF18+預測IC!CG18</f>
        <v>0.5523208227975912</v>
      </c>
      <c r="CH18" s="2">
        <f>CG18+預測IC!CH18</f>
        <v>0.66043423407280666</v>
      </c>
      <c r="CI18" s="2">
        <f>CH18+預測IC!CI18</f>
        <v>0.61235280484583976</v>
      </c>
      <c r="CJ18" s="2">
        <f>CI18+預測IC!CJ18</f>
        <v>0.51341329850483164</v>
      </c>
      <c r="CK18" s="2">
        <f>CJ18+預測IC!CK18</f>
        <v>0.59570859390754005</v>
      </c>
      <c r="CL18" s="2">
        <f>CK18+預測IC!CL18</f>
        <v>0.96345871045281795</v>
      </c>
      <c r="CM18" s="2">
        <f>CL18+預測IC!CM18</f>
        <v>0.94860308389759096</v>
      </c>
      <c r="CN18" s="2">
        <f>CM18+預測IC!CN18</f>
        <v>0.86537311908997316</v>
      </c>
      <c r="CO18" s="2">
        <f>CN18+預測IC!CO18</f>
        <v>0.6545709936185572</v>
      </c>
      <c r="CP18" s="2">
        <f>CO18+預測IC!CP18</f>
        <v>0.66988923007207257</v>
      </c>
      <c r="CQ18" s="2">
        <f>CP18+預測IC!CQ18</f>
        <v>0.67430671757933569</v>
      </c>
      <c r="CR18" s="2">
        <f>CQ18+預測IC!CR18</f>
        <v>0.63613266194862983</v>
      </c>
      <c r="CS18" s="2">
        <f>CR18+預測IC!CS18</f>
        <v>0.59290790684964634</v>
      </c>
      <c r="CT18" s="2">
        <f>CS18+預測IC!CT18</f>
        <v>0.62369621880877724</v>
      </c>
      <c r="CU18" s="2">
        <f>CT18+預測IC!CU18</f>
        <v>0.76628606640007413</v>
      </c>
      <c r="CV18" s="2">
        <f>CU18+預測IC!CV18</f>
        <v>0.77951872910415609</v>
      </c>
      <c r="CW18" s="2">
        <f>CV18+預測IC!CW18</f>
        <v>0.81281327032272865</v>
      </c>
      <c r="CX18" s="2">
        <f>CW18+預測IC!CX18</f>
        <v>0.79630504614667141</v>
      </c>
      <c r="CY18" s="2">
        <f>CX18+預測IC!CY18</f>
        <v>0.7367195584903049</v>
      </c>
      <c r="CZ18" s="2">
        <f>CY18+預測IC!CZ18</f>
        <v>0.91141633474360328</v>
      </c>
      <c r="DA18" s="2">
        <f>CZ18+預測IC!DA18</f>
        <v>0.98746375179349455</v>
      </c>
      <c r="DB18" s="2">
        <f>DA18+預測IC!DB18</f>
        <v>0.93191722133636445</v>
      </c>
      <c r="DC18" s="2">
        <f>DB18+預測IC!DC18</f>
        <v>0.94825613234615291</v>
      </c>
      <c r="DD18" s="2">
        <f>DC18+預測IC!DD18</f>
        <v>0.87672325806981166</v>
      </c>
      <c r="DE18" s="2">
        <f>DD18+預測IC!DE18</f>
        <v>0.82339046078750344</v>
      </c>
      <c r="DF18" s="2">
        <f>DE18+預測IC!DF18</f>
        <v>1.1853898694364111</v>
      </c>
      <c r="DG18" s="2">
        <f>DF18+預測IC!DG18</f>
        <v>1.1243252068341358</v>
      </c>
      <c r="DH18" s="2">
        <f>DG18+預測IC!DH18</f>
        <v>1.0617804980918228</v>
      </c>
      <c r="DI18" s="2">
        <f>DH18+預測IC!DI18</f>
        <v>1.1192179121303634</v>
      </c>
      <c r="DJ18" s="2">
        <f>DI18+預測IC!DJ18</f>
        <v>1.1191246343258783</v>
      </c>
      <c r="DK18" s="2">
        <f>DJ18+預測IC!DK18</f>
        <v>1.245373235558993</v>
      </c>
      <c r="DL18" s="2">
        <f>DK18+預測IC!DL18</f>
        <v>1.308273325961159</v>
      </c>
      <c r="DM18" s="2">
        <f>DL18+預測IC!DM18</f>
        <v>1.2249629460130671</v>
      </c>
      <c r="DN18" s="2">
        <f>DM18+預測IC!DN18</f>
        <v>1.2476324506712395</v>
      </c>
      <c r="DO18" s="2">
        <f>DN18+預測IC!DO18</f>
        <v>1.032281974052061</v>
      </c>
      <c r="DP18" s="2">
        <f>DO18+預測IC!DP18</f>
        <v>1.0588696722836528</v>
      </c>
      <c r="DQ18" s="2">
        <f>DP18+預測IC!DQ18</f>
        <v>0.88469056571764615</v>
      </c>
      <c r="DR18" s="2">
        <f>DQ18+預測IC!DR18</f>
        <v>0.88464189831018525</v>
      </c>
      <c r="DS18" s="2">
        <f>DR18+預測IC!DS18</f>
        <v>1.06154254419349</v>
      </c>
      <c r="DT18" s="2">
        <f>DS18+預測IC!DT18</f>
        <v>0.92911656573040835</v>
      </c>
      <c r="DU18" s="2">
        <f>DT18+預測IC!DU18</f>
        <v>0.85761069177604654</v>
      </c>
      <c r="DV18" s="2">
        <f>DU18+預測IC!DV18</f>
        <v>0.90377189946318781</v>
      </c>
      <c r="DW18" s="2">
        <f>DV18+預測IC!DW18</f>
        <v>0.9149769806973842</v>
      </c>
      <c r="DX18" s="2">
        <f>DW18+預測IC!DX18</f>
        <v>0.99348926512956648</v>
      </c>
      <c r="DY18" s="2">
        <f>DX18+預測IC!DY18</f>
        <v>1.1643201041026736</v>
      </c>
      <c r="DZ18" s="2">
        <f>DY18+預測IC!DZ18</f>
        <v>1.1631486288217407</v>
      </c>
      <c r="EA18" s="2">
        <f>DZ18+預測IC!EA18</f>
        <v>1.1983913562345432</v>
      </c>
      <c r="EB18" s="2">
        <f>EA18+預測IC!EB18</f>
        <v>1.1673002405312538</v>
      </c>
      <c r="EC18" s="2">
        <f>EB18+預測IC!EC18</f>
        <v>1.1819270568185658</v>
      </c>
      <c r="ED18" s="2">
        <f>EC18+預測IC!ED18</f>
        <v>1.0207005697284026</v>
      </c>
      <c r="EE18" s="2">
        <f>ED18+預測IC!EE18</f>
        <v>1.0002931841190823</v>
      </c>
      <c r="EF18" s="2">
        <f>EE18+預測IC!EF18</f>
        <v>1.0210922650532288</v>
      </c>
      <c r="EG18" s="2">
        <f>EF18+預測IC!EG18</f>
        <v>0.69173555838758638</v>
      </c>
      <c r="EH18" s="2">
        <f>EG18+預測IC!EH18</f>
        <v>0.67474317142549778</v>
      </c>
      <c r="EI18" s="2">
        <f>EH18+預測IC!EI18</f>
        <v>0.6896947386929887</v>
      </c>
      <c r="EJ18" s="2">
        <f>EI18+預測IC!EJ18</f>
        <v>0.75237142381679067</v>
      </c>
      <c r="EK18" s="2">
        <f>EJ18+預測IC!EK18</f>
        <v>0.88604137710512254</v>
      </c>
      <c r="EL18" s="2">
        <f>EK18+預測IC!EL18</f>
        <v>0.90515060992937524</v>
      </c>
    </row>
    <row r="19" spans="1:142" x14ac:dyDescent="0.3">
      <c r="A19" s="18">
        <v>180</v>
      </c>
      <c r="B19" s="18">
        <f t="shared" si="10"/>
        <v>6</v>
      </c>
      <c r="C19" s="2">
        <v>-6.3862070951592978E-2</v>
      </c>
      <c r="D19" s="2">
        <f>C19+預測IC!D19</f>
        <v>-3.6758229727959169E-2</v>
      </c>
      <c r="E19" s="2">
        <f>D19+預測IC!E19</f>
        <v>-8.7241596811314659E-2</v>
      </c>
      <c r="F19" s="2">
        <f>E19+預測IC!F19</f>
        <v>0.18758706025892136</v>
      </c>
      <c r="G19" s="2">
        <f>F19+預測IC!G19</f>
        <v>0.24188220272850872</v>
      </c>
      <c r="H19" s="2">
        <f>G19+預測IC!H19</f>
        <v>0.32841599314068548</v>
      </c>
      <c r="I19" s="2">
        <f>H19+預測IC!I19</f>
        <v>0.49733370729059856</v>
      </c>
      <c r="J19" s="2">
        <f>I19+預測IC!J19</f>
        <v>0.70338901228434914</v>
      </c>
      <c r="K19" s="2">
        <f>J19+預測IC!K19</f>
        <v>0.31463263957545762</v>
      </c>
      <c r="L19" s="2">
        <f>K19+預測IC!L19</f>
        <v>0.2696071950352818</v>
      </c>
      <c r="M19" s="2">
        <f>L19+預測IC!M19</f>
        <v>3.6700173280002912E-2</v>
      </c>
      <c r="N19" s="2">
        <f>M19+預測IC!N19</f>
        <v>0.10686734508227792</v>
      </c>
      <c r="O19" s="2">
        <f>N19+預測IC!O19</f>
        <v>0.15805726022402308</v>
      </c>
      <c r="P19" s="2">
        <f>O19+預測IC!P19</f>
        <v>6.6117628766939884E-2</v>
      </c>
      <c r="Q19" s="2">
        <f>P19+預測IC!Q19</f>
        <v>-1.4448469802889469E-3</v>
      </c>
      <c r="R19" s="2">
        <f>Q19+預測IC!R19</f>
        <v>-2.1709593359403687E-2</v>
      </c>
      <c r="S19" s="2">
        <f>R19+預測IC!S19</f>
        <v>-0.1882801607884384</v>
      </c>
      <c r="T19" s="2">
        <f>S19+預測IC!T19</f>
        <v>-0.25898652396393507</v>
      </c>
      <c r="U19" s="2">
        <f>T19+預測IC!U19</f>
        <v>-0.19422839646618117</v>
      </c>
      <c r="V19" s="2">
        <f>U19+預測IC!V19</f>
        <v>-0.27102197020002816</v>
      </c>
      <c r="W19" s="2">
        <f>V19+預測IC!W19</f>
        <v>-0.38328506384644268</v>
      </c>
      <c r="X19" s="2">
        <f>W19+預測IC!X19</f>
        <v>-0.15526103524551599</v>
      </c>
      <c r="Y19" s="2">
        <f>X19+預測IC!Y19</f>
        <v>-7.4825900419462063E-2</v>
      </c>
      <c r="Z19" s="2">
        <f>Y19+預測IC!Z19</f>
        <v>-3.0305460703287865E-2</v>
      </c>
      <c r="AA19" s="2">
        <f>Z19+預測IC!AA19</f>
        <v>-8.3029642896659428E-2</v>
      </c>
      <c r="AB19" s="2">
        <f>AA19+預測IC!AB19</f>
        <v>-0.18120822482087556</v>
      </c>
      <c r="AC19" s="2">
        <f>AB19+預測IC!AC19</f>
        <v>-0.19213351931787676</v>
      </c>
      <c r="AD19" s="2">
        <f>AC19+預測IC!AD19</f>
        <v>-0.19459858629293897</v>
      </c>
      <c r="AE19" s="2">
        <f>AD19+預測IC!AE19</f>
        <v>-0.35185049849798067</v>
      </c>
      <c r="AF19" s="2">
        <f>AE19+預測IC!AF19</f>
        <v>-0.31283761677212518</v>
      </c>
      <c r="AG19" s="2">
        <f>AF19+預測IC!AG19</f>
        <v>-0.34246661078922591</v>
      </c>
      <c r="AH19" s="2">
        <f>AG19+預測IC!AH19</f>
        <v>-0.31291884274381787</v>
      </c>
      <c r="AI19" s="2">
        <f>AH19+預測IC!AI19</f>
        <v>-0.23573499556407512</v>
      </c>
      <c r="AJ19" s="2">
        <f>AI19+預測IC!AJ19</f>
        <v>-0.25070406576853022</v>
      </c>
      <c r="AK19" s="2">
        <f>AJ19+預測IC!AK19</f>
        <v>-0.24315202326257751</v>
      </c>
      <c r="AL19" s="2">
        <f>AK19+預測IC!AL19</f>
        <v>-0.18375302207352673</v>
      </c>
      <c r="AM19" s="2">
        <f>AL19+預測IC!AM19</f>
        <v>-0.15116800531625643</v>
      </c>
      <c r="AN19" s="2">
        <f>AM19+預測IC!AN19</f>
        <v>-0.2684903437005175</v>
      </c>
      <c r="AO19" s="2">
        <f>AN19+預測IC!AO19</f>
        <v>-0.30636166942576715</v>
      </c>
      <c r="AP19" s="2">
        <f>AO19+預測IC!AP19</f>
        <v>-0.40208232007360573</v>
      </c>
      <c r="AQ19" s="2">
        <f>AP19+預測IC!AQ19</f>
        <v>-0.48067036520241557</v>
      </c>
      <c r="AR19" s="2">
        <f>AQ19+預測IC!AR19</f>
        <v>-0.3539809986127771</v>
      </c>
      <c r="AS19" s="2">
        <f>AR19+預測IC!AS19</f>
        <v>-0.29695576646790067</v>
      </c>
      <c r="AT19" s="2">
        <f>AS19+預測IC!AT19</f>
        <v>-0.35691689561429363</v>
      </c>
      <c r="AU19" s="2">
        <f>AT19+預測IC!AU19</f>
        <v>-0.39964664658545834</v>
      </c>
      <c r="AV19" s="2">
        <f>AU19+預測IC!AV19</f>
        <v>-0.44054656524071067</v>
      </c>
      <c r="AW19" s="2">
        <f>AV19+預測IC!AW19</f>
        <v>-0.31172506515190446</v>
      </c>
      <c r="AX19" s="2">
        <f>AW19+預測IC!AX19</f>
        <v>-0.13110485910581285</v>
      </c>
      <c r="AY19" s="2">
        <f>AX19+預測IC!AY19</f>
        <v>-0.1818600957539879</v>
      </c>
      <c r="AZ19" s="2">
        <f>AY19+預測IC!AZ19</f>
        <v>-0.12698453172973692</v>
      </c>
      <c r="BA19" s="2">
        <f>AZ19+預測IC!BA19</f>
        <v>-9.7385337103879019E-2</v>
      </c>
      <c r="BB19" s="2">
        <f>BA19+預測IC!BB19</f>
        <v>8.2384913942229784E-2</v>
      </c>
      <c r="BC19" s="2">
        <f>BB19+預測IC!BC19</f>
        <v>0.16511053515716492</v>
      </c>
      <c r="BD19" s="2">
        <f>BC19+預測IC!BD19</f>
        <v>0.14473817241966586</v>
      </c>
      <c r="BE19" s="2">
        <f>BD19+預測IC!BE19</f>
        <v>8.7754669776644173E-2</v>
      </c>
      <c r="BF19" s="2">
        <f>BE19+預測IC!BF19</f>
        <v>3.162381227024616E-2</v>
      </c>
      <c r="BG19" s="2">
        <f>BF19+預測IC!BG19</f>
        <v>5.5179245514866845E-2</v>
      </c>
      <c r="BH19" s="2">
        <f>BG19+預測IC!BH19</f>
        <v>9.7457478434503725E-2</v>
      </c>
      <c r="BI19" s="2">
        <f>BH19+預測IC!BI19</f>
        <v>3.4873514357113847E-2</v>
      </c>
      <c r="BJ19" s="2">
        <f>BI19+預測IC!BJ19</f>
        <v>4.5601021417713876E-2</v>
      </c>
      <c r="BK19" s="2">
        <f>BJ19+預測IC!BK19</f>
        <v>0.13536788084506002</v>
      </c>
      <c r="BL19" s="2">
        <f>BK19+預測IC!BL19</f>
        <v>0.23201548650465126</v>
      </c>
      <c r="BM19" s="2">
        <f>BL19+預測IC!BM19</f>
        <v>0.32157734580719027</v>
      </c>
      <c r="BN19" s="2">
        <f>BM19+預測IC!BN19</f>
        <v>0.38820429783444299</v>
      </c>
      <c r="BO19" s="2">
        <f>BN19+預測IC!BO19</f>
        <v>0.40922414782329181</v>
      </c>
      <c r="BP19" s="2">
        <f>BO19+預測IC!BP19</f>
        <v>0.45225685602207877</v>
      </c>
      <c r="BQ19" s="2">
        <f>BP19+預測IC!BQ19</f>
        <v>0.48571447099192594</v>
      </c>
      <c r="BR19" s="2">
        <f>BQ19+預測IC!BR19</f>
        <v>0.47802073017227659</v>
      </c>
      <c r="BS19" s="2">
        <f>BR19+預測IC!BS19</f>
        <v>0.47003554264796349</v>
      </c>
      <c r="BT19" s="2">
        <f>BS19+預測IC!BT19</f>
        <v>0.55407834438395642</v>
      </c>
      <c r="BU19" s="2">
        <f>BT19+預測IC!BU19</f>
        <v>0.45573462471185355</v>
      </c>
      <c r="BV19" s="2">
        <f>BU19+預測IC!BV19</f>
        <v>0.40623011131717396</v>
      </c>
      <c r="BW19" s="2">
        <f>BV19+預測IC!BW19</f>
        <v>0.68376090316884564</v>
      </c>
      <c r="BX19" s="2">
        <f>BW19+預測IC!BX19</f>
        <v>0.72100181746333036</v>
      </c>
      <c r="BY19" s="2">
        <f>BX19+預測IC!BY19</f>
        <v>0.58449211184427285</v>
      </c>
      <c r="BZ19" s="2">
        <f>BY19+預測IC!BZ19</f>
        <v>0.43975009001583087</v>
      </c>
      <c r="CA19" s="2">
        <f>BZ19+預測IC!CA19</f>
        <v>0.51245896767643406</v>
      </c>
      <c r="CB19" s="2">
        <f>CA19+預測IC!CB19</f>
        <v>0.49866929687556033</v>
      </c>
      <c r="CC19" s="2">
        <f>CB19+預測IC!CC19</f>
        <v>0.41658074776751264</v>
      </c>
      <c r="CD19" s="2">
        <f>CC19+預測IC!CD19</f>
        <v>0.505115945217957</v>
      </c>
      <c r="CE19" s="2">
        <f>CD19+預測IC!CE19</f>
        <v>0.32586169738583248</v>
      </c>
      <c r="CF19" s="2">
        <f>CE19+預測IC!CF19</f>
        <v>0.38291097049274869</v>
      </c>
      <c r="CG19" s="2">
        <f>CF19+預測IC!CG19</f>
        <v>0.59534718562271616</v>
      </c>
      <c r="CH19" s="2">
        <f>CG19+預測IC!CH19</f>
        <v>0.72501799792965405</v>
      </c>
      <c r="CI19" s="2">
        <f>CH19+預測IC!CI19</f>
        <v>0.72045357570158608</v>
      </c>
      <c r="CJ19" s="2">
        <f>CI19+預測IC!CJ19</f>
        <v>0.62597580783433016</v>
      </c>
      <c r="CK19" s="2">
        <f>CJ19+預測IC!CK19</f>
        <v>0.69298031150864114</v>
      </c>
      <c r="CL19" s="2">
        <f>CK19+預測IC!CL19</f>
        <v>1.0847178550896379</v>
      </c>
      <c r="CM19" s="2">
        <f>CL19+預測IC!CM19</f>
        <v>1.1190627122459267</v>
      </c>
      <c r="CN19" s="2">
        <f>CM19+預測IC!CN19</f>
        <v>1.0424074098567013</v>
      </c>
      <c r="CO19" s="2">
        <f>CN19+預測IC!CO19</f>
        <v>0.81889199008349622</v>
      </c>
      <c r="CP19" s="2">
        <f>CO19+預測IC!CP19</f>
        <v>0.82300500198053284</v>
      </c>
      <c r="CQ19" s="2">
        <f>CP19+預測IC!CQ19</f>
        <v>0.84560282088463801</v>
      </c>
      <c r="CR19" s="2">
        <f>CQ19+預測IC!CR19</f>
        <v>0.8093550680651157</v>
      </c>
      <c r="CS19" s="2">
        <f>CR19+預測IC!CS19</f>
        <v>0.75429460324063879</v>
      </c>
      <c r="CT19" s="2">
        <f>CS19+預測IC!CT19</f>
        <v>0.79073639911727744</v>
      </c>
      <c r="CU19" s="2">
        <f>CT19+預測IC!CU19</f>
        <v>0.83494540738633827</v>
      </c>
      <c r="CV19" s="2">
        <f>CU19+預測IC!CV19</f>
        <v>0.85408416088774064</v>
      </c>
      <c r="CW19" s="2">
        <f>CV19+預測IC!CW19</f>
        <v>0.87914228944362871</v>
      </c>
      <c r="CX19" s="2">
        <f>CW19+預測IC!CX19</f>
        <v>0.86601618848799589</v>
      </c>
      <c r="CY19" s="2">
        <f>CX19+預測IC!CY19</f>
        <v>0.80242720177310911</v>
      </c>
      <c r="CZ19" s="2">
        <f>CY19+預測IC!CZ19</f>
        <v>0.92968190175528398</v>
      </c>
      <c r="DA19" s="2">
        <f>CZ19+預測IC!DA19</f>
        <v>0.97458022093154417</v>
      </c>
      <c r="DB19" s="2">
        <f>DA19+預測IC!DB19</f>
        <v>0.91592760280056562</v>
      </c>
      <c r="DC19" s="2">
        <f>DB19+預測IC!DC19</f>
        <v>0.85733335399846744</v>
      </c>
      <c r="DD19" s="2">
        <f>DC19+預測IC!DD19</f>
        <v>0.7932473864157239</v>
      </c>
      <c r="DE19" s="2">
        <f>DD19+預測IC!DE19</f>
        <v>0.77087833355771085</v>
      </c>
      <c r="DF19" s="2">
        <f>DE19+預測IC!DF19</f>
        <v>0.97090537802604904</v>
      </c>
      <c r="DG19" s="2">
        <f>DF19+預測IC!DG19</f>
        <v>0.9041139246619263</v>
      </c>
      <c r="DH19" s="2">
        <f>DG19+預測IC!DH19</f>
        <v>0.84906813968617689</v>
      </c>
      <c r="DI19" s="2">
        <f>DH19+預測IC!DI19</f>
        <v>0.92509115396905994</v>
      </c>
      <c r="DJ19" s="2">
        <f>DI19+預測IC!DJ19</f>
        <v>0.94659563341591502</v>
      </c>
      <c r="DK19" s="2">
        <f>DJ19+預測IC!DK19</f>
        <v>1.0191547668823915</v>
      </c>
      <c r="DL19" s="2">
        <f>DK19+預測IC!DL19</f>
        <v>1.0890250418036325</v>
      </c>
      <c r="DM19" s="2">
        <f>DL19+預測IC!DM19</f>
        <v>1.0461491486673804</v>
      </c>
      <c r="DN19" s="2">
        <f>DM19+預測IC!DN19</f>
        <v>1.0790728669463669</v>
      </c>
      <c r="DO19" s="2">
        <f>DN19+預測IC!DO19</f>
        <v>0.8591775486124007</v>
      </c>
      <c r="DP19" s="2">
        <f>DO19+預測IC!DP19</f>
        <v>0.89098591875317512</v>
      </c>
      <c r="DQ19" s="2">
        <f>DP19+預測IC!DQ19</f>
        <v>0.65746344945293422</v>
      </c>
      <c r="DR19" s="2">
        <f>DQ19+預測IC!DR19</f>
        <v>0.66275834646393539</v>
      </c>
      <c r="DS19" s="2">
        <f>DR19+預測IC!DS19</f>
        <v>0.87479564875473992</v>
      </c>
      <c r="DT19" s="2">
        <f>DS19+預測IC!DT19</f>
        <v>0.72252379505793518</v>
      </c>
      <c r="DU19" s="2">
        <f>DT19+預測IC!DU19</f>
        <v>0.61399018436775643</v>
      </c>
      <c r="DV19" s="2">
        <f>DU19+預測IC!DV19</f>
        <v>0.66790208161131182</v>
      </c>
      <c r="DW19" s="2">
        <f>DV19+預測IC!DW19</f>
        <v>0.65334205454309635</v>
      </c>
      <c r="DX19" s="2">
        <f>DW19+預測IC!DX19</f>
        <v>0.74643649352774999</v>
      </c>
      <c r="DY19" s="2">
        <f>DX19+預測IC!DY19</f>
        <v>0.95014730636832467</v>
      </c>
      <c r="DZ19" s="2">
        <f>DY19+預測IC!DZ19</f>
        <v>0.92291507134739059</v>
      </c>
      <c r="EA19" s="2">
        <f>DZ19+預測IC!EA19</f>
        <v>0.93137826604447405</v>
      </c>
      <c r="EB19" s="2">
        <f>EA19+預測IC!EB19</f>
        <v>0.92285252290063691</v>
      </c>
      <c r="EC19" s="2">
        <f>EB19+預測IC!EC19</f>
        <v>0.99223230359622461</v>
      </c>
      <c r="ED19" s="2">
        <f>EC19+預測IC!ED19</f>
        <v>0.79328975598994123</v>
      </c>
      <c r="EE19" s="2">
        <f>ED19+預測IC!EE19</f>
        <v>0.76288140132139859</v>
      </c>
      <c r="EF19" s="2">
        <f>EE19+預測IC!EF19</f>
        <v>0.74092720999328066</v>
      </c>
      <c r="EG19" s="2">
        <f>EF19+預測IC!EG19</f>
        <v>0.30048570956582638</v>
      </c>
      <c r="EH19" s="2">
        <f>EG19+預測IC!EH19</f>
        <v>0.31286671330927102</v>
      </c>
      <c r="EI19" s="2">
        <f>EH19+預測IC!EI19</f>
        <v>0.29217303128906669</v>
      </c>
      <c r="EJ19" s="2">
        <f>EI19+預測IC!EJ19</f>
        <v>0.34104318606337913</v>
      </c>
      <c r="EK19" s="2">
        <f>EJ19+預測IC!EK19</f>
        <v>0.44658612383708951</v>
      </c>
      <c r="EL19" s="2">
        <f>EK19+預測IC!EL19</f>
        <v>0.44630253617996363</v>
      </c>
    </row>
    <row r="20" spans="1:142" x14ac:dyDescent="0.3">
      <c r="A20" s="18">
        <v>200</v>
      </c>
      <c r="B20" s="18">
        <f t="shared" si="10"/>
        <v>5</v>
      </c>
      <c r="C20" s="2">
        <v>-7.7247532291167223E-2</v>
      </c>
      <c r="D20" s="2">
        <f>C20+預測IC!D20</f>
        <v>-3.4182012073196794E-2</v>
      </c>
      <c r="E20" s="2">
        <f>D20+預測IC!E20</f>
        <v>-9.0820521067593182E-2</v>
      </c>
      <c r="F20" s="2">
        <f>E20+預測IC!F20</f>
        <v>0.15931273748339558</v>
      </c>
      <c r="G20" s="2">
        <f>F20+預測IC!G20</f>
        <v>0.20533370795684852</v>
      </c>
      <c r="H20" s="2">
        <f>G20+預測IC!H20</f>
        <v>0.33266656523786581</v>
      </c>
      <c r="I20" s="2">
        <f>H20+預測IC!I20</f>
        <v>0.5118299794529666</v>
      </c>
      <c r="J20" s="2">
        <f>I20+預測IC!J20</f>
        <v>0.74083572481739823</v>
      </c>
      <c r="K20" s="2">
        <f>J20+預測IC!K20</f>
        <v>0.27650806860703064</v>
      </c>
      <c r="L20" s="2">
        <f>K20+預測IC!L20</f>
        <v>0.21314135441130672</v>
      </c>
      <c r="M20" s="2">
        <f>L20+預測IC!M20</f>
        <v>-6.4512812109537465E-2</v>
      </c>
      <c r="N20" s="2">
        <f>M20+預測IC!N20</f>
        <v>7.1952602708553748E-3</v>
      </c>
      <c r="O20" s="2">
        <f>N20+預測IC!O20</f>
        <v>4.9929285028645853E-2</v>
      </c>
      <c r="P20" s="2">
        <f>O20+預測IC!P20</f>
        <v>2.6358991880175153E-4</v>
      </c>
      <c r="Q20" s="2">
        <f>P20+預測IC!Q20</f>
        <v>-8.6176931691880246E-2</v>
      </c>
      <c r="R20" s="2">
        <f>Q20+預測IC!R20</f>
        <v>-0.13210772227583384</v>
      </c>
      <c r="S20" s="2">
        <f>R20+預測IC!S20</f>
        <v>-0.28729034060357644</v>
      </c>
      <c r="T20" s="2">
        <f>S20+預測IC!T20</f>
        <v>-0.37977858258151748</v>
      </c>
      <c r="U20" s="2">
        <f>T20+預測IC!U20</f>
        <v>-0.33491758354193513</v>
      </c>
      <c r="V20" s="2">
        <f>U20+預測IC!V20</f>
        <v>-0.40779786790540068</v>
      </c>
      <c r="W20" s="2">
        <f>V20+預測IC!W20</f>
        <v>-0.57440635714854615</v>
      </c>
      <c r="X20" s="2">
        <f>W20+預測IC!X20</f>
        <v>-0.38150404670706073</v>
      </c>
      <c r="Y20" s="2">
        <f>X20+預測IC!Y20</f>
        <v>-0.3347537255270695</v>
      </c>
      <c r="Z20" s="2">
        <f>Y20+預測IC!Z20</f>
        <v>-0.30736769613946202</v>
      </c>
      <c r="AA20" s="2">
        <f>Z20+預測IC!AA20</f>
        <v>-0.37921875523277376</v>
      </c>
      <c r="AB20" s="2">
        <f>AA20+預測IC!AB20</f>
        <v>-0.46832521866560872</v>
      </c>
      <c r="AC20" s="2">
        <f>AB20+預測IC!AC20</f>
        <v>-0.47853352225068868</v>
      </c>
      <c r="AD20" s="2">
        <f>AC20+預測IC!AD20</f>
        <v>-0.51926829996999335</v>
      </c>
      <c r="AE20" s="2">
        <f>AD20+預測IC!AE20</f>
        <v>-0.70104261867149487</v>
      </c>
      <c r="AF20" s="2">
        <f>AE20+預測IC!AF20</f>
        <v>-0.64123845867075235</v>
      </c>
      <c r="AG20" s="2">
        <f>AF20+預測IC!AG20</f>
        <v>-0.74163806900724749</v>
      </c>
      <c r="AH20" s="2">
        <f>AG20+預測IC!AH20</f>
        <v>-0.69726069336313778</v>
      </c>
      <c r="AI20" s="2">
        <f>AH20+預測IC!AI20</f>
        <v>-0.60676172982053145</v>
      </c>
      <c r="AJ20" s="2">
        <f>AI20+預測IC!AJ20</f>
        <v>-0.62208352824095292</v>
      </c>
      <c r="AK20" s="2">
        <f>AJ20+預測IC!AK20</f>
        <v>-0.63567864373695582</v>
      </c>
      <c r="AL20" s="2">
        <f>AK20+預測IC!AL20</f>
        <v>-0.56835020401742586</v>
      </c>
      <c r="AM20" s="2">
        <f>AL20+預測IC!AM20</f>
        <v>-0.53299896691565829</v>
      </c>
      <c r="AN20" s="2">
        <f>AM20+預測IC!AN20</f>
        <v>-0.65384043338885744</v>
      </c>
      <c r="AO20" s="2">
        <f>AN20+預測IC!AO20</f>
        <v>-0.68403823003223452</v>
      </c>
      <c r="AP20" s="2">
        <f>AO20+預測IC!AP20</f>
        <v>-0.77078346812512977</v>
      </c>
      <c r="AQ20" s="2">
        <f>AP20+預測IC!AQ20</f>
        <v>-0.86297079096639961</v>
      </c>
      <c r="AR20" s="2">
        <f>AQ20+預測IC!AR20</f>
        <v>-0.70745029495388845</v>
      </c>
      <c r="AS20" s="2">
        <f>AR20+預測IC!AS20</f>
        <v>-0.6342039392655705</v>
      </c>
      <c r="AT20" s="2">
        <f>AS20+預測IC!AT20</f>
        <v>-0.68793738528364801</v>
      </c>
      <c r="AU20" s="2">
        <f>AT20+預測IC!AU20</f>
        <v>-0.73261090223897207</v>
      </c>
      <c r="AV20" s="2">
        <f>AU20+預測IC!AV20</f>
        <v>-0.75869722536961781</v>
      </c>
      <c r="AW20" s="2">
        <f>AV20+預測IC!AW20</f>
        <v>-0.60431612193185424</v>
      </c>
      <c r="AX20" s="2">
        <f>AW20+預測IC!AX20</f>
        <v>-0.42530217391118552</v>
      </c>
      <c r="AY20" s="2">
        <f>AX20+預測IC!AY20</f>
        <v>-0.4999295271149104</v>
      </c>
      <c r="AZ20" s="2">
        <f>AY20+預測IC!AZ20</f>
        <v>-0.44935344604272404</v>
      </c>
      <c r="BA20" s="2">
        <f>AZ20+預測IC!BA20</f>
        <v>-0.4010259392262755</v>
      </c>
      <c r="BB20" s="2">
        <f>BA20+預測IC!BB20</f>
        <v>-0.2093416534812936</v>
      </c>
      <c r="BC20" s="2">
        <f>BB20+預測IC!BC20</f>
        <v>-0.16981925335664827</v>
      </c>
      <c r="BD20" s="2">
        <f>BC20+預測IC!BD20</f>
        <v>-0.18581746691366247</v>
      </c>
      <c r="BE20" s="2">
        <f>BD20+預測IC!BE20</f>
        <v>-0.26006125389483364</v>
      </c>
      <c r="BF20" s="2">
        <f>BE20+預測IC!BF20</f>
        <v>-0.32331136241416969</v>
      </c>
      <c r="BG20" s="2">
        <f>BF20+預測IC!BG20</f>
        <v>-0.336110441500859</v>
      </c>
      <c r="BH20" s="2">
        <f>BG20+預測IC!BH20</f>
        <v>-0.28023804980684885</v>
      </c>
      <c r="BI20" s="2">
        <f>BH20+預測IC!BI20</f>
        <v>-0.36928600763669617</v>
      </c>
      <c r="BJ20" s="2">
        <f>BI20+預測IC!BJ20</f>
        <v>-0.36045970491374996</v>
      </c>
      <c r="BK20" s="2">
        <f>BJ20+預測IC!BK20</f>
        <v>-0.31575184597714956</v>
      </c>
      <c r="BL20" s="2">
        <f>BK20+預測IC!BL20</f>
        <v>-0.21743787275812207</v>
      </c>
      <c r="BM20" s="2">
        <f>BL20+預測IC!BM20</f>
        <v>-0.12066537268458008</v>
      </c>
      <c r="BN20" s="2">
        <f>BM20+預測IC!BN20</f>
        <v>-2.5238687012685349E-2</v>
      </c>
      <c r="BO20" s="2">
        <f>BN20+預測IC!BO20</f>
        <v>-1.6261241388608183E-3</v>
      </c>
      <c r="BP20" s="2">
        <f>BO20+預測IC!BP20</f>
        <v>4.9680623544960834E-2</v>
      </c>
      <c r="BQ20" s="2">
        <f>BP20+預測IC!BQ20</f>
        <v>9.2585570130459927E-2</v>
      </c>
      <c r="BR20" s="2">
        <f>BQ20+預測IC!BR20</f>
        <v>8.7196412287346037E-2</v>
      </c>
      <c r="BS20" s="2">
        <f>BR20+預測IC!BS20</f>
        <v>6.2255550159852652E-2</v>
      </c>
      <c r="BT20" s="2">
        <f>BS20+預測IC!BT20</f>
        <v>0.16453180006428625</v>
      </c>
      <c r="BU20" s="2">
        <f>BT20+預測IC!BU20</f>
        <v>5.7875012717939253E-2</v>
      </c>
      <c r="BV20" s="2">
        <f>BU20+預測IC!BV20</f>
        <v>5.7163453903794556E-3</v>
      </c>
      <c r="BW20" s="2">
        <f>BV20+預測IC!BW20</f>
        <v>0.33376814180820147</v>
      </c>
      <c r="BX20" s="2">
        <f>BW20+預測IC!BX20</f>
        <v>0.35602555692982069</v>
      </c>
      <c r="BY20" s="2">
        <f>BX20+預測IC!BY20</f>
        <v>0.21615962768442629</v>
      </c>
      <c r="BZ20" s="2">
        <f>BY20+預測IC!BZ20</f>
        <v>3.1434540195074079E-2</v>
      </c>
      <c r="CA20" s="2">
        <f>BZ20+預測IC!CA20</f>
        <v>0.11928643927758315</v>
      </c>
      <c r="CB20" s="2">
        <f>CA20+預測IC!CB20</f>
        <v>9.6922014708634263E-2</v>
      </c>
      <c r="CC20" s="2">
        <f>CB20+預測IC!CC20</f>
        <v>2.0406253149049258E-3</v>
      </c>
      <c r="CD20" s="2">
        <f>CC20+預測IC!CD20</f>
        <v>0.10203703178597814</v>
      </c>
      <c r="CE20" s="2">
        <f>CD20+預測IC!CE20</f>
        <v>-0.10089665715734875</v>
      </c>
      <c r="CF20" s="2">
        <f>CE20+預測IC!CF20</f>
        <v>-3.496579110249308E-2</v>
      </c>
      <c r="CG20" s="2">
        <f>CF20+預測IC!CG20</f>
        <v>0.21462821233219842</v>
      </c>
      <c r="CH20" s="2">
        <f>CG20+預測IC!CH20</f>
        <v>0.35377961307914862</v>
      </c>
      <c r="CI20" s="2">
        <f>CH20+預測IC!CI20</f>
        <v>0.35326583803770456</v>
      </c>
      <c r="CJ20" s="2">
        <f>CI20+預測IC!CJ20</f>
        <v>0.21113939300192475</v>
      </c>
      <c r="CK20" s="2">
        <f>CJ20+預測IC!CK20</f>
        <v>0.27108782954048222</v>
      </c>
      <c r="CL20" s="2">
        <f>CK20+預測IC!CL20</f>
        <v>0.66184101634030479</v>
      </c>
      <c r="CM20" s="2">
        <f>CL20+預測IC!CM20</f>
        <v>0.69116061133145723</v>
      </c>
      <c r="CN20" s="2">
        <f>CM20+預測IC!CN20</f>
        <v>0.61246741536628502</v>
      </c>
      <c r="CO20" s="2">
        <f>CN20+預測IC!CO20</f>
        <v>0.32583415355408291</v>
      </c>
      <c r="CP20" s="2">
        <f>CO20+預測IC!CP20</f>
        <v>0.35449733469434352</v>
      </c>
      <c r="CQ20" s="2">
        <f>CP20+預測IC!CQ20</f>
        <v>0.3910019650938063</v>
      </c>
      <c r="CR20" s="2">
        <f>CQ20+預測IC!CR20</f>
        <v>0.34589822737092668</v>
      </c>
      <c r="CS20" s="2">
        <f>CR20+預測IC!CS20</f>
        <v>0.31085747945740921</v>
      </c>
      <c r="CT20" s="2">
        <f>CS20+預測IC!CT20</f>
        <v>0.36876439282918994</v>
      </c>
      <c r="CU20" s="2">
        <f>CT20+預測IC!CU20</f>
        <v>0.37005405713532447</v>
      </c>
      <c r="CV20" s="2">
        <f>CU20+預測IC!CV20</f>
        <v>0.39812671963794055</v>
      </c>
      <c r="CW20" s="2">
        <f>CV20+預測IC!CW20</f>
        <v>0.41538231641110429</v>
      </c>
      <c r="CX20" s="2">
        <f>CW20+預測IC!CX20</f>
        <v>0.42118410523762201</v>
      </c>
      <c r="CY20" s="2">
        <f>CX20+預測IC!CY20</f>
        <v>0.33167145698720957</v>
      </c>
      <c r="CZ20" s="2">
        <f>CY20+預測IC!CZ20</f>
        <v>0.47538392767555676</v>
      </c>
      <c r="DA20" s="2">
        <f>CZ20+預測IC!DA20</f>
        <v>0.49742590504061701</v>
      </c>
      <c r="DB20" s="2">
        <f>DA20+預測IC!DB20</f>
        <v>0.42045783526983299</v>
      </c>
      <c r="DC20" s="2">
        <f>DB20+預測IC!DC20</f>
        <v>0.38589670460959757</v>
      </c>
      <c r="DD20" s="2">
        <f>DC20+預測IC!DD20</f>
        <v>0.31708748817952392</v>
      </c>
      <c r="DE20" s="2">
        <f>DD20+預測IC!DE20</f>
        <v>0.32179302834031176</v>
      </c>
      <c r="DF20" s="2">
        <f>DE20+預測IC!DF20</f>
        <v>0.55162084132211475</v>
      </c>
      <c r="DG20" s="2">
        <f>DF20+預測IC!DG20</f>
        <v>0.47724926914019894</v>
      </c>
      <c r="DH20" s="2">
        <f>DG20+預測IC!DH20</f>
        <v>0.40171816613042444</v>
      </c>
      <c r="DI20" s="2">
        <f>DH20+預測IC!DI20</f>
        <v>0.52587889000364874</v>
      </c>
      <c r="DJ20" s="2">
        <f>DI20+預測IC!DJ20</f>
        <v>0.55093753142946511</v>
      </c>
      <c r="DK20" s="2">
        <f>DJ20+預測IC!DK20</f>
        <v>0.58391210384847414</v>
      </c>
      <c r="DL20" s="2">
        <f>DK20+預測IC!DL20</f>
        <v>0.67663194574884911</v>
      </c>
      <c r="DM20" s="2">
        <f>DL20+預測IC!DM20</f>
        <v>0.60334313022565889</v>
      </c>
      <c r="DN20" s="2">
        <f>DM20+預測IC!DN20</f>
        <v>0.6483964549679605</v>
      </c>
      <c r="DO20" s="2">
        <f>DN20+預測IC!DO20</f>
        <v>0.38972959416541442</v>
      </c>
      <c r="DP20" s="2">
        <f>DO20+預測IC!DP20</f>
        <v>0.40780061542530655</v>
      </c>
      <c r="DQ20" s="2">
        <f>DP20+預測IC!DQ20</f>
        <v>0.15115776445227547</v>
      </c>
      <c r="DR20" s="2">
        <f>DQ20+預測IC!DR20</f>
        <v>0.19201587396123837</v>
      </c>
      <c r="DS20" s="2">
        <f>DR20+預測IC!DS20</f>
        <v>0.43894707794379406</v>
      </c>
      <c r="DT20" s="2">
        <f>DS20+預測IC!DT20</f>
        <v>0.28253906962870923</v>
      </c>
      <c r="DU20" s="2">
        <f>DT20+預測IC!DU20</f>
        <v>0.29422564773428794</v>
      </c>
      <c r="DV20" s="2">
        <f>DU20+預測IC!DV20</f>
        <v>0.30357313131770763</v>
      </c>
      <c r="DW20" s="2">
        <f>DV20+預測IC!DW20</f>
        <v>0.26769059372175824</v>
      </c>
      <c r="DX20" s="2">
        <f>DW20+預測IC!DX20</f>
        <v>0.40104485651127675</v>
      </c>
      <c r="DY20" s="2">
        <f>DX20+預測IC!DY20</f>
        <v>0.55890166354248261</v>
      </c>
      <c r="DZ20" s="2">
        <f>DY20+預測IC!DZ20</f>
        <v>0.52983935146480099</v>
      </c>
      <c r="EA20" s="2">
        <f>DZ20+預測IC!EA20</f>
        <v>0.51755841375642841</v>
      </c>
      <c r="EB20" s="2">
        <f>EA20+預測IC!EB20</f>
        <v>0.54748227098227642</v>
      </c>
      <c r="EC20" s="2">
        <f>EB20+預測IC!EC20</f>
        <v>0.59641491280693504</v>
      </c>
      <c r="ED20" s="2">
        <f>EC20+預測IC!ED20</f>
        <v>0.38940831860300484</v>
      </c>
      <c r="EE20" s="2">
        <f>ED20+預測IC!EE20</f>
        <v>0.35510049987932257</v>
      </c>
      <c r="EF20" s="2">
        <f>EE20+預測IC!EF20</f>
        <v>0.32817228503516999</v>
      </c>
      <c r="EG20" s="2">
        <f>EF20+預測IC!EG20</f>
        <v>-0.1253183965808658</v>
      </c>
      <c r="EH20" s="2">
        <f>EG20+預測IC!EH20</f>
        <v>-0.11654995555653597</v>
      </c>
      <c r="EI20" s="2">
        <f>EH20+預測IC!EI20</f>
        <v>-0.13287274041753255</v>
      </c>
      <c r="EJ20" s="2">
        <f>EI20+預測IC!EJ20</f>
        <v>-7.0854042448132204E-2</v>
      </c>
      <c r="EK20" s="2">
        <f>EJ20+預測IC!EK20</f>
        <v>5.073138965391559E-2</v>
      </c>
      <c r="EL20" s="2">
        <f>EK20+預測IC!EL20</f>
        <v>3.1057672090079199E-2</v>
      </c>
    </row>
    <row r="21" spans="1:142" x14ac:dyDescent="0.3">
      <c r="A21" s="18">
        <v>256</v>
      </c>
      <c r="B21" s="18">
        <f t="shared" si="10"/>
        <v>4</v>
      </c>
      <c r="C21" s="2">
        <v>1.190207271587417E-2</v>
      </c>
      <c r="D21" s="2">
        <f>C21+預測IC!D21</f>
        <v>4.9339726911951119E-2</v>
      </c>
      <c r="E21" s="2">
        <f>D21+預測IC!E21</f>
        <v>-8.2982609159087117E-3</v>
      </c>
      <c r="F21" s="2">
        <f>E21+預測IC!F21</f>
        <v>0.12061408680162639</v>
      </c>
      <c r="G21" s="2">
        <f>F21+預測IC!G21</f>
        <v>7.2216824037396821E-2</v>
      </c>
      <c r="H21" s="2">
        <f>G21+預測IC!H21</f>
        <v>0.15572602324050652</v>
      </c>
      <c r="I21" s="2">
        <f>H21+預測IC!I21</f>
        <v>0.39504908541826056</v>
      </c>
      <c r="J21" s="2">
        <f>I21+預測IC!J21</f>
        <v>0.68008448773966657</v>
      </c>
      <c r="K21" s="2">
        <f>J21+預測IC!K21</f>
        <v>0.62897473367465684</v>
      </c>
      <c r="L21" s="2">
        <f>K21+預測IC!L21</f>
        <v>0.55597209922925495</v>
      </c>
      <c r="M21" s="2">
        <f>L21+預測IC!M21</f>
        <v>0.25906751125114813</v>
      </c>
      <c r="N21" s="2">
        <f>M21+預測IC!N21</f>
        <v>0.3450574239092149</v>
      </c>
      <c r="O21" s="2">
        <f>N21+預測IC!O21</f>
        <v>0.40391256402165254</v>
      </c>
      <c r="P21" s="2">
        <f>O21+預測IC!P21</f>
        <v>0.33241835039535272</v>
      </c>
      <c r="Q21" s="2">
        <f>P21+預測IC!Q21</f>
        <v>0.21137196416199694</v>
      </c>
      <c r="R21" s="2">
        <f>Q21+預測IC!R21</f>
        <v>0.12977485057001789</v>
      </c>
      <c r="S21" s="2">
        <f>R21+預測IC!S21</f>
        <v>1.1845651200609042E-3</v>
      </c>
      <c r="T21" s="2">
        <f>S21+預測IC!T21</f>
        <v>-0.1145343925136436</v>
      </c>
      <c r="U21" s="2">
        <f>T21+預測IC!U21</f>
        <v>-9.8742380650934686E-2</v>
      </c>
      <c r="V21" s="2">
        <f>U21+預測IC!V21</f>
        <v>-0.12724006669162927</v>
      </c>
      <c r="W21" s="2">
        <f>V21+預測IC!W21</f>
        <v>-0.29029594651820617</v>
      </c>
      <c r="X21" s="2">
        <f>W21+預測IC!X21</f>
        <v>-9.6458931396062958E-2</v>
      </c>
      <c r="Y21" s="2">
        <f>X21+預測IC!Y21</f>
        <v>-7.935269199613007E-2</v>
      </c>
      <c r="Z21" s="2">
        <f>Y21+預測IC!Z21</f>
        <v>-5.6286078033848011E-2</v>
      </c>
      <c r="AA21" s="2">
        <f>Z21+預測IC!AA21</f>
        <v>-8.0425678163794229E-2</v>
      </c>
      <c r="AB21" s="2">
        <f>AA21+預測IC!AB21</f>
        <v>-0.18708078623371022</v>
      </c>
      <c r="AC21" s="2">
        <f>AB21+預測IC!AC21</f>
        <v>-0.25196554395187831</v>
      </c>
      <c r="AD21" s="2">
        <f>AC21+預測IC!AD21</f>
        <v>-0.32507996847299336</v>
      </c>
      <c r="AE21" s="2">
        <f>AD21+預測IC!AE21</f>
        <v>-0.50875218582024329</v>
      </c>
      <c r="AF21" s="2">
        <f>AE21+預測IC!AF21</f>
        <v>-0.43730588133351733</v>
      </c>
      <c r="AG21" s="2">
        <f>AF21+預測IC!AG21</f>
        <v>-0.52385087172774036</v>
      </c>
      <c r="AH21" s="2">
        <f>AG21+預測IC!AH21</f>
        <v>-0.50786816965750636</v>
      </c>
      <c r="AI21" s="2">
        <f>AH21+預測IC!AI21</f>
        <v>-0.42827396032421527</v>
      </c>
      <c r="AJ21" s="2">
        <f>AI21+預測IC!AJ21</f>
        <v>-0.43605599235522424</v>
      </c>
      <c r="AK21" s="2">
        <f>AJ21+預測IC!AK21</f>
        <v>-0.46669942609265552</v>
      </c>
      <c r="AL21" s="2">
        <f>AK21+預測IC!AL21</f>
        <v>-0.3557372799312154</v>
      </c>
      <c r="AM21" s="2">
        <f>AL21+預測IC!AM21</f>
        <v>-0.30443534081531348</v>
      </c>
      <c r="AN21" s="2">
        <f>AM21+預測IC!AN21</f>
        <v>-0.41086647878511529</v>
      </c>
      <c r="AO21" s="2">
        <f>AN21+預測IC!AO21</f>
        <v>-0.48639063371461599</v>
      </c>
      <c r="AP21" s="2">
        <f>AO21+預測IC!AP21</f>
        <v>-0.59119880661621182</v>
      </c>
      <c r="AQ21" s="2">
        <f>AP21+預測IC!AQ21</f>
        <v>-0.66564265219574292</v>
      </c>
      <c r="AR21" s="2">
        <f>AQ21+預測IC!AR21</f>
        <v>-0.45892032484597023</v>
      </c>
      <c r="AS21" s="2">
        <f>AR21+預測IC!AS21</f>
        <v>-0.34150300418737645</v>
      </c>
      <c r="AT21" s="2">
        <f>AS21+預測IC!AT21</f>
        <v>-0.38700769509919941</v>
      </c>
      <c r="AU21" s="2">
        <f>AT21+預測IC!AU21</f>
        <v>-0.3995344501261624</v>
      </c>
      <c r="AV21" s="2">
        <f>AU21+預測IC!AV21</f>
        <v>-0.41342471226353333</v>
      </c>
      <c r="AW21" s="2">
        <f>AV21+預測IC!AW21</f>
        <v>-0.23039035567380922</v>
      </c>
      <c r="AX21" s="2">
        <f>AW21+預測IC!AX21</f>
        <v>-7.3078991255246029E-2</v>
      </c>
      <c r="AY21" s="2">
        <f>AX21+預測IC!AY21</f>
        <v>-0.14172276078449009</v>
      </c>
      <c r="AZ21" s="2">
        <f>AY21+預測IC!AZ21</f>
        <v>-8.0254284034727549E-2</v>
      </c>
      <c r="BA21" s="2">
        <f>AZ21+預測IC!BA21</f>
        <v>-3.2186725633086971E-2</v>
      </c>
      <c r="BB21" s="2">
        <f>BA21+預測IC!BB21</f>
        <v>0.22319548736576703</v>
      </c>
      <c r="BC21" s="2">
        <f>BB21+預測IC!BC21</f>
        <v>0.28309168816016544</v>
      </c>
      <c r="BD21" s="2">
        <f>BC21+預測IC!BD21</f>
        <v>0.29086285177366178</v>
      </c>
      <c r="BE21" s="2">
        <f>BD21+預測IC!BE21</f>
        <v>0.20555332610018176</v>
      </c>
      <c r="BF21" s="2">
        <f>BE21+預測IC!BF21</f>
        <v>0.13322186629365984</v>
      </c>
      <c r="BG21" s="2">
        <f>BF21+預測IC!BG21</f>
        <v>0.14646617776835125</v>
      </c>
      <c r="BH21" s="2">
        <f>BG21+預測IC!BH21</f>
        <v>0.18662888989362952</v>
      </c>
      <c r="BI21" s="2">
        <f>BH21+預測IC!BI21</f>
        <v>0.12757377649613871</v>
      </c>
      <c r="BJ21" s="2">
        <f>BI21+預測IC!BJ21</f>
        <v>0.14990498595836668</v>
      </c>
      <c r="BK21" s="2">
        <f>BJ21+預測IC!BK21</f>
        <v>0.22262810070708067</v>
      </c>
      <c r="BL21" s="2">
        <f>BK21+預測IC!BL21</f>
        <v>0.33662647322630035</v>
      </c>
      <c r="BM21" s="2">
        <f>BL21+預測IC!BM21</f>
        <v>0.45736327459073223</v>
      </c>
      <c r="BN21" s="2">
        <f>BM21+預測IC!BN21</f>
        <v>0.58119221145139821</v>
      </c>
      <c r="BO21" s="2">
        <f>BN21+預測IC!BO21</f>
        <v>0.47457517090951418</v>
      </c>
      <c r="BP21" s="2">
        <f>BO21+預測IC!BP21</f>
        <v>0.55712729110488202</v>
      </c>
      <c r="BQ21" s="2">
        <f>BP21+預測IC!BQ21</f>
        <v>0.6151376360368499</v>
      </c>
      <c r="BR21" s="2">
        <f>BQ21+預測IC!BR21</f>
        <v>0.63052066684212615</v>
      </c>
      <c r="BS21" s="2">
        <f>BR21+預測IC!BS21</f>
        <v>0.56518424093470687</v>
      </c>
      <c r="BT21" s="2">
        <f>BS21+預測IC!BT21</f>
        <v>0.67805877101666179</v>
      </c>
      <c r="BU21" s="2">
        <f>BT21+預測IC!BU21</f>
        <v>0.55059281670234705</v>
      </c>
      <c r="BV21" s="2">
        <f>BU21+預測IC!BV21</f>
        <v>0.55465931000881019</v>
      </c>
      <c r="BW21" s="2">
        <f>BV21+預測IC!BW21</f>
        <v>0.92483506235201762</v>
      </c>
      <c r="BX21" s="2">
        <f>BW21+預測IC!BX21</f>
        <v>0.97307296607605864</v>
      </c>
      <c r="BY21" s="2">
        <f>BX21+預測IC!BY21</f>
        <v>0.87940316126282836</v>
      </c>
      <c r="BZ21" s="2">
        <f>BY21+預測IC!BZ21</f>
        <v>0.62800138338024203</v>
      </c>
      <c r="CA21" s="2">
        <f>BZ21+預測IC!CA21</f>
        <v>0.77767527680479021</v>
      </c>
      <c r="CB21" s="2">
        <f>CA21+預測IC!CB21</f>
        <v>0.74094949419717271</v>
      </c>
      <c r="CC21" s="2">
        <f>CB21+預測IC!CC21</f>
        <v>0.61136941515692045</v>
      </c>
      <c r="CD21" s="2">
        <f>CC21+預測IC!CD21</f>
        <v>0.72490404526744312</v>
      </c>
      <c r="CE21" s="2">
        <f>CD21+預測IC!CE21</f>
        <v>0.38475367138661914</v>
      </c>
      <c r="CF21" s="2">
        <f>CE21+預測IC!CF21</f>
        <v>0.43893611673536947</v>
      </c>
      <c r="CG21" s="2">
        <f>CF21+預測IC!CG21</f>
        <v>0.78006353002898088</v>
      </c>
      <c r="CH21" s="2">
        <f>CG21+預測IC!CH21</f>
        <v>0.78035960809742233</v>
      </c>
      <c r="CI21" s="2">
        <f>CH21+預測IC!CI21</f>
        <v>0.77279769495761663</v>
      </c>
      <c r="CJ21" s="2">
        <f>CI21+預測IC!CJ21</f>
        <v>0.53374998875275748</v>
      </c>
      <c r="CK21" s="2">
        <f>CJ21+預測IC!CK21</f>
        <v>0.61612093859073025</v>
      </c>
      <c r="CL21" s="2">
        <f>CK21+預測IC!CL21</f>
        <v>1.0829025603331917</v>
      </c>
      <c r="CM21" s="2">
        <f>CL21+預測IC!CM21</f>
        <v>1.0916542877200166</v>
      </c>
      <c r="CN21" s="2">
        <f>CM21+預測IC!CN21</f>
        <v>0.98515906728354785</v>
      </c>
      <c r="CO21" s="2">
        <f>CN21+預測IC!CO21</f>
        <v>0.68789912896038707</v>
      </c>
      <c r="CP21" s="2">
        <f>CO21+預測IC!CP21</f>
        <v>0.7386642151789371</v>
      </c>
      <c r="CQ21" s="2">
        <f>CP21+預測IC!CQ21</f>
        <v>0.77994389749202864</v>
      </c>
      <c r="CR21" s="2">
        <f>CQ21+預測IC!CR21</f>
        <v>0.73862400872609657</v>
      </c>
      <c r="CS21" s="2">
        <f>CR21+預測IC!CS21</f>
        <v>0.77048739182980508</v>
      </c>
      <c r="CT21" s="2">
        <f>CS21+預測IC!CT21</f>
        <v>0.83789419840187318</v>
      </c>
      <c r="CU21" s="2">
        <f>CT21+預測IC!CU21</f>
        <v>0.84599097960712322</v>
      </c>
      <c r="CV21" s="2">
        <f>CU21+預測IC!CV21</f>
        <v>0.9042487856028848</v>
      </c>
      <c r="CW21" s="2">
        <f>CV21+預測IC!CW21</f>
        <v>0.94231882898006547</v>
      </c>
      <c r="CX21" s="2">
        <f>CW21+預測IC!CX21</f>
        <v>0.9599161325202199</v>
      </c>
      <c r="CY21" s="2">
        <f>CX21+預測IC!CY21</f>
        <v>0.92057322351159598</v>
      </c>
      <c r="CZ21" s="2">
        <f>CY21+預測IC!CZ21</f>
        <v>1.0330608289822045</v>
      </c>
      <c r="DA21" s="2">
        <f>CZ21+預測IC!DA21</f>
        <v>1.0513964808266487</v>
      </c>
      <c r="DB21" s="2">
        <f>DA21+預測IC!DB21</f>
        <v>0.97993526705265066</v>
      </c>
      <c r="DC21" s="2">
        <f>DB21+預測IC!DC21</f>
        <v>0.92748661703605284</v>
      </c>
      <c r="DD21" s="2">
        <f>DC21+預測IC!DD21</f>
        <v>0.84997393861804571</v>
      </c>
      <c r="DE21" s="2">
        <f>DD21+預測IC!DE21</f>
        <v>0.79170280817165906</v>
      </c>
      <c r="DF21" s="2">
        <f>DE21+預測IC!DF21</f>
        <v>1.0778336714946022</v>
      </c>
      <c r="DG21" s="2">
        <f>DF21+預測IC!DG21</f>
        <v>1.0277915472747898</v>
      </c>
      <c r="DH21" s="2">
        <f>DG21+預測IC!DH21</f>
        <v>1.0122496930907776</v>
      </c>
      <c r="DI21" s="2">
        <f>DH21+預測IC!DI21</f>
        <v>1.1641162619002361</v>
      </c>
      <c r="DJ21" s="2">
        <f>DI21+預測IC!DJ21</f>
        <v>1.1795007573413712</v>
      </c>
      <c r="DK21" s="2">
        <f>DJ21+預測IC!DK21</f>
        <v>1.2134604669881428</v>
      </c>
      <c r="DL21" s="2">
        <f>DK21+預測IC!DL21</f>
        <v>1.3247015663272723</v>
      </c>
      <c r="DM21" s="2">
        <f>DL21+預測IC!DM21</f>
        <v>1.2084490662756011</v>
      </c>
      <c r="DN21" s="2">
        <f>DM21+預測IC!DN21</f>
        <v>1.2378774369096954</v>
      </c>
      <c r="DO21" s="2">
        <f>DN21+預測IC!DO21</f>
        <v>0.90541876035163105</v>
      </c>
      <c r="DP21" s="2">
        <f>DO21+預測IC!DP21</f>
        <v>0.91798798103464352</v>
      </c>
      <c r="DQ21" s="2">
        <f>DP21+預測IC!DQ21</f>
        <v>0.80843482935006794</v>
      </c>
      <c r="DR21" s="2">
        <f>DQ21+預測IC!DR21</f>
        <v>0.86199181915676215</v>
      </c>
      <c r="DS21" s="2">
        <f>DR21+預測IC!DS21</f>
        <v>1.1139584338051112</v>
      </c>
      <c r="DT21" s="2">
        <f>DS21+預測IC!DT21</f>
        <v>1.0729322734502738</v>
      </c>
      <c r="DU21" s="2">
        <f>DT21+預測IC!DU21</f>
        <v>1.0686943356433678</v>
      </c>
      <c r="DV21" s="2">
        <f>DU21+預測IC!DV21</f>
        <v>1.1063830231504821</v>
      </c>
      <c r="DW21" s="2">
        <f>DV21+預測IC!DW21</f>
        <v>1.0453209660705642</v>
      </c>
      <c r="DX21" s="2">
        <f>DW21+預測IC!DX21</f>
        <v>1.1450455767710994</v>
      </c>
      <c r="DY21" s="2">
        <f>DX21+預測IC!DY21</f>
        <v>1.3798439962239146</v>
      </c>
      <c r="DZ21" s="2">
        <f>DY21+預測IC!DZ21</f>
        <v>1.3650958225000522</v>
      </c>
      <c r="EA21" s="2">
        <f>DZ21+預測IC!EA21</f>
        <v>1.3842202485325248</v>
      </c>
      <c r="EB21" s="2">
        <f>EA21+預測IC!EB21</f>
        <v>1.4637928471820907</v>
      </c>
      <c r="EC21" s="2">
        <f>EB21+預測IC!EC21</f>
        <v>1.5234270659374147</v>
      </c>
      <c r="ED21" s="2">
        <f>EC21+預測IC!ED21</f>
        <v>1.4313185431680839</v>
      </c>
      <c r="EE21" s="2">
        <f>ED21+預測IC!EE21</f>
        <v>1.399411006272721</v>
      </c>
      <c r="EF21" s="2">
        <f>EE21+預測IC!EF21</f>
        <v>1.3476496557944329</v>
      </c>
      <c r="EG21" s="2">
        <f>EF21+預測IC!EG21</f>
        <v>0.77762628864229466</v>
      </c>
      <c r="EH21" s="2">
        <f>EG21+預測IC!EH21</f>
        <v>0.80405295825749101</v>
      </c>
      <c r="EI21" s="2">
        <f>EH21+預測IC!EI21</f>
        <v>0.80178108819831095</v>
      </c>
      <c r="EJ21" s="2">
        <f>EI21+預測IC!EJ21</f>
        <v>0.85314106129250389</v>
      </c>
      <c r="EK21" s="2">
        <f>EJ21+預測IC!EK21</f>
        <v>0.90027482108679824</v>
      </c>
      <c r="EL21" s="2">
        <f>EK21+預測IC!EL21</f>
        <v>0.79485280993038598</v>
      </c>
    </row>
    <row r="22" spans="1:142" x14ac:dyDescent="0.3">
      <c r="A22" s="18">
        <v>400</v>
      </c>
      <c r="B22" s="18">
        <f t="shared" si="10"/>
        <v>3</v>
      </c>
      <c r="C22" s="2">
        <v>1.083089340061978E-2</v>
      </c>
      <c r="D22" s="2">
        <f>C22+預測IC!D22</f>
        <v>-1.9574731449324007E-3</v>
      </c>
      <c r="E22" s="2">
        <f>D22+預測IC!E22</f>
        <v>-3.754463720140086E-2</v>
      </c>
      <c r="F22" s="2">
        <f>E22+預測IC!F22</f>
        <v>5.9889358377585591E-2</v>
      </c>
      <c r="G22" s="2">
        <f>F22+預測IC!G22</f>
        <v>1.8586314904609498E-2</v>
      </c>
      <c r="H22" s="2">
        <f>G22+預測IC!H22</f>
        <v>8.7097008445108759E-2</v>
      </c>
      <c r="I22" s="2">
        <f>H22+預測IC!I22</f>
        <v>0.34152991135555877</v>
      </c>
      <c r="J22" s="2">
        <f>I22+預測IC!J22</f>
        <v>0.71762338269827874</v>
      </c>
      <c r="K22" s="2">
        <f>J22+預測IC!K22</f>
        <v>0.66869622214003066</v>
      </c>
      <c r="L22" s="2">
        <f>K22+預測IC!L22</f>
        <v>0.53974744926457474</v>
      </c>
      <c r="M22" s="2">
        <f>L22+預測IC!M22</f>
        <v>0.35508466192162463</v>
      </c>
      <c r="N22" s="2">
        <f>M22+預測IC!N22</f>
        <v>0.47023508165837147</v>
      </c>
      <c r="O22" s="2">
        <f>N22+預測IC!O22</f>
        <v>0.55440153025202799</v>
      </c>
      <c r="P22" s="2">
        <f>O22+預測IC!P22</f>
        <v>0.46377065582539367</v>
      </c>
      <c r="Q22" s="2">
        <f>P22+預測IC!Q22</f>
        <v>0.34702952371689338</v>
      </c>
      <c r="R22" s="2">
        <f>Q22+預測IC!R22</f>
        <v>0.25835515777047913</v>
      </c>
      <c r="S22" s="2">
        <f>R22+預測IC!S22</f>
        <v>8.870860221253854E-2</v>
      </c>
      <c r="T22" s="2">
        <f>S22+預測IC!T22</f>
        <v>-4.7148547355072568E-2</v>
      </c>
      <c r="U22" s="2">
        <f>T22+預測IC!U22</f>
        <v>-2.4650153453940199E-3</v>
      </c>
      <c r="V22" s="2">
        <f>U22+預測IC!V22</f>
        <v>5.8800211887346902E-2</v>
      </c>
      <c r="W22" s="2">
        <f>V22+預測IC!W22</f>
        <v>-9.7442441698807503E-2</v>
      </c>
      <c r="X22" s="2">
        <f>W22+預測IC!X22</f>
        <v>6.0407609962061598E-2</v>
      </c>
      <c r="Y22" s="2">
        <f>X22+預測IC!Y22</f>
        <v>6.6681840759541949E-2</v>
      </c>
      <c r="Z22" s="2">
        <f>Y22+預測IC!Z22</f>
        <v>0.10357709211924733</v>
      </c>
      <c r="AA22" s="2">
        <f>Z22+預測IC!AA22</f>
        <v>3.9354345901526658E-2</v>
      </c>
      <c r="AB22" s="2">
        <f>AA22+預測IC!AB22</f>
        <v>-6.9340757575648143E-2</v>
      </c>
      <c r="AC22" s="2">
        <f>AB22+預測IC!AC22</f>
        <v>-0.12897375724837409</v>
      </c>
      <c r="AD22" s="2">
        <f>AC22+預測IC!AD22</f>
        <v>-0.18696962834072015</v>
      </c>
      <c r="AE22" s="2">
        <f>AD22+預測IC!AE22</f>
        <v>-0.42480763893902945</v>
      </c>
      <c r="AF22" s="2">
        <f>AE22+預測IC!AF22</f>
        <v>-0.31906647944893962</v>
      </c>
      <c r="AG22" s="2">
        <f>AF22+預測IC!AG22</f>
        <v>-0.42753162602913991</v>
      </c>
      <c r="AH22" s="2">
        <f>AG22+預測IC!AH22</f>
        <v>-0.39981774451360202</v>
      </c>
      <c r="AI22" s="2">
        <f>AH22+預測IC!AI22</f>
        <v>-0.30567648385621599</v>
      </c>
      <c r="AJ22" s="2">
        <f>AI22+預測IC!AJ22</f>
        <v>-0.3415101861590859</v>
      </c>
      <c r="AK22" s="2">
        <f>AJ22+預測IC!AK22</f>
        <v>-0.24022162541869019</v>
      </c>
      <c r="AL22" s="2">
        <f>AK22+預測IC!AL22</f>
        <v>-0.20338081913197473</v>
      </c>
      <c r="AM22" s="2">
        <f>AL22+預測IC!AM22</f>
        <v>-0.11929191566427116</v>
      </c>
      <c r="AN22" s="2">
        <f>AM22+預測IC!AN22</f>
        <v>-0.29649911939852486</v>
      </c>
      <c r="AO22" s="2">
        <f>AN22+預測IC!AO22</f>
        <v>-0.39533859628627849</v>
      </c>
      <c r="AP22" s="2">
        <f>AO22+預測IC!AP22</f>
        <v>-0.57989918564010567</v>
      </c>
      <c r="AQ22" s="2">
        <f>AP22+預測IC!AQ22</f>
        <v>-0.49722129893156153</v>
      </c>
      <c r="AR22" s="2">
        <f>AQ22+預測IC!AR22</f>
        <v>-0.24968157688592382</v>
      </c>
      <c r="AS22" s="2">
        <f>AR22+預測IC!AS22</f>
        <v>-0.22751109477364317</v>
      </c>
      <c r="AT22" s="2">
        <f>AS22+預測IC!AT22</f>
        <v>-0.1991862365249992</v>
      </c>
      <c r="AU22" s="2">
        <f>AT22+預測IC!AU22</f>
        <v>-0.20528519291605207</v>
      </c>
      <c r="AV22" s="2">
        <f>AU22+預測IC!AV22</f>
        <v>-0.28448842158680826</v>
      </c>
      <c r="AW22" s="2">
        <f>AV22+預測IC!AW22</f>
        <v>-5.4995188340858064E-2</v>
      </c>
      <c r="AX22" s="2">
        <f>AW22+預測IC!AX22</f>
        <v>-0.10273302931233849</v>
      </c>
      <c r="AY22" s="2">
        <f>AX22+預測IC!AY22</f>
        <v>-0.14374821197273399</v>
      </c>
      <c r="AZ22" s="2">
        <f>AY22+預測IC!AZ22</f>
        <v>-7.9791751421547361E-2</v>
      </c>
      <c r="BA22" s="2">
        <f>AZ22+預測IC!BA22</f>
        <v>-2.5372069573480344E-3</v>
      </c>
      <c r="BB22" s="2">
        <f>BA22+預測IC!BB22</f>
        <v>0.29939273758307494</v>
      </c>
      <c r="BC22" s="2">
        <f>BB22+預測IC!BC22</f>
        <v>0.18385101177038804</v>
      </c>
      <c r="BD22" s="2">
        <f>BC22+預測IC!BD22</f>
        <v>0.22251324515060114</v>
      </c>
      <c r="BE22" s="2">
        <f>BD22+預測IC!BE22</f>
        <v>9.4401950722942746E-2</v>
      </c>
      <c r="BF22" s="2">
        <f>BE22+預測IC!BF22</f>
        <v>2.6127256393024934E-2</v>
      </c>
      <c r="BG22" s="2">
        <f>BF22+預測IC!BG22</f>
        <v>7.2406768561410956E-2</v>
      </c>
      <c r="BH22" s="2">
        <f>BG22+預測IC!BH22</f>
        <v>8.2063234901342791E-2</v>
      </c>
      <c r="BI22" s="2">
        <f>BH22+預測IC!BI22</f>
        <v>9.9604029933936106E-2</v>
      </c>
      <c r="BJ22" s="2">
        <f>BI22+預測IC!BJ22</f>
        <v>0.14048174481274928</v>
      </c>
      <c r="BK22" s="2">
        <f>BJ22+預測IC!BK22</f>
        <v>0.1887969858644136</v>
      </c>
      <c r="BL22" s="2">
        <f>BK22+預測IC!BL22</f>
        <v>0.38447574835529241</v>
      </c>
      <c r="BM22" s="2">
        <f>BL22+預測IC!BM22</f>
        <v>0.49255598472016182</v>
      </c>
      <c r="BN22" s="2">
        <f>BM22+預測IC!BN22</f>
        <v>0.590456313958172</v>
      </c>
      <c r="BO22" s="2">
        <f>BN22+預測IC!BO22</f>
        <v>0.49817860035803879</v>
      </c>
      <c r="BP22" s="2">
        <f>BO22+預測IC!BP22</f>
        <v>0.57824638476031864</v>
      </c>
      <c r="BQ22" s="2">
        <f>BP22+預測IC!BQ22</f>
        <v>0.65559836303206487</v>
      </c>
      <c r="BR22" s="2">
        <f>BQ22+預測IC!BR22</f>
        <v>0.67642538301741917</v>
      </c>
      <c r="BS22" s="2">
        <f>BR22+預測IC!BS22</f>
        <v>0.64481918073818001</v>
      </c>
      <c r="BT22" s="2">
        <f>BS22+預測IC!BT22</f>
        <v>0.75224595480267409</v>
      </c>
      <c r="BU22" s="2">
        <f>BT22+預測IC!BU22</f>
        <v>0.59957854975470126</v>
      </c>
      <c r="BV22" s="2">
        <f>BU22+預測IC!BV22</f>
        <v>0.60008950612185474</v>
      </c>
      <c r="BW22" s="2">
        <f>BV22+預測IC!BW22</f>
        <v>1.1176230889726586</v>
      </c>
      <c r="BX22" s="2">
        <f>BW22+預測IC!BX22</f>
        <v>1.1896011072777264</v>
      </c>
      <c r="BY22" s="2">
        <f>BX22+預測IC!BY22</f>
        <v>1.1271343827481735</v>
      </c>
      <c r="BZ22" s="2">
        <f>BY22+預測IC!BZ22</f>
        <v>0.84750504390101888</v>
      </c>
      <c r="CA22" s="2">
        <f>BZ22+預測IC!CA22</f>
        <v>1.1004797230890482</v>
      </c>
      <c r="CB22" s="2">
        <f>CA22+預測IC!CB22</f>
        <v>1.0566755489771444</v>
      </c>
      <c r="CC22" s="2">
        <f>CB22+預測IC!CC22</f>
        <v>0.86907981602338724</v>
      </c>
      <c r="CD22" s="2">
        <f>CC22+預測IC!CD22</f>
        <v>0.96781944365862027</v>
      </c>
      <c r="CE22" s="2">
        <f>CD22+預測IC!CE22</f>
        <v>0.51343952309839791</v>
      </c>
      <c r="CF22" s="2">
        <f>CE22+預測IC!CF22</f>
        <v>0.6159476264473599</v>
      </c>
      <c r="CG22" s="2">
        <f>CF22+預測IC!CG22</f>
        <v>0.91875674726313261</v>
      </c>
      <c r="CH22" s="2">
        <f>CG22+預測IC!CH22</f>
        <v>0.89232958475930302</v>
      </c>
      <c r="CI22" s="2">
        <f>CH22+預測IC!CI22</f>
        <v>0.85671622561561689</v>
      </c>
      <c r="CJ22" s="2">
        <f>CI22+預測IC!CJ22</f>
        <v>0.64804693454666196</v>
      </c>
      <c r="CK22" s="2">
        <f>CJ22+預測IC!CK22</f>
        <v>0.64862404439971777</v>
      </c>
      <c r="CL22" s="2">
        <f>CK22+預測IC!CL22</f>
        <v>1.1440379292327365</v>
      </c>
      <c r="CM22" s="2">
        <f>CL22+預測IC!CM22</f>
        <v>1.1085667694670827</v>
      </c>
      <c r="CN22" s="2">
        <f>CM22+預測IC!CN22</f>
        <v>1.1393473528498581</v>
      </c>
      <c r="CO22" s="2">
        <f>CN22+預測IC!CO22</f>
        <v>0.73652850936369596</v>
      </c>
      <c r="CP22" s="2">
        <f>CO22+預測IC!CP22</f>
        <v>0.67402328499126229</v>
      </c>
      <c r="CQ22" s="2">
        <f>CP22+預測IC!CQ22</f>
        <v>0.712344959782932</v>
      </c>
      <c r="CR22" s="2">
        <f>CQ22+預測IC!CR22</f>
        <v>0.66760535945969368</v>
      </c>
      <c r="CS22" s="2">
        <f>CR22+預測IC!CS22</f>
        <v>0.73584142645116668</v>
      </c>
      <c r="CT22" s="2">
        <f>CS22+預測IC!CT22</f>
        <v>0.83096229555844647</v>
      </c>
      <c r="CU22" s="2">
        <f>CT22+預測IC!CU22</f>
        <v>0.82522844501295756</v>
      </c>
      <c r="CV22" s="2">
        <f>CU22+預測IC!CV22</f>
        <v>0.90329159693504035</v>
      </c>
      <c r="CW22" s="2">
        <f>CV22+預測IC!CW22</f>
        <v>0.93325270624447554</v>
      </c>
      <c r="CX22" s="2">
        <f>CW22+預測IC!CX22</f>
        <v>0.97854791523592466</v>
      </c>
      <c r="CY22" s="2">
        <f>CX22+預測IC!CY22</f>
        <v>0.93558103579970164</v>
      </c>
      <c r="CZ22" s="2">
        <f>CY22+預測IC!CZ22</f>
        <v>1.1225598881290686</v>
      </c>
      <c r="DA22" s="2">
        <f>CZ22+預測IC!DA22</f>
        <v>1.1450329862953106</v>
      </c>
      <c r="DB22" s="2">
        <f>DA22+預測IC!DB22</f>
        <v>1.0909913645847886</v>
      </c>
      <c r="DC22" s="2">
        <f>DB22+預測IC!DC22</f>
        <v>1.0669079046947849</v>
      </c>
      <c r="DD22" s="2">
        <f>DC22+預測IC!DD22</f>
        <v>1.0101867530899278</v>
      </c>
      <c r="DE22" s="2">
        <f>DD22+預測IC!DE22</f>
        <v>0.91137016264384763</v>
      </c>
      <c r="DF22" s="2">
        <f>DE22+預測IC!DF22</f>
        <v>1.3010377963379711</v>
      </c>
      <c r="DG22" s="2">
        <f>DF22+預測IC!DG22</f>
        <v>1.2262467645552648</v>
      </c>
      <c r="DH22" s="2">
        <f>DG22+預測IC!DH22</f>
        <v>1.333680374680611</v>
      </c>
      <c r="DI22" s="2">
        <f>DH22+預測IC!DI22</f>
        <v>1.5583698412948812</v>
      </c>
      <c r="DJ22" s="2">
        <f>DI22+預測IC!DJ22</f>
        <v>1.5197524705517851</v>
      </c>
      <c r="DK22" s="2">
        <f>DJ22+預測IC!DK22</f>
        <v>1.5595455261207218</v>
      </c>
      <c r="DL22" s="2">
        <f>DK22+預測IC!DL22</f>
        <v>1.6844891331383829</v>
      </c>
      <c r="DM22" s="2">
        <f>DL22+預測IC!DM22</f>
        <v>1.6644928414650759</v>
      </c>
      <c r="DN22" s="2">
        <f>DM22+預測IC!DN22</f>
        <v>1.6746104421073373</v>
      </c>
      <c r="DO22" s="2">
        <f>DN22+預測IC!DO22</f>
        <v>1.5977854638132067</v>
      </c>
      <c r="DP22" s="2">
        <f>DO22+預測IC!DP22</f>
        <v>1.5589235423877223</v>
      </c>
      <c r="DQ22" s="2">
        <f>DP22+預測IC!DQ22</f>
        <v>1.4036616705892979</v>
      </c>
      <c r="DR22" s="2">
        <f>DQ22+預測IC!DR22</f>
        <v>1.4748979702624336</v>
      </c>
      <c r="DS22" s="2">
        <f>DR22+預測IC!DS22</f>
        <v>1.7400324024984613</v>
      </c>
      <c r="DT22" s="2">
        <f>DS22+預測IC!DT22</f>
        <v>1.6290703961307464</v>
      </c>
      <c r="DU22" s="2">
        <f>DT22+預測IC!DU22</f>
        <v>1.5597568004848423</v>
      </c>
      <c r="DV22" s="2">
        <f>DU22+預測IC!DV22</f>
        <v>1.4672503801436667</v>
      </c>
      <c r="DW22" s="2">
        <f>DV22+預測IC!DW22</f>
        <v>1.4784417385489403</v>
      </c>
      <c r="DX22" s="2">
        <f>DW22+預測IC!DX22</f>
        <v>1.6557051111365999</v>
      </c>
      <c r="DY22" s="2">
        <f>DX22+預測IC!DY22</f>
        <v>1.8936654002839794</v>
      </c>
      <c r="DZ22" s="2">
        <f>DY22+預測IC!DZ22</f>
        <v>1.8958451219000998</v>
      </c>
      <c r="EA22" s="2">
        <f>DZ22+預測IC!EA22</f>
        <v>2.0055086497115626</v>
      </c>
      <c r="EB22" s="2">
        <f>EA22+預測IC!EB22</f>
        <v>2.0939270959643363</v>
      </c>
      <c r="EC22" s="2">
        <f>EB22+預測IC!EC22</f>
        <v>2.1820125433907607</v>
      </c>
      <c r="ED22" s="2">
        <f>EC22+預測IC!ED22</f>
        <v>2.0544527544382865</v>
      </c>
      <c r="EE22" s="2">
        <f>ED22+預測IC!EE22</f>
        <v>2.0527824916356492</v>
      </c>
      <c r="EF22" s="2">
        <f>EE22+預測IC!EF22</f>
        <v>1.9935966731441495</v>
      </c>
      <c r="EG22" s="2">
        <f>EF22+預測IC!EG22</f>
        <v>1.2558894837940713</v>
      </c>
      <c r="EH22" s="2">
        <f>EG22+預測IC!EH22</f>
        <v>1.2680566913866935</v>
      </c>
      <c r="EI22" s="2">
        <f>EH22+預測IC!EI22</f>
        <v>1.2778934211329473</v>
      </c>
      <c r="EJ22" s="2">
        <f>EI22+預測IC!EJ22</f>
        <v>1.3211618784661086</v>
      </c>
      <c r="EK22" s="2">
        <f>EJ22+預測IC!EK22</f>
        <v>1.2638999400205704</v>
      </c>
      <c r="EL22" s="2">
        <f>EK22+預測IC!EL22</f>
        <v>1.1207438627057</v>
      </c>
    </row>
    <row r="23" spans="1:142" x14ac:dyDescent="0.3">
      <c r="A23" s="18">
        <v>512</v>
      </c>
      <c r="B23" s="18">
        <f t="shared" si="10"/>
        <v>2</v>
      </c>
      <c r="C23" s="2">
        <v>3.1325684581971477E-2</v>
      </c>
      <c r="D23" s="2">
        <f>C23+預測IC!D23</f>
        <v>8.3268587706682148E-2</v>
      </c>
      <c r="E23" s="2">
        <f>D23+預測IC!E23</f>
        <v>5.9495488354493573E-2</v>
      </c>
      <c r="F23" s="2">
        <f>E23+預測IC!F23</f>
        <v>0.20337890414027759</v>
      </c>
      <c r="G23" s="2">
        <f>F23+預測IC!G23</f>
        <v>0.11146531842548477</v>
      </c>
      <c r="H23" s="2">
        <f>G23+預測IC!H23</f>
        <v>9.3276847584000094E-2</v>
      </c>
      <c r="I23" s="2">
        <f>H23+預測IC!I23</f>
        <v>0.34897971964957719</v>
      </c>
      <c r="J23" s="2">
        <f>I23+預測IC!J23</f>
        <v>0.46101507062033698</v>
      </c>
      <c r="K23" s="2">
        <f>J23+預測IC!K23</f>
        <v>0.29189785438199328</v>
      </c>
      <c r="L23" s="2">
        <f>K23+預測IC!L23</f>
        <v>5.9453493339531094E-2</v>
      </c>
      <c r="M23" s="2">
        <f>L23+預測IC!M23</f>
        <v>-8.7833474687965818E-2</v>
      </c>
      <c r="N23" s="2">
        <f>M23+預測IC!N23</f>
        <v>5.9509531435665286E-2</v>
      </c>
      <c r="O23" s="2">
        <f>N23+預測IC!O23</f>
        <v>5.720737968345458E-2</v>
      </c>
      <c r="P23" s="2">
        <f>O23+預測IC!P23</f>
        <v>2.5258536489066799E-3</v>
      </c>
      <c r="Q23" s="2">
        <f>P23+預測IC!Q23</f>
        <v>0.12282805907847499</v>
      </c>
      <c r="R23" s="2">
        <f>Q23+預測IC!R23</f>
        <v>6.0006081108713291E-2</v>
      </c>
      <c r="S23" s="2">
        <f>R23+預測IC!S23</f>
        <v>-5.3718451718548804E-2</v>
      </c>
      <c r="T23" s="2">
        <f>S23+預測IC!T23</f>
        <v>-9.3332640883376422E-2</v>
      </c>
      <c r="U23" s="2">
        <f>T23+預測IC!U23</f>
        <v>0.10062722236698318</v>
      </c>
      <c r="V23" s="2">
        <f>U23+預測IC!V23</f>
        <v>0.26591998809087092</v>
      </c>
      <c r="W23" s="2">
        <f>V23+預測IC!W23</f>
        <v>0.12938508453094261</v>
      </c>
      <c r="X23" s="2">
        <f>W23+預測IC!X23</f>
        <v>0.31116627032876554</v>
      </c>
      <c r="Y23" s="2">
        <f>X23+預測IC!Y23</f>
        <v>0.39241233128653052</v>
      </c>
      <c r="Z23" s="2">
        <f>Y23+預測IC!Z23</f>
        <v>0.39086281874441969</v>
      </c>
      <c r="AA23" s="2">
        <f>Z23+預測IC!AA23</f>
        <v>0.28493110001959199</v>
      </c>
      <c r="AB23" s="2">
        <f>AA23+預測IC!AB23</f>
        <v>0.13595589605810868</v>
      </c>
      <c r="AC23" s="2">
        <f>AB23+預測IC!AC23</f>
        <v>-3.7364198739378324E-2</v>
      </c>
      <c r="AD23" s="2">
        <f>AC23+預測IC!AD23</f>
        <v>-5.4552002328999649E-2</v>
      </c>
      <c r="AE23" s="2">
        <f>AD23+預測IC!AE23</f>
        <v>-0.34959383023707863</v>
      </c>
      <c r="AF23" s="2">
        <f>AE23+預測IC!AF23</f>
        <v>-0.17638030819022804</v>
      </c>
      <c r="AG23" s="2">
        <f>AF23+預測IC!AG23</f>
        <v>-0.38698586201748453</v>
      </c>
      <c r="AH23" s="2">
        <f>AG23+預測IC!AH23</f>
        <v>-0.42426535238815422</v>
      </c>
      <c r="AI23" s="2">
        <f>AH23+預測IC!AI23</f>
        <v>-0.40103708576567226</v>
      </c>
      <c r="AJ23" s="2">
        <f>AI23+預測IC!AJ23</f>
        <v>-0.37744964547164811</v>
      </c>
      <c r="AK23" s="2">
        <f>AJ23+預測IC!AK23</f>
        <v>-0.26333854612445712</v>
      </c>
      <c r="AL23" s="2">
        <f>AK23+預測IC!AL23</f>
        <v>-0.21257853511802613</v>
      </c>
      <c r="AM23" s="2">
        <f>AL23+預測IC!AM23</f>
        <v>-0.20480904611316086</v>
      </c>
      <c r="AN23" s="2">
        <f>AM23+預測IC!AN23</f>
        <v>-0.44712374547046158</v>
      </c>
      <c r="AO23" s="2">
        <f>AN23+預測IC!AO23</f>
        <v>-0.41498914720822822</v>
      </c>
      <c r="AP23" s="2">
        <f>AO23+預測IC!AP23</f>
        <v>-0.50790691372558205</v>
      </c>
      <c r="AQ23" s="2">
        <f>AP23+預測IC!AQ23</f>
        <v>-0.41848192146597141</v>
      </c>
      <c r="AR23" s="2">
        <f>AQ23+預測IC!AR23</f>
        <v>-8.1737877620903732E-2</v>
      </c>
      <c r="AS23" s="2">
        <f>AR23+預測IC!AS23</f>
        <v>-1.8954033962978872E-2</v>
      </c>
      <c r="AT23" s="2">
        <f>AS23+預測IC!AT23</f>
        <v>-3.5905264778709811E-2</v>
      </c>
      <c r="AU23" s="2">
        <f>AT23+預測IC!AU23</f>
        <v>1.5149620567739414E-3</v>
      </c>
      <c r="AV23" s="2">
        <f>AU23+預測IC!AV23</f>
        <v>-0.14896154924049515</v>
      </c>
      <c r="AW23" s="2">
        <f>AV23+預測IC!AW23</f>
        <v>0.17746672346461934</v>
      </c>
      <c r="AX23" s="2">
        <f>AW23+預測IC!AX23</f>
        <v>0.1626539444560785</v>
      </c>
      <c r="AY23" s="2">
        <f>AX23+預測IC!AY23</f>
        <v>3.6525304725482099E-2</v>
      </c>
      <c r="AZ23" s="2">
        <f>AY23+預測IC!AZ23</f>
        <v>0.11459688124668915</v>
      </c>
      <c r="BA23" s="2">
        <f>AZ23+預測IC!BA23</f>
        <v>0.10495010116658837</v>
      </c>
      <c r="BB23" s="2">
        <f>BA23+預測IC!BB23</f>
        <v>5.3900617063703249E-2</v>
      </c>
      <c r="BC23" s="2">
        <f>BB23+預測IC!BC23</f>
        <v>-0.24692763210936253</v>
      </c>
      <c r="BD23" s="2">
        <f>BC23+預測IC!BD23</f>
        <v>-0.18185081494370167</v>
      </c>
      <c r="BE23" s="2">
        <f>BD23+預測IC!BE23</f>
        <v>-0.35782559607304121</v>
      </c>
      <c r="BF23" s="2">
        <f>BE23+預測IC!BF23</f>
        <v>-0.4079365580946519</v>
      </c>
      <c r="BG23" s="2">
        <f>BF23+預測IC!BG23</f>
        <v>-0.33317508689789938</v>
      </c>
      <c r="BH23" s="2">
        <f>BG23+預測IC!BH23</f>
        <v>-0.38677195083288968</v>
      </c>
      <c r="BI23" s="2">
        <f>BH23+預測IC!BI23</f>
        <v>-0.46818883070444839</v>
      </c>
      <c r="BJ23" s="2">
        <f>BI23+預測IC!BJ23</f>
        <v>-0.40491648637250999</v>
      </c>
      <c r="BK23" s="2">
        <f>BJ23+預測IC!BK23</f>
        <v>-0.3570671630713218</v>
      </c>
      <c r="BL23" s="2">
        <f>BK23+預測IC!BL23</f>
        <v>-0.1461071317076611</v>
      </c>
      <c r="BM23" s="2">
        <f>BL23+預測IC!BM23</f>
        <v>-0.17114459349937913</v>
      </c>
      <c r="BN23" s="2">
        <f>BM23+預測IC!BN23</f>
        <v>-0.16643622482396878</v>
      </c>
      <c r="BO23" s="2">
        <f>BN23+預測IC!BO23</f>
        <v>-0.35924265578691439</v>
      </c>
      <c r="BP23" s="2">
        <f>BO23+預測IC!BP23</f>
        <v>-0.21595311623306598</v>
      </c>
      <c r="BQ23" s="2">
        <f>BP23+預測IC!BQ23</f>
        <v>-0.11169365554934269</v>
      </c>
      <c r="BR23" s="2">
        <f>BQ23+預測IC!BR23</f>
        <v>-8.729969322554218E-2</v>
      </c>
      <c r="BS23" s="2">
        <f>BR23+預測IC!BS23</f>
        <v>-0.13650741661202639</v>
      </c>
      <c r="BT23" s="2">
        <f>BS23+預測IC!BT23</f>
        <v>-2.1454728427317799E-2</v>
      </c>
      <c r="BU23" s="2">
        <f>BT23+預測IC!BU23</f>
        <v>-0.25308759860405639</v>
      </c>
      <c r="BV23" s="2">
        <f>BU23+預測IC!BV23</f>
        <v>-0.23606864772812852</v>
      </c>
      <c r="BW23" s="2">
        <f>BV23+預測IC!BW23</f>
        <v>0.51565587382805056</v>
      </c>
      <c r="BX23" s="2">
        <f>BW23+預測IC!BX23</f>
        <v>0.43585328323622685</v>
      </c>
      <c r="BY23" s="2">
        <f>BX23+預測IC!BY23</f>
        <v>0.34214201388668286</v>
      </c>
      <c r="BZ23" s="2">
        <f>BY23+預測IC!BZ23</f>
        <v>-1.0255853178339824E-2</v>
      </c>
      <c r="CA23" s="2">
        <f>BZ23+預測IC!CA23</f>
        <v>0.486037979311083</v>
      </c>
      <c r="CB23" s="2">
        <f>CA23+預測IC!CB23</f>
        <v>0.42992364977201014</v>
      </c>
      <c r="CC23" s="2">
        <f>CB23+預測IC!CC23</f>
        <v>0.17777985786928363</v>
      </c>
      <c r="CD23" s="2">
        <f>CC23+預測IC!CD23</f>
        <v>0.2952481743502352</v>
      </c>
      <c r="CE23" s="2">
        <f>CD23+預測IC!CE23</f>
        <v>-0.26482140462548143</v>
      </c>
      <c r="CF23" s="2">
        <f>CE23+預測IC!CF23</f>
        <v>-9.7207023315155128E-2</v>
      </c>
      <c r="CG23" s="2">
        <f>CF23+預測IC!CG23</f>
        <v>0.40546023013172344</v>
      </c>
      <c r="CH23" s="2">
        <f>CG23+預測IC!CH23</f>
        <v>0.33241413220134886</v>
      </c>
      <c r="CI23" s="2">
        <f>CH23+預測IC!CI23</f>
        <v>0.26741646831245691</v>
      </c>
      <c r="CJ23" s="2">
        <f>CI23+預測IC!CJ23</f>
        <v>1.8807354658171904E-2</v>
      </c>
      <c r="CK23" s="2">
        <f>CJ23+預測IC!CK23</f>
        <v>1.7240709259683497E-2</v>
      </c>
      <c r="CL23" s="2">
        <f>CK23+預測IC!CL23</f>
        <v>0.35777214259485662</v>
      </c>
      <c r="CM23" s="2">
        <f>CL23+預測IC!CM23</f>
        <v>0.30619981300385607</v>
      </c>
      <c r="CN23" s="2">
        <f>CM23+預測IC!CN23</f>
        <v>0.30880224201560535</v>
      </c>
      <c r="CO23" s="2">
        <f>CN23+預測IC!CO23</f>
        <v>-0.12811077692193085</v>
      </c>
      <c r="CP23" s="2">
        <f>CO23+預測IC!CP23</f>
        <v>-0.15887916058156226</v>
      </c>
      <c r="CQ23" s="2">
        <f>CP23+預測IC!CQ23</f>
        <v>-9.2079723905366728E-2</v>
      </c>
      <c r="CR23" s="2">
        <f>CQ23+預測IC!CR23</f>
        <v>-9.370862165016601E-2</v>
      </c>
      <c r="CS23" s="2">
        <f>CR23+預測IC!CS23</f>
        <v>-9.899268786845003E-2</v>
      </c>
      <c r="CT23" s="2">
        <f>CS23+預測IC!CT23</f>
        <v>4.892271009773172E-3</v>
      </c>
      <c r="CU23" s="2">
        <f>CT23+預測IC!CU23</f>
        <v>2.1417526691945691E-2</v>
      </c>
      <c r="CV23" s="2">
        <f>CU23+預測IC!CV23</f>
        <v>6.5793897344901084E-2</v>
      </c>
      <c r="CW23" s="2">
        <f>CV23+預測IC!CW23</f>
        <v>6.5065928832617567E-2</v>
      </c>
      <c r="CX23" s="2">
        <f>CW23+預測IC!CX23</f>
        <v>0.11838613445993709</v>
      </c>
      <c r="CY23" s="2">
        <f>CX23+預測IC!CY23</f>
        <v>5.891640945316784E-2</v>
      </c>
      <c r="CZ23" s="2">
        <f>CY23+預測IC!CZ23</f>
        <v>0.12420907790655944</v>
      </c>
      <c r="DA23" s="2">
        <f>CZ23+預測IC!DA23</f>
        <v>0.14922758890071544</v>
      </c>
      <c r="DB23" s="2">
        <f>DA23+預測IC!DB23</f>
        <v>0.13048052245749581</v>
      </c>
      <c r="DC23" s="2">
        <f>DB23+預測IC!DC23</f>
        <v>0.24463299535914079</v>
      </c>
      <c r="DD23" s="2">
        <f>DC23+預測IC!DD23</f>
        <v>0.22213440621548836</v>
      </c>
      <c r="DE23" s="2">
        <f>DD23+預測IC!DE23</f>
        <v>8.0689106355929352E-2</v>
      </c>
      <c r="DF23" s="2">
        <f>DE23+預測IC!DF23</f>
        <v>0.48948402691684967</v>
      </c>
      <c r="DG23" s="2">
        <f>DF23+預測IC!DG23</f>
        <v>0.45985852599695687</v>
      </c>
      <c r="DH23" s="2">
        <f>DG23+預測IC!DH23</f>
        <v>0.51527197330569929</v>
      </c>
      <c r="DI23" s="2">
        <f>DH23+預測IC!DI23</f>
        <v>0.60819628222264221</v>
      </c>
      <c r="DJ23" s="2">
        <f>DI23+預測IC!DJ23</f>
        <v>0.59727796549461132</v>
      </c>
      <c r="DK23" s="2">
        <f>DJ23+預測IC!DK23</f>
        <v>0.8751111820534544</v>
      </c>
      <c r="DL23" s="2">
        <f>DK23+預測IC!DL23</f>
        <v>0.93812155145091813</v>
      </c>
      <c r="DM23" s="2">
        <f>DL23+預測IC!DM23</f>
        <v>0.95157482719722519</v>
      </c>
      <c r="DN23" s="2">
        <f>DM23+預測IC!DN23</f>
        <v>1.1275006403676779</v>
      </c>
      <c r="DO23" s="2">
        <f>DN23+預測IC!DO23</f>
        <v>1.0017684550211123</v>
      </c>
      <c r="DP23" s="2">
        <f>DO23+預測IC!DP23</f>
        <v>1.0627197667456054</v>
      </c>
      <c r="DQ23" s="2">
        <f>DP23+預測IC!DQ23</f>
        <v>0.93427532654871992</v>
      </c>
      <c r="DR23" s="2">
        <f>DQ23+預測IC!DR23</f>
        <v>1.0367011217837212</v>
      </c>
      <c r="DS23" s="2">
        <f>DR23+預測IC!DS23</f>
        <v>1.2544369637351391</v>
      </c>
      <c r="DT23" s="2">
        <f>DS23+預測IC!DT23</f>
        <v>1.0973738416981984</v>
      </c>
      <c r="DU23" s="2">
        <f>DT23+預測IC!DU23</f>
        <v>1.1139337197395982</v>
      </c>
      <c r="DV23" s="2">
        <f>DU23+預測IC!DV23</f>
        <v>1.1220669733548725</v>
      </c>
      <c r="DW23" s="2">
        <f>DV23+預測IC!DW23</f>
        <v>1.1152103639404403</v>
      </c>
      <c r="DX23" s="2">
        <f>DW23+預測IC!DX23</f>
        <v>1.4346594595689028</v>
      </c>
      <c r="DY23" s="2">
        <f>DX23+預測IC!DY23</f>
        <v>1.6369435861058492</v>
      </c>
      <c r="DZ23" s="2">
        <f>DY23+預測IC!DZ23</f>
        <v>1.5763882110333078</v>
      </c>
      <c r="EA23" s="2">
        <f>DZ23+預測IC!EA23</f>
        <v>1.6857195863097429</v>
      </c>
      <c r="EB23" s="2">
        <f>EA23+預測IC!EB23</f>
        <v>1.7795029664616511</v>
      </c>
      <c r="EC23" s="2">
        <f>EB23+預測IC!EC23</f>
        <v>1.8731474996221711</v>
      </c>
      <c r="ED23" s="2">
        <f>EC23+預測IC!ED23</f>
        <v>1.7568751322665301</v>
      </c>
      <c r="EE23" s="2">
        <f>ED23+預測IC!EE23</f>
        <v>1.7292441996035679</v>
      </c>
      <c r="EF23" s="2">
        <f>EE23+預測IC!EF23</f>
        <v>1.7002013467766768</v>
      </c>
      <c r="EG23" s="2">
        <f>EF23+預測IC!EG23</f>
        <v>1.6698469892793419</v>
      </c>
      <c r="EH23" s="2">
        <f>EG23+預測IC!EH23</f>
        <v>1.5706376176225614</v>
      </c>
      <c r="EI23" s="2">
        <f>EH23+預測IC!EI23</f>
        <v>1.5847404668886127</v>
      </c>
      <c r="EJ23" s="2">
        <f>EI23+預測IC!EJ23</f>
        <v>1.6230833917230241</v>
      </c>
      <c r="EK23" s="2">
        <f>EJ23+預測IC!EK23</f>
        <v>1.4277707253896637</v>
      </c>
      <c r="EL23" s="2">
        <f>EK23+預測IC!EL23</f>
        <v>1.3064345843826972</v>
      </c>
    </row>
    <row r="24" spans="1:142" x14ac:dyDescent="0.3">
      <c r="A24" s="18">
        <v>1051</v>
      </c>
      <c r="B24" s="18">
        <f t="shared" si="10"/>
        <v>1</v>
      </c>
      <c r="C24" s="2">
        <v>2.776696731044102E-2</v>
      </c>
      <c r="D24" s="2">
        <f>C24+預測IC!D24</f>
        <v>0.14396179956413482</v>
      </c>
      <c r="E24" s="2">
        <f>D24+預測IC!E24</f>
        <v>7.2561469394837916E-2</v>
      </c>
      <c r="F24" s="2">
        <f>E24+預測IC!F24</f>
        <v>0.29972101603158674</v>
      </c>
      <c r="G24" s="2">
        <f>F24+預測IC!G24</f>
        <v>-0.2691363250918567</v>
      </c>
      <c r="H24" s="2">
        <f>G24+預測IC!H24</f>
        <v>-0.23328052843690003</v>
      </c>
      <c r="I24" s="2">
        <f>H24+預測IC!I24</f>
        <v>7.1057163340157714E-3</v>
      </c>
      <c r="J24" s="2">
        <f>I24+預測IC!J24</f>
        <v>-4.7196439742932056E-2</v>
      </c>
      <c r="K24" s="2">
        <f>J24+預測IC!K24</f>
        <v>-0.40685201181980202</v>
      </c>
      <c r="L24" s="2">
        <f>K24+預測IC!L24</f>
        <v>-0.74061145629544867</v>
      </c>
      <c r="M24" s="2">
        <f>L24+預測IC!M24</f>
        <v>-0.9583971293331901</v>
      </c>
      <c r="N24" s="2">
        <f>M24+預測IC!N24</f>
        <v>-0.89781900941171555</v>
      </c>
      <c r="O24" s="2">
        <f>N24+預測IC!O24</f>
        <v>-0.86117021867217181</v>
      </c>
      <c r="P24" s="2">
        <f>O24+預測IC!P24</f>
        <v>-0.86290650753651899</v>
      </c>
      <c r="Q24" s="2">
        <f>P24+預測IC!Q24</f>
        <v>-0.86005937193412174</v>
      </c>
      <c r="R24" s="2">
        <f>Q24+預測IC!R24</f>
        <v>-0.83223654804903358</v>
      </c>
      <c r="S24" s="2">
        <f>R24+預測IC!S24</f>
        <v>-1.184751009109198</v>
      </c>
      <c r="T24" s="2">
        <f>S24+預測IC!T24</f>
        <v>-1.1068126126113247</v>
      </c>
      <c r="U24" s="2">
        <f>T24+預測IC!U24</f>
        <v>-0.82095632262992391</v>
      </c>
      <c r="V24" s="2">
        <f>U24+預測IC!V24</f>
        <v>-0.70441600591307307</v>
      </c>
      <c r="W24" s="2">
        <f>V24+預測IC!W24</f>
        <v>-1.3473495345187325</v>
      </c>
      <c r="X24" s="2">
        <f>W24+預測IC!X24</f>
        <v>-1.3835074308799844</v>
      </c>
      <c r="Y24" s="2">
        <f>X24+預測IC!Y24</f>
        <v>-1.2631899378154539</v>
      </c>
      <c r="Z24" s="2">
        <f>Y24+預測IC!Z24</f>
        <v>-1.2875844865650301</v>
      </c>
      <c r="AA24" s="2">
        <f>Z24+預測IC!AA24</f>
        <v>-1.3819440693788245</v>
      </c>
      <c r="AB24" s="2">
        <f>AA24+預測IC!AB24</f>
        <v>-1.5661954920476029</v>
      </c>
      <c r="AC24" s="2">
        <f>AB24+預測IC!AC24</f>
        <v>-1.8123644508323027</v>
      </c>
      <c r="AD24" s="2">
        <f>AC24+預測IC!AD24</f>
        <v>-2.2804346413481515</v>
      </c>
      <c r="AE24" s="2">
        <f>AD24+預測IC!AE24</f>
        <v>-2.2288145710893597</v>
      </c>
      <c r="AF24" s="2">
        <f>AE24+預測IC!AF24</f>
        <v>-2.0631107914428175</v>
      </c>
      <c r="AG24" s="2">
        <f>AF24+預測IC!AG24</f>
        <v>-2.5523272514474353</v>
      </c>
      <c r="AH24" s="2">
        <f>AG24+預測IC!AH24</f>
        <v>-2.4837134519860378</v>
      </c>
      <c r="AI24" s="2">
        <f>AH24+預測IC!AI24</f>
        <v>-2.4925217830844653</v>
      </c>
      <c r="AJ24" s="2">
        <f>AI24+預測IC!AJ24</f>
        <v>-2.4070865812936013</v>
      </c>
      <c r="AK24" s="2">
        <f>AJ24+預測IC!AK24</f>
        <v>-2.3222026282254089</v>
      </c>
      <c r="AL24" s="2">
        <f>AK24+預測IC!AL24</f>
        <v>-2.235028926748774</v>
      </c>
      <c r="AM24" s="2">
        <f>AL24+預測IC!AM24</f>
        <v>-2.2539482081693007</v>
      </c>
      <c r="AN24" s="2">
        <f>AM24+預測IC!AN24</f>
        <v>-2.4751376733147321</v>
      </c>
      <c r="AO24" s="2">
        <f>AN24+預測IC!AO24</f>
        <v>-2.5578293891598456</v>
      </c>
      <c r="AP24" s="2">
        <f>AO24+預測IC!AP24</f>
        <v>-2.5806811046489422</v>
      </c>
      <c r="AQ24" s="2">
        <f>AP24+預測IC!AQ24</f>
        <v>-2.5336041318146965</v>
      </c>
      <c r="AR24" s="2">
        <f>AQ24+預測IC!AR24</f>
        <v>-2.5239648752070893</v>
      </c>
      <c r="AS24" s="2">
        <f>AR24+預測IC!AS24</f>
        <v>-2.4644507476746815</v>
      </c>
      <c r="AT24" s="2">
        <f>AS24+預測IC!AT24</f>
        <v>-2.4703793572637376</v>
      </c>
      <c r="AU24" s="2">
        <f>AT24+預測IC!AU24</f>
        <v>-2.5144746771289621</v>
      </c>
      <c r="AV24" s="2">
        <f>AU24+預測IC!AV24</f>
        <v>-2.7621593373592894</v>
      </c>
      <c r="AW24" s="2">
        <f>AV24+預測IC!AW24</f>
        <v>-2.6418564139524414</v>
      </c>
      <c r="AX24" s="2">
        <f>AW24+預測IC!AX24</f>
        <v>-2.530365077036226</v>
      </c>
      <c r="AY24" s="2">
        <f>AX24+預測IC!AY24</f>
        <v>-2.6483804559096664</v>
      </c>
      <c r="AZ24" s="2">
        <f>AY24+預測IC!AZ24</f>
        <v>-2.5297567308384901</v>
      </c>
      <c r="BA24" s="2">
        <f>AZ24+預測IC!BA24</f>
        <v>-2.4759619987538568</v>
      </c>
      <c r="BB24" s="2">
        <f>BA24+預測IC!BB24</f>
        <v>-2.5621210321491916</v>
      </c>
      <c r="BC24" s="2">
        <f>BB24+預測IC!BC24</f>
        <v>-3.3653370451935691</v>
      </c>
      <c r="BD24" s="2">
        <f>BC24+預測IC!BD24</f>
        <v>-3.3467060111067055</v>
      </c>
      <c r="BE24" s="2">
        <f>BD24+預測IC!BE24</f>
        <v>-3.536195006664971</v>
      </c>
      <c r="BF24" s="2">
        <f>BE24+預測IC!BF24</f>
        <v>-3.6162069569375053</v>
      </c>
      <c r="BG24" s="2">
        <f>BF24+預測IC!BG24</f>
        <v>-3.5893709910711942</v>
      </c>
      <c r="BH24" s="2">
        <f>BG24+預測IC!BH24</f>
        <v>-3.5989404420873448</v>
      </c>
      <c r="BI24" s="2">
        <f>BH24+預測IC!BI24</f>
        <v>-3.7391543708459896</v>
      </c>
      <c r="BJ24" s="2">
        <f>BI24+預測IC!BJ24</f>
        <v>-3.7425026866008739</v>
      </c>
      <c r="BK24" s="2">
        <f>BJ24+預測IC!BK24</f>
        <v>-3.7076750394281</v>
      </c>
      <c r="BL24" s="2">
        <f>BK24+預測IC!BL24</f>
        <v>-3.3905107455033834</v>
      </c>
      <c r="BM24" s="2">
        <f>BL24+預測IC!BM24</f>
        <v>-3.3790377263856461</v>
      </c>
      <c r="BN24" s="2">
        <f>BM24+預測IC!BN24</f>
        <v>-3.3721883845400713</v>
      </c>
      <c r="BO24" s="2">
        <f>BN24+預測IC!BO24</f>
        <v>-3.5332980756357131</v>
      </c>
      <c r="BP24" s="2">
        <f>BO24+預測IC!BP24</f>
        <v>-3.4099468945063913</v>
      </c>
      <c r="BQ24" s="2">
        <f>BP24+預測IC!BQ24</f>
        <v>-3.4741165278365065</v>
      </c>
      <c r="BR24" s="2">
        <f>BQ24+預測IC!BR24</f>
        <v>-3.4317603045330887</v>
      </c>
      <c r="BS24" s="2">
        <f>BR24+預測IC!BS24</f>
        <v>-3.4330450220175455</v>
      </c>
      <c r="BT24" s="2">
        <f>BS24+預測IC!BT24</f>
        <v>-3.3167743259633582</v>
      </c>
      <c r="BU24" s="2">
        <f>BT24+預測IC!BU24</f>
        <v>-3.3255228182782037</v>
      </c>
      <c r="BV24" s="2">
        <f>BU24+預測IC!BV24</f>
        <v>-3.1222186664477531</v>
      </c>
      <c r="BW24" s="2">
        <f>BV24+預測IC!BW24</f>
        <v>-2.0132065964103911</v>
      </c>
      <c r="BX24" s="2">
        <f>BW24+預測IC!BX24</f>
        <v>-2.0806413177943814</v>
      </c>
      <c r="BY24" s="2">
        <f>BX24+預測IC!BY24</f>
        <v>-1.9621152217566933</v>
      </c>
      <c r="BZ24" s="2">
        <f>BY24+預測IC!BZ24</f>
        <v>-2.7760732484992152</v>
      </c>
      <c r="CA24" s="2">
        <f>BZ24+預測IC!CA24</f>
        <v>-2.6907211097119821</v>
      </c>
      <c r="CB24" s="2">
        <f>CA24+預測IC!CB24</f>
        <v>-2.7436384167641519</v>
      </c>
      <c r="CC24" s="2">
        <f>CB24+預測IC!CC24</f>
        <v>-2.7530516352637755</v>
      </c>
      <c r="CD24" s="2">
        <f>CC24+預測IC!CD24</f>
        <v>-2.7346082845130066</v>
      </c>
      <c r="CE24" s="2">
        <f>CD24+預測IC!CE24</f>
        <v>-2.8082841864849817</v>
      </c>
      <c r="CF24" s="2">
        <f>CE24+預測IC!CF24</f>
        <v>-2.691468791852389</v>
      </c>
      <c r="CG24" s="2">
        <f>CF24+預測IC!CG24</f>
        <v>-2.4541909569924636</v>
      </c>
      <c r="CH24" s="2">
        <f>CG24+預測IC!CH24</f>
        <v>-2.5554658847717739</v>
      </c>
      <c r="CI24" s="2">
        <f>CH24+預測IC!CI24</f>
        <v>-2.602538509476779</v>
      </c>
      <c r="CJ24" s="2">
        <f>CI24+預測IC!CJ24</f>
        <v>-3.0112968901038548</v>
      </c>
      <c r="CK24" s="2">
        <f>CJ24+預測IC!CK24</f>
        <v>-3.0227028465529231</v>
      </c>
      <c r="CL24" s="2">
        <f>CK24+預測IC!CL24</f>
        <v>-2.3665015358531831</v>
      </c>
      <c r="CM24" s="2">
        <f>CL24+預測IC!CM24</f>
        <v>-2.6014610757178112</v>
      </c>
      <c r="CN24" s="2">
        <f>CM24+預測IC!CN24</f>
        <v>-2.6920097326929944</v>
      </c>
      <c r="CO24" s="2">
        <f>CN24+預測IC!CO24</f>
        <v>-3.4077387414183549</v>
      </c>
      <c r="CP24" s="2">
        <f>CO24+預測IC!CP24</f>
        <v>-3.4457536406091656</v>
      </c>
      <c r="CQ24" s="2">
        <f>CP24+預測IC!CQ24</f>
        <v>-3.179100104393866</v>
      </c>
      <c r="CR24" s="2">
        <f>CQ24+預測IC!CR24</f>
        <v>-3.2012263841878474</v>
      </c>
      <c r="CS24" s="2">
        <f>CR24+預測IC!CS24</f>
        <v>-3.3605747434681033</v>
      </c>
      <c r="CT24" s="2">
        <f>CS24+預測IC!CT24</f>
        <v>-2.9776285488432617</v>
      </c>
      <c r="CU24" s="2">
        <f>CT24+預測IC!CU24</f>
        <v>-3.1240841924487195</v>
      </c>
      <c r="CV24" s="2">
        <f>CU24+預測IC!CV24</f>
        <v>-3.0209778712082689</v>
      </c>
      <c r="CW24" s="2">
        <f>CV24+預測IC!CW24</f>
        <v>-2.9811529999153383</v>
      </c>
      <c r="CX24" s="2">
        <f>CW24+預測IC!CX24</f>
        <v>-3.0568341454546539</v>
      </c>
      <c r="CY24" s="2">
        <f>CX24+預測IC!CY24</f>
        <v>-3.0183180143924226</v>
      </c>
      <c r="CZ24" s="2">
        <f>CY24+預測IC!CZ24</f>
        <v>-2.8824200003000757</v>
      </c>
      <c r="DA24" s="2">
        <f>CZ24+預測IC!DA24</f>
        <v>-2.8484404152076226</v>
      </c>
      <c r="DB24" s="2">
        <f>DA24+預測IC!DB24</f>
        <v>-2.8319385493586262</v>
      </c>
      <c r="DC24" s="2">
        <f>DB24+預測IC!DC24</f>
        <v>-2.6374849510674085</v>
      </c>
      <c r="DD24" s="2">
        <f>DC24+預測IC!DD24</f>
        <v>-2.6398518160776745</v>
      </c>
      <c r="DE24" s="2">
        <f>DD24+預測IC!DE24</f>
        <v>-2.8640700585216496</v>
      </c>
      <c r="DF24" s="2">
        <f>DE24+預測IC!DF24</f>
        <v>-2.3384850523771519</v>
      </c>
      <c r="DG24" s="2">
        <f>DF24+預測IC!DG24</f>
        <v>-2.4580303387772844</v>
      </c>
      <c r="DH24" s="2">
        <f>DG24+預測IC!DH24</f>
        <v>-2.3586633582773451</v>
      </c>
      <c r="DI24" s="2">
        <f>DH24+預測IC!DI24</f>
        <v>-2.2166486164719617</v>
      </c>
      <c r="DJ24" s="2">
        <f>DI24+預測IC!DJ24</f>
        <v>-2.3491372269812012</v>
      </c>
      <c r="DK24" s="2">
        <f>DJ24+預測IC!DK24</f>
        <v>-2.0096280163507574</v>
      </c>
      <c r="DL24" s="2">
        <f>DK24+預測IC!DL24</f>
        <v>-1.7965235900648762</v>
      </c>
      <c r="DM24" s="2">
        <f>DL24+預測IC!DM24</f>
        <v>-1.8779331336984471</v>
      </c>
      <c r="DN24" s="2">
        <f>DM24+預測IC!DN24</f>
        <v>-1.7409726790613684</v>
      </c>
      <c r="DO24" s="2">
        <f>DN24+預測IC!DO24</f>
        <v>-1.8982604994498466</v>
      </c>
      <c r="DP24" s="2">
        <f>DO24+預測IC!DP24</f>
        <v>-1.9169935073352959</v>
      </c>
      <c r="DQ24" s="2">
        <f>DP24+預測IC!DQ24</f>
        <v>-2.0468159396700378</v>
      </c>
      <c r="DR24" s="2">
        <f>DQ24+預測IC!DR24</f>
        <v>-2.0234242083965088</v>
      </c>
      <c r="DS24" s="2">
        <f>DR24+預測IC!DS24</f>
        <v>-1.5035955285388996</v>
      </c>
      <c r="DT24" s="2">
        <f>DS24+預測IC!DT24</f>
        <v>-1.6081741923905131</v>
      </c>
      <c r="DU24" s="2">
        <f>DT24+預測IC!DU24</f>
        <v>-1.6912673940914658</v>
      </c>
      <c r="DV24" s="2">
        <f>DU24+預測IC!DV24</f>
        <v>-1.59322055928884</v>
      </c>
      <c r="DW24" s="2">
        <f>DV24+預測IC!DW24</f>
        <v>-1.835497255583455</v>
      </c>
      <c r="DX24" s="2">
        <f>DW24+預測IC!DX24</f>
        <v>-1.5495677717005565</v>
      </c>
      <c r="DY24" s="2">
        <f>DX24+預測IC!DY24</f>
        <v>-1.5528076483090996</v>
      </c>
      <c r="DZ24" s="2">
        <f>DY24+預測IC!DZ24</f>
        <v>-1.6032768307122163</v>
      </c>
      <c r="EA24" s="2">
        <f>DZ24+預測IC!EA24</f>
        <v>-1.5259259084848804</v>
      </c>
      <c r="EB24" s="2">
        <f>EA24+預測IC!EB24</f>
        <v>-1.4963437321195865</v>
      </c>
      <c r="EC24" s="2">
        <f>EB24+預測IC!EC24</f>
        <v>-1.3527002585598773</v>
      </c>
      <c r="ED24" s="2">
        <f>EC24+預測IC!ED24</f>
        <v>-1.4674493600624796</v>
      </c>
      <c r="EE24" s="2">
        <f>ED24+預測IC!EE24</f>
        <v>-1.5749300172968976</v>
      </c>
      <c r="EF24" s="2">
        <f>EE24+預測IC!EF24</f>
        <v>-1.5076533402529293</v>
      </c>
      <c r="EG24" s="2">
        <f>EF24+預測IC!EG24</f>
        <v>-1.4372020158680283</v>
      </c>
      <c r="EH24" s="2">
        <f>EG24+預測IC!EH24</f>
        <v>-1.6425875945605422</v>
      </c>
      <c r="EI24" s="2">
        <f>EH24+預測IC!EI24</f>
        <v>-1.5308433135391093</v>
      </c>
      <c r="EJ24" s="2">
        <f>EI24+預測IC!EJ24</f>
        <v>-1.5375692956147866</v>
      </c>
      <c r="EK24" s="2">
        <f>EJ24+預測IC!EK24</f>
        <v>-1.5768028464683592</v>
      </c>
      <c r="EL24" s="2">
        <f>EK24+預測IC!EL24</f>
        <v>-1.5698972350278004</v>
      </c>
    </row>
    <row r="25" spans="1:142" x14ac:dyDescent="0.3">
      <c r="A25" s="18" t="s">
        <v>154</v>
      </c>
      <c r="B25" s="18" t="s">
        <v>155</v>
      </c>
      <c r="C25" s="8">
        <v>-1.7446770539390338E-2</v>
      </c>
      <c r="D25" s="2">
        <f>C25+預測IC!D25</f>
        <v>3.2542899924252917E-3</v>
      </c>
      <c r="E25" s="2">
        <f>D25+預測IC!E25</f>
        <v>2.7236419247192001E-2</v>
      </c>
      <c r="F25" s="2">
        <f>E25+預測IC!F25</f>
        <v>2.0678840274368924E-2</v>
      </c>
      <c r="G25" s="2">
        <f>F25+預測IC!G25</f>
        <v>5.2523970074888612E-2</v>
      </c>
      <c r="H25" s="2">
        <f>G25+預測IC!H25</f>
        <v>8.6872502811879138E-2</v>
      </c>
      <c r="I25" s="2">
        <f>H25+預測IC!I25</f>
        <v>7.8617570030553904E-2</v>
      </c>
      <c r="J25" s="2">
        <f>I25+預測IC!J25</f>
        <v>9.1461094424606662E-2</v>
      </c>
      <c r="K25" s="2">
        <f>J25+預測IC!K25</f>
        <v>4.0442569797815839E-2</v>
      </c>
      <c r="L25" s="2">
        <f>K25+預測IC!L25</f>
        <v>4.1316512538852428E-2</v>
      </c>
      <c r="M25" s="2">
        <f>L25+預測IC!M25</f>
        <v>6.4706088044348353E-2</v>
      </c>
      <c r="N25" s="2">
        <f>M25+預測IC!N25</f>
        <v>7.7695060244681202E-2</v>
      </c>
      <c r="O25" s="2">
        <f>N25+預測IC!O25</f>
        <v>8.3549648970316082E-2</v>
      </c>
      <c r="P25" s="2">
        <f>O25+預測IC!P25</f>
        <v>0.11096285554210664</v>
      </c>
      <c r="Q25" s="2">
        <f>P25+預測IC!Q25</f>
        <v>0.10724991942441378</v>
      </c>
      <c r="R25" s="2">
        <f>Q25+預測IC!R25</f>
        <v>0.13132653347223711</v>
      </c>
      <c r="S25" s="2">
        <f>R25+預測IC!S25</f>
        <v>0.11913650817319715</v>
      </c>
      <c r="T25" s="2">
        <f>S25+預測IC!T25</f>
        <v>7.9386930013607554E-2</v>
      </c>
      <c r="U25" s="2">
        <f>T25+預測IC!U25</f>
        <v>6.2314801819580018E-3</v>
      </c>
      <c r="V25" s="2">
        <f>U25+預測IC!V25</f>
        <v>-5.2028749728156659E-2</v>
      </c>
      <c r="W25" s="2">
        <f>V25+預測IC!W25</f>
        <v>-5.1255952162648284E-2</v>
      </c>
      <c r="X25" s="2">
        <f>W25+預測IC!X25</f>
        <v>-6.6644310274293142E-3</v>
      </c>
      <c r="Y25" s="2">
        <f>X25+預測IC!Y25</f>
        <v>-3.4364111077642409E-2</v>
      </c>
      <c r="Z25" s="2">
        <f>Y25+預測IC!Z25</f>
        <v>-3.226910512789876E-2</v>
      </c>
      <c r="AA25" s="2">
        <f>Z25+預測IC!AA25</f>
        <v>-5.5669656120462874E-2</v>
      </c>
      <c r="AB25" s="2">
        <f>AA25+預測IC!AB25</f>
        <v>-2.3540285023140685E-2</v>
      </c>
      <c r="AC25" s="2">
        <f>AB25+預測IC!AC25</f>
        <v>1.5362988070925745E-2</v>
      </c>
      <c r="AD25" s="2">
        <f>AC25+預測IC!AD25</f>
        <v>-2.7502394100178525E-2</v>
      </c>
      <c r="AE25" s="2">
        <f>AD25+預測IC!AE25</f>
        <v>-8.8551995500263658E-3</v>
      </c>
      <c r="AF25" s="2">
        <f>AE25+預測IC!AF25</f>
        <v>6.3745687725025833E-3</v>
      </c>
      <c r="AG25" s="2">
        <f>AF25+預測IC!AG25</f>
        <v>4.2391172551395004E-2</v>
      </c>
      <c r="AH25" s="2">
        <f>AG25+預測IC!AH25</f>
        <v>5.174578393671117E-2</v>
      </c>
      <c r="AI25" s="2">
        <f>AH25+預測IC!AI25</f>
        <v>6.2494035273549312E-2</v>
      </c>
      <c r="AJ25" s="2">
        <f>AI25+預測IC!AJ25</f>
        <v>7.5851789326630281E-2</v>
      </c>
      <c r="AK25" s="2">
        <f>AJ25+預測IC!AK25</f>
        <v>7.0519041997534893E-2</v>
      </c>
      <c r="AL25" s="2">
        <f>AK25+預測IC!AL25</f>
        <v>7.1902177804796574E-2</v>
      </c>
      <c r="AM25" s="2">
        <f>AL25+預測IC!AM25</f>
        <v>9.2698106224871041E-2</v>
      </c>
      <c r="AN25" s="2">
        <f>AM25+預測IC!AN25</f>
        <v>0.12421580844526167</v>
      </c>
      <c r="AO25" s="2">
        <f>AN25+預測IC!AO25</f>
        <v>0.13045752497859112</v>
      </c>
      <c r="AP25" s="2">
        <f>AO25+預測IC!AP25</f>
        <v>0.13660278663216249</v>
      </c>
      <c r="AQ25" s="2">
        <f>AP25+預測IC!AQ25</f>
        <v>0.15354914430885899</v>
      </c>
      <c r="AR25" s="2">
        <f>AQ25+預測IC!AR25</f>
        <v>0.18823197476316722</v>
      </c>
      <c r="AS25" s="2">
        <f>AR25+預測IC!AS25</f>
        <v>0.19133056338036419</v>
      </c>
      <c r="AT25" s="2">
        <f>AS25+預測IC!AT25</f>
        <v>0.2064119105238503</v>
      </c>
      <c r="AU25" s="2">
        <f>AT25+預測IC!AU25</f>
        <v>0.18716070129398632</v>
      </c>
      <c r="AV25" s="2">
        <f>AU25+預測IC!AV25</f>
        <v>0.22587221468161775</v>
      </c>
      <c r="AW25" s="2">
        <f>AV25+預測IC!AW25</f>
        <v>0.20401526354588115</v>
      </c>
      <c r="AX25" s="2">
        <f>AW25+預測IC!AX25</f>
        <v>0.21178956425567083</v>
      </c>
      <c r="AY25" s="2">
        <f>AX25+預測IC!AY25</f>
        <v>0.25418681095099677</v>
      </c>
      <c r="AZ25" s="2">
        <f>AY25+預測IC!AZ25</f>
        <v>0.22787783608983703</v>
      </c>
      <c r="BA25" s="2">
        <f>AZ25+預測IC!BA25</f>
        <v>0.23744958539855326</v>
      </c>
      <c r="BB25" s="2">
        <f>BA25+預測IC!BB25</f>
        <v>0.21319984413227844</v>
      </c>
      <c r="BC25" s="2">
        <f>BB25+預測IC!BC25</f>
        <v>0.23336321827619427</v>
      </c>
      <c r="BD25" s="2">
        <f>BC25+預測IC!BD25</f>
        <v>0.22985821949407825</v>
      </c>
      <c r="BE25" s="2">
        <f>BD25+預測IC!BE25</f>
        <v>0.25001015459262055</v>
      </c>
      <c r="BF25" s="2">
        <f>BE25+預測IC!BF25</f>
        <v>0.25059149082339083</v>
      </c>
      <c r="BG25" s="2">
        <f>BF25+預測IC!BG25</f>
        <v>0.24537178987013822</v>
      </c>
      <c r="BH25" s="2">
        <f>BG25+預測IC!BH25</f>
        <v>0.12950002846800823</v>
      </c>
      <c r="BI25" s="2">
        <f>BH25+預測IC!BI25</f>
        <v>0.13822525416044559</v>
      </c>
      <c r="BJ25" s="2">
        <f>BI25+預測IC!BJ25</f>
        <v>0.12184799318262345</v>
      </c>
      <c r="BK25" s="2">
        <f>BJ25+預測IC!BK25</f>
        <v>0.14268836478288388</v>
      </c>
      <c r="BL25" s="2">
        <f>BK25+預測IC!BL25</f>
        <v>0.18766423688499859</v>
      </c>
      <c r="BM25" s="2">
        <f>BL25+預測IC!BM25</f>
        <v>0.21161854296686244</v>
      </c>
      <c r="BN25" s="2">
        <f>BM25+預測IC!BN25</f>
        <v>0.24185764435830504</v>
      </c>
      <c r="BO25" s="2">
        <f>BN25+預測IC!BO25</f>
        <v>0.19813175676721753</v>
      </c>
      <c r="BP25" s="2">
        <f>BO25+預測IC!BP25</f>
        <v>0.22002122633541615</v>
      </c>
      <c r="BQ25" s="2">
        <f>BP25+預測IC!BQ25</f>
        <v>0.22864865659892455</v>
      </c>
      <c r="BR25" s="2">
        <f>BQ25+預測IC!BR25</f>
        <v>0.20945570260426577</v>
      </c>
      <c r="BS25" s="2">
        <f>BR25+預測IC!BS25</f>
        <v>0.22919083249239883</v>
      </c>
      <c r="BT25" s="2">
        <f>BS25+預測IC!BT25</f>
        <v>0.27688516997609824</v>
      </c>
      <c r="BU25" s="2">
        <f>BT25+預測IC!BU25</f>
        <v>0.28833998678268163</v>
      </c>
      <c r="BV25" s="2">
        <f>BU25+預測IC!BV25</f>
        <v>0.33156860751789485</v>
      </c>
      <c r="BW25" s="2">
        <f>BV25+預測IC!BW25</f>
        <v>0.28882117708097205</v>
      </c>
      <c r="BX25" s="2">
        <f>BW25+預測IC!BX25</f>
        <v>0.27100988465317749</v>
      </c>
      <c r="BY25" s="2">
        <f>BX25+預測IC!BY25</f>
        <v>0.11985678778410189</v>
      </c>
      <c r="BZ25" s="2">
        <f>BY25+預測IC!BZ25</f>
        <v>0.24408079140367717</v>
      </c>
      <c r="CA25" s="2">
        <f>BZ25+預測IC!CA25</f>
        <v>0.23952353755914751</v>
      </c>
      <c r="CB25" s="2">
        <f>CA25+預測IC!CB25</f>
        <v>0.29973477776405871</v>
      </c>
      <c r="CC25" s="2">
        <f>CB25+預測IC!CC25</f>
        <v>0.385726811246561</v>
      </c>
      <c r="CD25" s="2">
        <f>CC25+預測IC!CD25</f>
        <v>0.37991833166419492</v>
      </c>
      <c r="CE25" s="2">
        <f>CD25+預測IC!CE25</f>
        <v>0.37387698467522684</v>
      </c>
      <c r="CF25" s="2">
        <f>CE25+預測IC!CF25</f>
        <v>0.37632930904747891</v>
      </c>
      <c r="CG25" s="2">
        <f>CF25+預測IC!CG25</f>
        <v>0.46596556098450181</v>
      </c>
      <c r="CH25" s="2">
        <f>CG25+預測IC!CH25</f>
        <v>0.53695829351125968</v>
      </c>
      <c r="CI25" s="2">
        <f>CH25+預測IC!CI25</f>
        <v>0.56412893641304307</v>
      </c>
      <c r="CJ25" s="2">
        <f>CI25+預測IC!CJ25</f>
        <v>0.61659736483837313</v>
      </c>
      <c r="CK25" s="2">
        <f>CJ25+預測IC!CK25</f>
        <v>0.64607802578142259</v>
      </c>
      <c r="CL25" s="2">
        <f>CK25+預測IC!CL25</f>
        <v>0.71290310684162383</v>
      </c>
      <c r="CM25" s="2">
        <f>CL25+預測IC!CM25</f>
        <v>0.68413087782180682</v>
      </c>
      <c r="CN25" s="2">
        <f>CM25+預測IC!CN25</f>
        <v>0.72359339372344467</v>
      </c>
      <c r="CO25" s="2">
        <f>CN25+預測IC!CO25</f>
        <v>0.69456230674608477</v>
      </c>
      <c r="CP25" s="2">
        <f>CO25+預測IC!CP25</f>
        <v>0.70854618926555268</v>
      </c>
      <c r="CQ25" s="2">
        <f>CP25+預測IC!CQ25</f>
        <v>0.67626922430621883</v>
      </c>
      <c r="CR25" s="2">
        <f>CQ25+預測IC!CR25</f>
        <v>0.6793728009191129</v>
      </c>
      <c r="CS25" s="2">
        <f>CR25+預測IC!CS25</f>
        <v>0.70496465668619601</v>
      </c>
      <c r="CT25" s="2">
        <f>CS25+預測IC!CT25</f>
        <v>0.74935654297338927</v>
      </c>
      <c r="CU25" s="2">
        <f>CT25+預測IC!CU25</f>
        <v>0.71901758442381181</v>
      </c>
      <c r="CV25" s="2">
        <f>CU25+預測IC!CV25</f>
        <v>0.7177596079692401</v>
      </c>
      <c r="CW25" s="2">
        <f>CV25+預測IC!CW25</f>
        <v>0.72009596442509805</v>
      </c>
      <c r="CX25" s="2">
        <f>CW25+預測IC!CX25</f>
        <v>0.655831819499192</v>
      </c>
      <c r="CY25" s="2">
        <f>CX25+預測IC!CY25</f>
        <v>0.66874159895818441</v>
      </c>
      <c r="CZ25" s="2">
        <f>CY25+預測IC!CZ25</f>
        <v>0.54326450428732564</v>
      </c>
      <c r="DA25" s="2">
        <f>CZ25+預測IC!DA25</f>
        <v>0.55495518722711823</v>
      </c>
      <c r="DB25" s="2">
        <f>DA25+預測IC!DB25</f>
        <v>0.56129303092785998</v>
      </c>
      <c r="DC25" s="2">
        <f>DB25+預測IC!DC25</f>
        <v>0.44398767445847448</v>
      </c>
      <c r="DD25" s="2">
        <f>DC25+預測IC!DD25</f>
        <v>0.40797680240902789</v>
      </c>
      <c r="DE25" s="2">
        <f>DD25+預測IC!DE25</f>
        <v>0.54688810648129582</v>
      </c>
      <c r="DF25" s="2">
        <f>DE25+預測IC!DF25</f>
        <v>0.49574460025519007</v>
      </c>
      <c r="DG25" s="2">
        <f>DF25+預測IC!DG25</f>
        <v>0.57247604743715907</v>
      </c>
      <c r="DH25" s="2">
        <f>DG25+預測IC!DH25</f>
        <v>0.58798482963416721</v>
      </c>
      <c r="DI25" s="2">
        <f>DH25+預測IC!DI25</f>
        <v>0.61120860330892302</v>
      </c>
      <c r="DJ25" s="2">
        <f>DI25+預測IC!DJ25</f>
        <v>0.59283572694769515</v>
      </c>
      <c r="DK25" s="2">
        <f>DJ25+預測IC!DK25</f>
        <v>0.65503474103279458</v>
      </c>
      <c r="DL25" s="2">
        <f>DK25+預測IC!DL25</f>
        <v>0.67513304551975173</v>
      </c>
      <c r="DM25" s="2">
        <f>DL25+預測IC!DM25</f>
        <v>0.68863198526781977</v>
      </c>
      <c r="DN25" s="2">
        <f>DM25+預測IC!DN25</f>
        <v>0.65837977253939894</v>
      </c>
      <c r="DO25" s="2">
        <f>DN25+預測IC!DO25</f>
        <v>0.64135693683134509</v>
      </c>
      <c r="DP25" s="2">
        <f>DO25+預測IC!DP25</f>
        <v>0.61956841355888315</v>
      </c>
      <c r="DQ25" s="2">
        <f>DP25+預測IC!DQ25</f>
        <v>0.70531403814402038</v>
      </c>
      <c r="DR25" s="2">
        <f>DQ25+預測IC!DR25</f>
        <v>0.73342078174899417</v>
      </c>
      <c r="DS25" s="2">
        <f>DR25+預測IC!DS25</f>
        <v>0.73111762194163477</v>
      </c>
      <c r="DT25" s="2">
        <f>DS25+預測IC!DT25</f>
        <v>0.78958882007312226</v>
      </c>
      <c r="DU25" s="2">
        <f>DT25+預測IC!DU25</f>
        <v>0.85724776912176992</v>
      </c>
      <c r="DV25" s="2">
        <f>DU25+預測IC!DV25</f>
        <v>0.86226853976220219</v>
      </c>
      <c r="DW25" s="2">
        <f>DV25+預測IC!DW25</f>
        <v>0.89968472343740924</v>
      </c>
      <c r="DX25" s="2">
        <f>DW25+預測IC!DX25</f>
        <v>0.98379572718345132</v>
      </c>
      <c r="DY25" s="2">
        <f>DX25+預測IC!DY25</f>
        <v>0.94696332863943844</v>
      </c>
      <c r="DZ25" s="2">
        <f>DY25+預測IC!DZ25</f>
        <v>0.95005503145637549</v>
      </c>
      <c r="EA25" s="2">
        <f>DZ25+預測IC!EA25</f>
        <v>0.94809740324208092</v>
      </c>
      <c r="EB25" s="2">
        <f>EA25+預測IC!EB25</f>
        <v>0.97455650684560069</v>
      </c>
      <c r="EC25" s="2">
        <f>EB25+預測IC!EC25</f>
        <v>0.94980396808491041</v>
      </c>
      <c r="ED25" s="2">
        <f>EC25+預測IC!ED25</f>
        <v>0.98391945906747036</v>
      </c>
      <c r="EE25" s="2">
        <f>ED25+預測IC!EE25</f>
        <v>1.0049814330565034</v>
      </c>
      <c r="EF25" s="2">
        <f>EE25+預測IC!EF25</f>
        <v>0.98470404035049752</v>
      </c>
      <c r="EG25" s="2">
        <f>EF25+預測IC!EG25</f>
        <v>0.87683593248961955</v>
      </c>
      <c r="EH25" s="2">
        <f>EG25+預測IC!EH25</f>
        <v>0.85431558037554889</v>
      </c>
      <c r="EI25" s="2">
        <f>EH25+預測IC!EI25</f>
        <v>0.90782558744632169</v>
      </c>
      <c r="EJ25" s="2">
        <f>EI25+預測IC!EJ25</f>
        <v>0.94951285328388979</v>
      </c>
      <c r="EK25" s="2">
        <f>EJ25+預測IC!EK25</f>
        <v>1.005708467398301</v>
      </c>
      <c r="EL25" s="2">
        <f>EK25+預測IC!EL25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L21"/>
  <sheetViews>
    <sheetView topLeftCell="A8" workbookViewId="0">
      <selection activeCell="E21" sqref="E21"/>
    </sheetView>
  </sheetViews>
  <sheetFormatPr defaultColWidth="16.19921875" defaultRowHeight="25" x14ac:dyDescent="0.55000000000000004"/>
  <cols>
    <col min="1" max="1" width="16.69921875" style="12" bestFit="1" customWidth="1"/>
    <col min="2" max="2" width="15.796875" style="12" customWidth="1"/>
    <col min="3" max="3" width="16.19921875" style="12" customWidth="1"/>
    <col min="4" max="39" width="16.5" style="12" bestFit="1" customWidth="1"/>
    <col min="40" max="40" width="22" style="12" bestFit="1" customWidth="1"/>
    <col min="41" max="142" width="16.5" style="12" bestFit="1" customWidth="1"/>
    <col min="143" max="145" width="16.19921875" style="12" customWidth="1"/>
    <col min="146" max="16384" width="16.19921875" style="12"/>
  </cols>
  <sheetData>
    <row r="1" spans="1:142" x14ac:dyDescent="0.55000000000000004">
      <c r="A1" s="11" t="s">
        <v>280</v>
      </c>
    </row>
    <row r="2" spans="1:142" x14ac:dyDescent="0.55000000000000004"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x14ac:dyDescent="0.55000000000000004">
      <c r="B3" s="11" t="s">
        <v>143</v>
      </c>
      <c r="C3" s="13">
        <v>3.4946434776605882E-2</v>
      </c>
      <c r="D3" s="13">
        <v>4.9621152558988732E-2</v>
      </c>
      <c r="E3" s="13">
        <v>3.5213354523381528E-2</v>
      </c>
      <c r="F3" s="13">
        <v>3.528654428743689E-2</v>
      </c>
      <c r="G3" s="13">
        <v>2.6716500308212938E-2</v>
      </c>
      <c r="H3" s="13">
        <v>2.0847254063407979E-2</v>
      </c>
      <c r="I3" s="13">
        <v>2.868829063081851E-2</v>
      </c>
      <c r="J3" s="13">
        <v>3.022480975870807E-2</v>
      </c>
      <c r="K3" s="13">
        <v>3.5784184494395042E-2</v>
      </c>
      <c r="L3" s="13">
        <v>2.8873175879389701E-2</v>
      </c>
      <c r="M3" s="13">
        <v>3.676593961113666E-2</v>
      </c>
      <c r="N3" s="13">
        <v>2.597668483152624E-2</v>
      </c>
      <c r="O3" s="13">
        <v>3.9591469971915073E-2</v>
      </c>
      <c r="P3" s="13">
        <v>4.2728306638823203E-2</v>
      </c>
      <c r="Q3" s="13">
        <v>3.2209373169499553E-2</v>
      </c>
      <c r="R3" s="13">
        <v>2.990118621840895E-2</v>
      </c>
      <c r="S3" s="13">
        <v>3.2084464027181132E-2</v>
      </c>
      <c r="T3" s="13">
        <v>3.0145955261974309E-2</v>
      </c>
      <c r="U3" s="13">
        <v>3.1800877141706048E-2</v>
      </c>
      <c r="V3" s="13">
        <v>2.8571187496222571E-2</v>
      </c>
      <c r="W3" s="13">
        <v>2.4833809428850561E-2</v>
      </c>
      <c r="X3" s="13">
        <v>4.422438631770411E-2</v>
      </c>
      <c r="Y3" s="13">
        <v>3.058229410448237E-2</v>
      </c>
      <c r="Z3" s="13">
        <v>3.3248159660972533E-2</v>
      </c>
      <c r="AA3" s="13">
        <v>2.947324788874087E-2</v>
      </c>
      <c r="AB3" s="13">
        <v>3.5559252182618593E-2</v>
      </c>
      <c r="AC3" s="13">
        <v>3.3742425377551163E-2</v>
      </c>
      <c r="AD3" s="13">
        <v>2.9434183518290032E-2</v>
      </c>
      <c r="AE3" s="13">
        <v>3.8312600203871998E-2</v>
      </c>
      <c r="AF3" s="13">
        <v>3.5319598277822807E-2</v>
      </c>
      <c r="AG3" s="13">
        <v>2.7095981515837211E-2</v>
      </c>
      <c r="AH3" s="13">
        <v>2.4588044029715119E-2</v>
      </c>
      <c r="AI3" s="13">
        <v>3.7997597137220201E-2</v>
      </c>
      <c r="AJ3" s="13">
        <v>3.3911508457047913E-2</v>
      </c>
      <c r="AK3" s="13">
        <v>4.3063908641014483E-2</v>
      </c>
      <c r="AL3" s="13">
        <v>3.5336105491399851E-2</v>
      </c>
      <c r="AM3" s="13">
        <v>4.095453549730925E-2</v>
      </c>
      <c r="AN3" s="13">
        <v>3.9629739230367438E-2</v>
      </c>
      <c r="AO3" s="13">
        <v>5.8136437096450902E-2</v>
      </c>
      <c r="AP3" s="13">
        <v>5.3476675537943032E-2</v>
      </c>
      <c r="AQ3" s="13">
        <v>5.6036139285653083E-2</v>
      </c>
      <c r="AR3" s="13">
        <v>4.6184000737761667E-2</v>
      </c>
      <c r="AS3" s="13">
        <v>3.5389481532984962E-2</v>
      </c>
      <c r="AT3" s="13">
        <v>3.3505358739742738E-2</v>
      </c>
      <c r="AU3" s="13">
        <v>2.858092995705622E-2</v>
      </c>
      <c r="AV3" s="13">
        <v>4.5607815952215837E-2</v>
      </c>
      <c r="AW3" s="13">
        <v>4.0858801947929083E-2</v>
      </c>
      <c r="AX3" s="13">
        <v>3.912196816540315E-2</v>
      </c>
      <c r="AY3" s="13">
        <v>2.8330448117809479E-2</v>
      </c>
      <c r="AZ3" s="13">
        <v>3.4740726744102057E-2</v>
      </c>
      <c r="BA3" s="13">
        <v>4.1380134912733423E-2</v>
      </c>
      <c r="BB3" s="13">
        <v>3.8446530073234023E-2</v>
      </c>
      <c r="BC3" s="13">
        <v>3.9139660680907393E-2</v>
      </c>
      <c r="BD3" s="13">
        <v>3.4412713960316949E-2</v>
      </c>
      <c r="BE3" s="13">
        <v>3.1627384875007797E-2</v>
      </c>
      <c r="BF3" s="13">
        <v>3.2881306555447937E-2</v>
      </c>
      <c r="BG3" s="13">
        <v>2.7856516368044079E-2</v>
      </c>
      <c r="BH3" s="13">
        <v>3.9039450639835438E-2</v>
      </c>
      <c r="BI3" s="13">
        <v>3.868573434139564E-2</v>
      </c>
      <c r="BJ3" s="13">
        <v>4.2598863286148932E-2</v>
      </c>
      <c r="BK3" s="13">
        <v>4.3638506422424159E-2</v>
      </c>
      <c r="BL3" s="13">
        <v>4.1807312058529042E-2</v>
      </c>
      <c r="BM3" s="13">
        <v>3.5722916378634957E-2</v>
      </c>
      <c r="BN3" s="13">
        <v>3.5190578568229797E-2</v>
      </c>
      <c r="BO3" s="13">
        <v>3.5416976035990012E-2</v>
      </c>
      <c r="BP3" s="13">
        <v>3.713200657521562E-2</v>
      </c>
      <c r="BQ3" s="13">
        <v>3.7614323710702537E-2</v>
      </c>
      <c r="BR3" s="13">
        <v>3.7508213116778308E-2</v>
      </c>
      <c r="BS3" s="13">
        <v>3.7699116157691358E-2</v>
      </c>
      <c r="BT3" s="13">
        <v>3.6770936163800741E-2</v>
      </c>
      <c r="BU3" s="13">
        <v>3.6910402351608369E-2</v>
      </c>
      <c r="BV3" s="13">
        <v>3.6401345985563889E-2</v>
      </c>
      <c r="BW3" s="13">
        <v>3.5968201888952243E-2</v>
      </c>
      <c r="BX3" s="13">
        <v>4.360917134424671E-2</v>
      </c>
      <c r="BY3" s="13">
        <v>3.7211686504550583E-2</v>
      </c>
      <c r="BZ3" s="13">
        <v>3.6826352112766268E-2</v>
      </c>
      <c r="CA3" s="13">
        <v>3.4591508592700923E-2</v>
      </c>
      <c r="CB3" s="13">
        <v>3.4339760626077138E-2</v>
      </c>
      <c r="CC3" s="13">
        <v>2.0533243096777822E-2</v>
      </c>
      <c r="CD3" s="13">
        <v>2.2943200679351659E-2</v>
      </c>
      <c r="CE3" s="13">
        <v>3.2308526928274857E-2</v>
      </c>
      <c r="CF3" s="13">
        <v>4.7329405862239361E-2</v>
      </c>
      <c r="CG3" s="13">
        <v>3.7836284478803363E-2</v>
      </c>
      <c r="CH3" s="13">
        <v>3.8694495063321753E-2</v>
      </c>
      <c r="CI3" s="13">
        <v>3.3617094541697881E-2</v>
      </c>
      <c r="CJ3" s="13">
        <v>4.2975321891997098E-2</v>
      </c>
      <c r="CK3" s="13">
        <v>4.0264755165575199E-2</v>
      </c>
      <c r="CL3" s="13">
        <v>4.4693934288686933E-2</v>
      </c>
      <c r="CM3" s="13">
        <v>4.4606561803651169E-2</v>
      </c>
      <c r="CN3" s="13">
        <v>6.8577606946104749E-2</v>
      </c>
      <c r="CO3" s="13">
        <v>4.9189277148068387E-2</v>
      </c>
      <c r="CP3" s="13">
        <v>6.5607649619662367E-2</v>
      </c>
      <c r="CQ3" s="13">
        <v>4.3819863603946338E-2</v>
      </c>
      <c r="CR3" s="13">
        <v>5.6851400922781473E-2</v>
      </c>
      <c r="CS3" s="13">
        <v>6.2364412289304838E-2</v>
      </c>
      <c r="CT3" s="13">
        <v>4.9348826700518093E-2</v>
      </c>
      <c r="CU3" s="13">
        <v>5.0002233445896063E-2</v>
      </c>
      <c r="CV3" s="13">
        <v>5.3783352114565232E-2</v>
      </c>
      <c r="CW3" s="13">
        <v>4.673096388557773E-2</v>
      </c>
      <c r="CX3" s="13">
        <v>4.52857567116665E-2</v>
      </c>
      <c r="CY3" s="13">
        <v>3.9604666977184122E-2</v>
      </c>
      <c r="CZ3" s="13">
        <v>4.4391419906749573E-2</v>
      </c>
      <c r="DA3" s="13">
        <v>3.9334184018522997E-2</v>
      </c>
      <c r="DB3" s="13">
        <v>3.9618679725897638E-2</v>
      </c>
      <c r="DC3" s="13">
        <v>4.3580066674140057E-2</v>
      </c>
      <c r="DD3" s="13">
        <v>4.1743760534084302E-2</v>
      </c>
      <c r="DE3" s="13">
        <v>3.7124504209684453E-2</v>
      </c>
      <c r="DF3" s="13">
        <v>3.7667258315214808E-2</v>
      </c>
      <c r="DG3" s="13">
        <v>4.0633271347886857E-2</v>
      </c>
      <c r="DH3" s="13">
        <v>3.8849205925320061E-2</v>
      </c>
      <c r="DI3" s="13">
        <v>3.7289411512649348E-2</v>
      </c>
      <c r="DJ3" s="13">
        <v>3.7848875034311981E-2</v>
      </c>
      <c r="DK3" s="13">
        <v>3.462124141038013E-2</v>
      </c>
      <c r="DL3" s="13">
        <v>3.5944383409832997E-2</v>
      </c>
      <c r="DM3" s="13">
        <v>3.4440509329873713E-2</v>
      </c>
      <c r="DN3" s="13">
        <v>5.080663627630181E-2</v>
      </c>
      <c r="DO3" s="13">
        <v>4.4401319518395037E-2</v>
      </c>
      <c r="DP3" s="13">
        <v>4.0598389653240877E-2</v>
      </c>
      <c r="DQ3" s="13">
        <v>4.0608081786117911E-2</v>
      </c>
      <c r="DR3" s="13">
        <v>4.1794941830527198E-2</v>
      </c>
      <c r="DS3" s="13">
        <v>4.9788977885194548E-2</v>
      </c>
      <c r="DT3" s="13">
        <v>4.4966810815319433E-2</v>
      </c>
      <c r="DU3" s="13">
        <v>3.9216383622322187E-2</v>
      </c>
      <c r="DV3" s="13">
        <v>3.9953462868225757E-2</v>
      </c>
      <c r="DW3" s="13">
        <v>4.7966753162565323E-2</v>
      </c>
      <c r="DX3" s="13">
        <v>4.7135568202097168E-2</v>
      </c>
      <c r="DY3" s="13">
        <v>5.0681252776800433E-2</v>
      </c>
      <c r="DZ3" s="13">
        <v>4.4969453786410638E-2</v>
      </c>
      <c r="EA3" s="13">
        <v>4.4790390035127817E-2</v>
      </c>
      <c r="EB3" s="13">
        <v>4.605973794008926E-2</v>
      </c>
      <c r="EC3" s="13">
        <v>6.9799748019209198E-2</v>
      </c>
      <c r="ED3" s="13">
        <v>4.8948038728249647E-2</v>
      </c>
      <c r="EE3" s="13">
        <v>4.4489528267164347E-2</v>
      </c>
      <c r="EF3" s="13">
        <v>3.4297029215600711E-2</v>
      </c>
      <c r="EG3" s="13">
        <v>3.9822103911537593E-2</v>
      </c>
      <c r="EH3" s="13">
        <v>3.0749140984917121E-2</v>
      </c>
      <c r="EI3" s="13">
        <v>2.9755278459214E-2</v>
      </c>
      <c r="EJ3" s="13">
        <v>3.4738700682679341E-2</v>
      </c>
      <c r="EK3" s="13">
        <v>2.7110665601743609E-2</v>
      </c>
      <c r="EL3" s="13">
        <v>2.7595207896287419E-2</v>
      </c>
    </row>
    <row r="4" spans="1:142" x14ac:dyDescent="0.55000000000000004">
      <c r="B4" s="11" t="s">
        <v>144</v>
      </c>
      <c r="C4" s="13">
        <v>-3.3355064222238093E-2</v>
      </c>
      <c r="D4" s="13">
        <v>-3.6488953372440118E-2</v>
      </c>
      <c r="E4" s="13">
        <v>-6.2951631416598125E-2</v>
      </c>
      <c r="F4" s="13">
        <v>-0.10275806713399049</v>
      </c>
      <c r="G4" s="13">
        <v>-7.9484529512434218E-2</v>
      </c>
      <c r="H4" s="13">
        <v>-7.4637566723446097E-2</v>
      </c>
      <c r="I4" s="13">
        <v>-6.0303175593075208E-2</v>
      </c>
      <c r="J4" s="13">
        <v>-6.1221976553650498E-2</v>
      </c>
      <c r="K4" s="13">
        <v>-6.3454479623673996E-2</v>
      </c>
      <c r="L4" s="13">
        <v>-4.9031802460202369E-2</v>
      </c>
      <c r="M4" s="13">
        <v>-5.5965545208011017E-2</v>
      </c>
      <c r="N4" s="13">
        <v>-3.7127413566765903E-2</v>
      </c>
      <c r="O4" s="13">
        <v>-4.4851103408314323E-2</v>
      </c>
      <c r="P4" s="13">
        <v>-6.06099750017862E-2</v>
      </c>
      <c r="Q4" s="13">
        <v>-6.142030670402978E-2</v>
      </c>
      <c r="R4" s="13">
        <v>-4.2457092293346488E-2</v>
      </c>
      <c r="S4" s="13">
        <v>-4.0181376857841532E-2</v>
      </c>
      <c r="T4" s="13">
        <v>-4.3184261416348402E-2</v>
      </c>
      <c r="U4" s="13">
        <v>-2.5671025875257259E-2</v>
      </c>
      <c r="V4" s="13">
        <v>-2.056117449423971E-2</v>
      </c>
      <c r="W4" s="13">
        <v>-1.7030228493617319E-2</v>
      </c>
      <c r="X4" s="13">
        <v>-1.9491489513123999E-2</v>
      </c>
      <c r="Y4" s="13">
        <v>-4.4162740951198293E-2</v>
      </c>
      <c r="Z4" s="13">
        <v>-4.3992704142522127E-2</v>
      </c>
      <c r="AA4" s="13">
        <v>-3.3240344419281441E-2</v>
      </c>
      <c r="AB4" s="13">
        <v>-2.8357855227329171E-2</v>
      </c>
      <c r="AC4" s="13">
        <v>-1.7753826277809508E-2</v>
      </c>
      <c r="AD4" s="13">
        <v>-1.9392872894991808E-2</v>
      </c>
      <c r="AE4" s="13">
        <v>-3.1862058027578813E-2</v>
      </c>
      <c r="AF4" s="13">
        <v>-3.3734295719027647E-2</v>
      </c>
      <c r="AG4" s="13">
        <v>-5.2378694538196572E-3</v>
      </c>
      <c r="AH4" s="13">
        <v>-1.8241859678385711E-2</v>
      </c>
      <c r="AI4" s="13">
        <v>-2.828195859844675E-2</v>
      </c>
      <c r="AJ4" s="13">
        <v>-2.6355034026264958E-2</v>
      </c>
      <c r="AK4" s="13">
        <v>-2.9560930131039269E-2</v>
      </c>
      <c r="AL4" s="13">
        <v>-3.0371173622282331E-2</v>
      </c>
      <c r="AM4" s="13">
        <v>-2.2596310124050351E-2</v>
      </c>
      <c r="AN4" s="13">
        <v>-3.0254612721411198E-2</v>
      </c>
      <c r="AO4" s="13">
        <v>-2.871524100076818E-2</v>
      </c>
      <c r="AP4" s="13">
        <v>-3.4923895599449153E-2</v>
      </c>
      <c r="AQ4" s="13">
        <v>-3.0630802592385771E-2</v>
      </c>
      <c r="AR4" s="13">
        <v>-2.9429888192270871E-2</v>
      </c>
      <c r="AS4" s="13">
        <v>-2.674265330078859E-2</v>
      </c>
      <c r="AT4" s="13">
        <v>-1.6825419341331849E-2</v>
      </c>
      <c r="AU4" s="13">
        <v>-2.028990455098131E-2</v>
      </c>
      <c r="AV4" s="13">
        <v>-1.5552740324632551E-2</v>
      </c>
      <c r="AW4" s="13">
        <v>-4.2145772018226967E-2</v>
      </c>
      <c r="AX4" s="13">
        <v>-3.2834496930954221E-2</v>
      </c>
      <c r="AY4" s="13">
        <v>-3.0620786675402481E-2</v>
      </c>
      <c r="AZ4" s="13">
        <v>-3.2526573120253401E-2</v>
      </c>
      <c r="BA4" s="13">
        <v>-3.9596641638497188E-2</v>
      </c>
      <c r="BB4" s="13">
        <v>-4.0551604006990392E-2</v>
      </c>
      <c r="BC4" s="13">
        <v>-4.2756597752440471E-2</v>
      </c>
      <c r="BD4" s="13">
        <v>-3.5755727515210577E-2</v>
      </c>
      <c r="BE4" s="13">
        <v>-2.4508874482950669E-2</v>
      </c>
      <c r="BF4" s="13">
        <v>-3.4563199381908237E-2</v>
      </c>
      <c r="BG4" s="13">
        <v>-2.5490924642281039E-2</v>
      </c>
      <c r="BH4" s="13">
        <v>-1.6368300858497931E-2</v>
      </c>
      <c r="BI4" s="13">
        <v>-1.912200225379531E-2</v>
      </c>
      <c r="BJ4" s="13">
        <v>-2.5427524184918511E-2</v>
      </c>
      <c r="BK4" s="13">
        <v>-2.17006435544887E-2</v>
      </c>
      <c r="BL4" s="13">
        <v>-2.4482338097977681E-2</v>
      </c>
      <c r="BM4" s="13">
        <v>-1.190520358379419E-2</v>
      </c>
      <c r="BN4" s="13">
        <v>-1.4200643435024611E-2</v>
      </c>
      <c r="BO4" s="13">
        <v>-1.5729074905210499E-2</v>
      </c>
      <c r="BP4" s="13">
        <v>-6.6634100191326363E-3</v>
      </c>
      <c r="BQ4" s="13">
        <v>-1.4844203425268321E-2</v>
      </c>
      <c r="BR4" s="13">
        <v>-8.2762403872860633E-3</v>
      </c>
      <c r="BS4" s="13">
        <v>-7.2950252230793069E-3</v>
      </c>
      <c r="BT4" s="13">
        <v>-1.5208431311033581E-2</v>
      </c>
      <c r="BU4" s="13">
        <v>-2.3110477045322781E-2</v>
      </c>
      <c r="BV4" s="13">
        <v>-1.216829070540934E-2</v>
      </c>
      <c r="BW4" s="13">
        <v>1.9813464894211609E-3</v>
      </c>
      <c r="BX4" s="13">
        <v>-1.249368848288873E-2</v>
      </c>
      <c r="BY4" s="13">
        <v>-1.6627473803652881E-2</v>
      </c>
      <c r="BZ4" s="13">
        <v>-2.106371981363821E-2</v>
      </c>
      <c r="CA4" s="13">
        <v>-1.4410423139406501E-2</v>
      </c>
      <c r="CB4" s="13">
        <v>-1.373600487425279E-2</v>
      </c>
      <c r="CC4" s="13">
        <v>-2.747847105042156E-2</v>
      </c>
      <c r="CD4" s="13">
        <v>-2.655987022870682E-2</v>
      </c>
      <c r="CE4" s="13">
        <v>-2.6100224897020342E-2</v>
      </c>
      <c r="CF4" s="13">
        <v>-3.2061326258670031E-2</v>
      </c>
      <c r="CG4" s="13">
        <v>-4.4699162974103299E-2</v>
      </c>
      <c r="CH4" s="13">
        <v>-3.5557718292931598E-2</v>
      </c>
      <c r="CI4" s="13">
        <v>-2.2531867995524299E-2</v>
      </c>
      <c r="CJ4" s="13">
        <v>-2.659099589059899E-2</v>
      </c>
      <c r="CK4" s="13">
        <v>-2.437831543315613E-2</v>
      </c>
      <c r="CL4" s="13">
        <v>-2.0383839681311931E-2</v>
      </c>
      <c r="CM4" s="13">
        <v>-2.0543547316843411E-2</v>
      </c>
      <c r="CN4" s="13">
        <v>-2.5366972570714349E-2</v>
      </c>
      <c r="CO4" s="13">
        <v>2.1573222511172298E-2</v>
      </c>
      <c r="CP4" s="13">
        <v>2.9656602127605611E-2</v>
      </c>
      <c r="CQ4" s="13">
        <v>-2.1208981776241909E-3</v>
      </c>
      <c r="CR4" s="13">
        <v>-1.2445462205139609E-2</v>
      </c>
      <c r="CS4" s="13">
        <v>-4.8911607001063021E-2</v>
      </c>
      <c r="CT4" s="13">
        <v>-5.4515957193264943E-2</v>
      </c>
      <c r="CU4" s="13">
        <v>-3.6987684093879661E-2</v>
      </c>
      <c r="CV4" s="13">
        <v>-2.924450214174747E-2</v>
      </c>
      <c r="CW4" s="13">
        <v>-3.5566938337920538E-2</v>
      </c>
      <c r="CX4" s="13">
        <v>-3.611216821620989E-2</v>
      </c>
      <c r="CY4" s="13">
        <v>-3.5196660099825278E-2</v>
      </c>
      <c r="CZ4" s="13">
        <v>-4.1285248368278821E-2</v>
      </c>
      <c r="DA4" s="13">
        <v>-4.4832439126435537E-2</v>
      </c>
      <c r="DB4" s="13">
        <v>-6.2436972757434497E-2</v>
      </c>
      <c r="DC4" s="13">
        <v>-6.2527983186050365E-2</v>
      </c>
      <c r="DD4" s="13">
        <v>-7.5217163321935412E-2</v>
      </c>
      <c r="DE4" s="13">
        <v>-6.4404403928414081E-2</v>
      </c>
      <c r="DF4" s="13">
        <v>-5.549385494260705E-2</v>
      </c>
      <c r="DG4" s="13">
        <v>-6.0437770445375537E-2</v>
      </c>
      <c r="DH4" s="13">
        <v>-6.1846298042840378E-2</v>
      </c>
      <c r="DI4" s="13">
        <v>-1.46626202409976E-2</v>
      </c>
      <c r="DJ4" s="13">
        <v>-4.0786143047909028E-2</v>
      </c>
      <c r="DK4" s="13">
        <v>-5.7443401521016832E-2</v>
      </c>
      <c r="DL4" s="13">
        <v>-5.8112653779270121E-2</v>
      </c>
      <c r="DM4" s="13">
        <v>-3.958925014969409E-2</v>
      </c>
      <c r="DN4" s="13">
        <v>-2.92339481001627E-2</v>
      </c>
      <c r="DO4" s="13">
        <v>-2.8268200941545508E-2</v>
      </c>
      <c r="DP4" s="13">
        <v>-2.9909023795320532E-2</v>
      </c>
      <c r="DQ4" s="13">
        <v>-4.1956447946479403E-2</v>
      </c>
      <c r="DR4" s="13">
        <v>-5.4044080376143652E-2</v>
      </c>
      <c r="DS4" s="13">
        <v>-3.6840842476137732E-2</v>
      </c>
      <c r="DT4" s="13">
        <v>-4.7088988162664012E-2</v>
      </c>
      <c r="DU4" s="13">
        <v>-4.6590530666368382E-2</v>
      </c>
      <c r="DV4" s="13">
        <v>-4.8883186543154288E-2</v>
      </c>
      <c r="DW4" s="13">
        <v>2.4644963240671989E-3</v>
      </c>
      <c r="DX4" s="13">
        <v>-1.047701340170769E-2</v>
      </c>
      <c r="DY4" s="13">
        <v>-3.2988096646797901E-2</v>
      </c>
      <c r="DZ4" s="13">
        <v>-3.5035095730103293E-2</v>
      </c>
      <c r="EA4" s="13">
        <v>-3.4035185243979679E-2</v>
      </c>
      <c r="EB4" s="13">
        <v>-3.1294101648424583E-2</v>
      </c>
      <c r="EC4" s="13">
        <v>-4.2305892800109393E-2</v>
      </c>
      <c r="ED4" s="13">
        <v>-4.7144040894120831E-2</v>
      </c>
      <c r="EE4" s="13">
        <v>-3.9341877783157779E-2</v>
      </c>
      <c r="EF4" s="13">
        <v>-3.4428937404352961E-2</v>
      </c>
      <c r="EG4" s="13">
        <v>-2.5023765356573191E-2</v>
      </c>
      <c r="EH4" s="13">
        <v>-2.3959625271420482E-2</v>
      </c>
      <c r="EI4" s="13">
        <v>-3.1018058895392529E-2</v>
      </c>
      <c r="EJ4" s="13">
        <v>-3.019292868952464E-2</v>
      </c>
      <c r="EK4" s="13">
        <v>-1.9350280734914911E-2</v>
      </c>
      <c r="EL4" s="13">
        <v>1.0475928161918681E-2</v>
      </c>
    </row>
    <row r="5" spans="1:142" x14ac:dyDescent="0.55000000000000004">
      <c r="B5" s="14" t="s">
        <v>145</v>
      </c>
      <c r="C5" s="13">
        <v>1.7572591335771898E-2</v>
      </c>
      <c r="D5" s="13">
        <v>2.7010615886725878E-2</v>
      </c>
      <c r="E5" s="13">
        <v>1.6464920986043539E-2</v>
      </c>
      <c r="F5" s="13">
        <v>2.163583339118199E-2</v>
      </c>
      <c r="G5" s="13">
        <v>2.7978795117450529E-2</v>
      </c>
      <c r="H5" s="13">
        <v>1.82572498185327E-2</v>
      </c>
      <c r="I5" s="13">
        <v>2.262258433052575E-2</v>
      </c>
      <c r="J5" s="13">
        <v>2.4224717545351319E-2</v>
      </c>
      <c r="K5" s="13">
        <v>3.7030631729839399E-2</v>
      </c>
      <c r="L5" s="13">
        <v>2.1715734909504909E-2</v>
      </c>
      <c r="M5" s="13">
        <v>2.3471025446345321E-2</v>
      </c>
      <c r="N5" s="13">
        <v>2.9600842590959759E-2</v>
      </c>
      <c r="O5" s="13">
        <v>3.078080458498781E-2</v>
      </c>
      <c r="P5" s="13">
        <v>1.3958200077604069E-2</v>
      </c>
      <c r="Q5" s="13">
        <v>2.3899925490751529E-2</v>
      </c>
      <c r="R5" s="13">
        <v>2.827365648927253E-2</v>
      </c>
      <c r="S5" s="13">
        <v>2.8277502684533939E-2</v>
      </c>
      <c r="T5" s="13">
        <v>3.0791608587896192E-2</v>
      </c>
      <c r="U5" s="13">
        <v>3.8990634744788283E-2</v>
      </c>
      <c r="V5" s="13">
        <v>4.795564524908115E-2</v>
      </c>
      <c r="W5" s="13">
        <v>5.1885589069397997E-2</v>
      </c>
      <c r="X5" s="13">
        <v>1.8552140443308319E-2</v>
      </c>
      <c r="Y5" s="13">
        <v>1.942137293110377E-2</v>
      </c>
      <c r="Z5" s="13">
        <v>1.0422650426952311E-2</v>
      </c>
      <c r="AA5" s="13">
        <v>4.4481250419906457E-2</v>
      </c>
      <c r="AB5" s="13">
        <v>3.0099617840507689E-4</v>
      </c>
      <c r="AC5" s="13">
        <v>2.9870176157596909E-2</v>
      </c>
      <c r="AD5" s="13">
        <v>4.2866569757687677E-3</v>
      </c>
      <c r="AE5" s="13">
        <v>1.5671647496547189E-2</v>
      </c>
      <c r="AF5" s="13">
        <v>1.2668564364488089E-2</v>
      </c>
      <c r="AG5" s="13">
        <v>2.6776108631906659E-2</v>
      </c>
      <c r="AH5" s="13">
        <v>1.320201957735115E-2</v>
      </c>
      <c r="AI5" s="13">
        <v>1.7989730154352481E-2</v>
      </c>
      <c r="AJ5" s="13">
        <v>1.88525604364338E-2</v>
      </c>
      <c r="AK5" s="13">
        <v>2.0751209643580199E-2</v>
      </c>
      <c r="AL5" s="13">
        <v>1.7139197858594139E-2</v>
      </c>
      <c r="AM5" s="13">
        <v>1.4073911718798781E-2</v>
      </c>
      <c r="AN5" s="13">
        <v>7.2133540700708753E-3</v>
      </c>
      <c r="AO5" s="13">
        <v>1.940927693450302E-2</v>
      </c>
      <c r="AP5" s="13">
        <v>1.8788509035915509E-2</v>
      </c>
      <c r="AQ5" s="13">
        <v>2.576627301502598E-2</v>
      </c>
      <c r="AR5" s="13">
        <v>2.4567308164613721E-2</v>
      </c>
      <c r="AS5" s="13">
        <v>2.0403411209288149E-2</v>
      </c>
      <c r="AT5" s="13">
        <v>1.8350318395403482E-2</v>
      </c>
      <c r="AU5" s="13">
        <v>1.835820201641138E-2</v>
      </c>
      <c r="AV5" s="13">
        <v>3.066534075451257E-2</v>
      </c>
      <c r="AW5" s="13">
        <v>2.4171945032875768E-2</v>
      </c>
      <c r="AX5" s="13">
        <v>2.9301659150937479E-2</v>
      </c>
      <c r="AY5" s="13">
        <v>2.3524836383218169E-2</v>
      </c>
      <c r="AZ5" s="13">
        <v>1.619862131729324E-2</v>
      </c>
      <c r="BA5" s="13">
        <v>2.4361905285368031E-2</v>
      </c>
      <c r="BB5" s="13">
        <v>2.0847801686724499E-2</v>
      </c>
      <c r="BC5" s="13">
        <v>1.87405260419569E-2</v>
      </c>
      <c r="BD5" s="13">
        <v>-8.4357435055720787E-4</v>
      </c>
      <c r="BE5" s="13">
        <v>1.348963928267881E-2</v>
      </c>
      <c r="BF5" s="13">
        <v>1.209566450250129E-2</v>
      </c>
      <c r="BG5" s="13">
        <v>6.2031443455100891E-3</v>
      </c>
      <c r="BH5" s="13">
        <v>-1.9361090801528601E-2</v>
      </c>
      <c r="BI5" s="13">
        <v>-3.9799382821201407E-2</v>
      </c>
      <c r="BJ5" s="13">
        <v>-2.5457167335488549E-2</v>
      </c>
      <c r="BK5" s="13">
        <v>-1.9477643618262701E-2</v>
      </c>
      <c r="BL5" s="13">
        <v>-9.1218955270848633E-3</v>
      </c>
      <c r="BM5" s="13">
        <v>-1.4374787989500121E-2</v>
      </c>
      <c r="BN5" s="13">
        <v>-3.337400836610268E-2</v>
      </c>
      <c r="BO5" s="13">
        <v>-8.1813085035434014E-3</v>
      </c>
      <c r="BP5" s="13">
        <v>6.9701293808654514E-3</v>
      </c>
      <c r="BQ5" s="13">
        <v>9.2463391673495484E-3</v>
      </c>
      <c r="BR5" s="13">
        <v>2.283635783955484E-2</v>
      </c>
      <c r="BS5" s="13">
        <v>2.006030851870538E-2</v>
      </c>
      <c r="BT5" s="13">
        <v>1.4916967327142641E-2</v>
      </c>
      <c r="BU5" s="13">
        <v>1.9043070262766151E-2</v>
      </c>
      <c r="BV5" s="13">
        <v>1.6822997184360571E-2</v>
      </c>
      <c r="BW5" s="13">
        <v>1.6684982593413372E-2</v>
      </c>
      <c r="BX5" s="13">
        <v>1.3546322627577229E-2</v>
      </c>
      <c r="BY5" s="13">
        <v>8.8355555990224949E-3</v>
      </c>
      <c r="BZ5" s="13">
        <v>1.6244439848805359E-2</v>
      </c>
      <c r="CA5" s="13">
        <v>1.5969795684615099E-2</v>
      </c>
      <c r="CB5" s="13">
        <v>2.631438398547604E-3</v>
      </c>
      <c r="CC5" s="13">
        <v>1.882978449558451E-2</v>
      </c>
      <c r="CD5" s="13">
        <v>2.2816767220746569E-2</v>
      </c>
      <c r="CE5" s="13">
        <v>2.6077729361186529E-2</v>
      </c>
      <c r="CF5" s="13">
        <v>1.499489024735514E-2</v>
      </c>
      <c r="CG5" s="13">
        <v>2.6164856394656419E-3</v>
      </c>
      <c r="CH5" s="13">
        <v>1.6072216687681739E-3</v>
      </c>
      <c r="CI5" s="13">
        <v>-5.8853693828171327E-3</v>
      </c>
      <c r="CJ5" s="13">
        <v>-1.1516856996570801E-2</v>
      </c>
      <c r="CK5" s="13">
        <v>-1.071601597092706E-2</v>
      </c>
      <c r="CL5" s="13">
        <v>1.1313839274602489E-2</v>
      </c>
      <c r="CM5" s="13">
        <v>6.5575598939352948E-3</v>
      </c>
      <c r="CN5" s="13">
        <v>1.1422092272016829E-2</v>
      </c>
      <c r="CO5" s="13">
        <v>1.128965325550671E-2</v>
      </c>
      <c r="CP5" s="13">
        <v>5.1481957855028113E-2</v>
      </c>
      <c r="CQ5" s="13">
        <v>3.1199047837396739E-2</v>
      </c>
      <c r="CR5" s="13">
        <v>2.5421195525684968E-2</v>
      </c>
      <c r="CS5" s="13">
        <v>-3.0207556615997611E-3</v>
      </c>
      <c r="CT5" s="13">
        <v>7.5623451229431043E-4</v>
      </c>
      <c r="CU5" s="13">
        <v>7.2781568876731156E-4</v>
      </c>
      <c r="CV5" s="13">
        <v>9.3529038856204165E-3</v>
      </c>
      <c r="CW5" s="13">
        <v>-2.9667861932934879E-2</v>
      </c>
      <c r="CX5" s="13">
        <v>-1.0507272884670189E-2</v>
      </c>
      <c r="CY5" s="13">
        <v>9.7452893907925726E-3</v>
      </c>
      <c r="CZ5" s="13">
        <v>-7.5353985902828378E-3</v>
      </c>
      <c r="DA5" s="13">
        <v>1.3131139356618519E-2</v>
      </c>
      <c r="DB5" s="13">
        <v>4.2211342139132279E-3</v>
      </c>
      <c r="DC5" s="13">
        <v>1.093994226186313E-2</v>
      </c>
      <c r="DD5" s="13">
        <v>2.4409705725089211E-2</v>
      </c>
      <c r="DE5" s="13">
        <v>1.604921204657048E-2</v>
      </c>
      <c r="DF5" s="13">
        <v>1.667716987176554E-2</v>
      </c>
      <c r="DG5" s="13">
        <v>-3.8317962817908898E-3</v>
      </c>
      <c r="DH5" s="13">
        <v>7.3512111038037927E-3</v>
      </c>
      <c r="DI5" s="13">
        <v>-1.030442488724889E-2</v>
      </c>
      <c r="DJ5" s="13">
        <v>5.2456116056685776E-3</v>
      </c>
      <c r="DK5" s="13">
        <v>6.9237939715896509E-3</v>
      </c>
      <c r="DL5" s="13">
        <v>1.614164071279639E-2</v>
      </c>
      <c r="DM5" s="13">
        <v>1.6766743050984158E-2</v>
      </c>
      <c r="DN5" s="13">
        <v>1.4232797538885089E-2</v>
      </c>
      <c r="DO5" s="13">
        <v>1.453166794491163E-2</v>
      </c>
      <c r="DP5" s="13">
        <v>1.476260228029823E-2</v>
      </c>
      <c r="DQ5" s="13">
        <v>9.2205535843162996E-3</v>
      </c>
      <c r="DR5" s="13">
        <v>-2.0837362258463069E-2</v>
      </c>
      <c r="DS5" s="13">
        <v>5.7274386040173687E-3</v>
      </c>
      <c r="DT5" s="13">
        <v>4.0239894875113217E-4</v>
      </c>
      <c r="DU5" s="13">
        <v>1.369607227793021E-2</v>
      </c>
      <c r="DV5" s="13">
        <v>1.81797983000145E-2</v>
      </c>
      <c r="DW5" s="13">
        <v>2.0373538370568042E-2</v>
      </c>
      <c r="DX5" s="13">
        <v>1.6416783684434461E-2</v>
      </c>
      <c r="DY5" s="13">
        <v>1.4901535770104739E-2</v>
      </c>
      <c r="DZ5" s="13">
        <v>1.5353815388371319E-2</v>
      </c>
      <c r="EA5" s="13">
        <v>1.6682695081811649E-2</v>
      </c>
      <c r="EB5" s="13">
        <v>1.820220102928315E-2</v>
      </c>
      <c r="EC5" s="13">
        <v>-4.4638342298786941E-3</v>
      </c>
      <c r="ED5" s="13">
        <v>-4.6981036382316961E-3</v>
      </c>
      <c r="EE5" s="13">
        <v>1.264171640489712E-3</v>
      </c>
      <c r="EF5" s="13">
        <v>8.5178790602471154E-3</v>
      </c>
      <c r="EG5" s="13">
        <v>-2.853172849498869E-3</v>
      </c>
      <c r="EH5" s="13">
        <v>-7.6033835936986848E-3</v>
      </c>
      <c r="EI5" s="13">
        <v>-5.3008409367301841E-3</v>
      </c>
      <c r="EJ5" s="13">
        <v>-4.1330562633494598E-3</v>
      </c>
      <c r="EK5" s="13">
        <v>-2.2310332755631338E-3</v>
      </c>
      <c r="EL5" s="13">
        <v>5.5219188045471258E-3</v>
      </c>
    </row>
    <row r="7" spans="1:142" x14ac:dyDescent="0.55000000000000004">
      <c r="A7" s="11" t="s">
        <v>0</v>
      </c>
    </row>
    <row r="8" spans="1:142" x14ac:dyDescent="0.55000000000000004"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x14ac:dyDescent="0.55000000000000004">
      <c r="B9" s="11" t="s">
        <v>143</v>
      </c>
      <c r="C9" s="13">
        <v>5.6118451058864587E-2</v>
      </c>
      <c r="D9" s="13">
        <v>7.8115358948707581E-2</v>
      </c>
      <c r="E9" s="13">
        <v>-0.1415126770734787</v>
      </c>
      <c r="F9" s="13">
        <v>-8.4760263562202454E-2</v>
      </c>
      <c r="G9" s="13">
        <v>-1.6393894329667091E-2</v>
      </c>
      <c r="H9" s="13">
        <v>-2.1295100450515751E-2</v>
      </c>
      <c r="I9" s="13">
        <v>-1.096068881452084E-3</v>
      </c>
      <c r="J9" s="13">
        <v>6.4448930323123932E-2</v>
      </c>
      <c r="K9" s="13">
        <v>9.3935757875442505E-2</v>
      </c>
      <c r="L9" s="13">
        <v>7.7676363289356232E-2</v>
      </c>
      <c r="M9" s="13">
        <v>4.422677680850029E-3</v>
      </c>
      <c r="N9" s="13">
        <v>9.7503647208213806E-2</v>
      </c>
      <c r="O9" s="13">
        <v>-2.549671940505505E-2</v>
      </c>
      <c r="P9" s="13">
        <v>-1.3179603032767769E-2</v>
      </c>
      <c r="Q9" s="13">
        <v>5.1645436324179173E-3</v>
      </c>
      <c r="R9" s="13">
        <v>-1.723375171422958E-2</v>
      </c>
      <c r="S9" s="13">
        <v>0.11152903735637661</v>
      </c>
      <c r="T9" s="13">
        <v>3.4847687929868698E-2</v>
      </c>
      <c r="U9" s="13">
        <v>5.9024035930633538E-2</v>
      </c>
      <c r="V9" s="13">
        <v>1.7716789618134499E-2</v>
      </c>
      <c r="W9" s="13">
        <v>-6.4256582409143448E-3</v>
      </c>
      <c r="X9" s="13">
        <v>-2.2693565115332599E-3</v>
      </c>
      <c r="Y9" s="13">
        <v>3.7778280675411217E-2</v>
      </c>
      <c r="Z9" s="13">
        <v>1.1676935479044911E-2</v>
      </c>
      <c r="AA9" s="13">
        <v>-8.7502934038639069E-3</v>
      </c>
      <c r="AB9" s="13">
        <v>-3.5473756492137909E-2</v>
      </c>
      <c r="AC9" s="13">
        <v>3.1332850456237793E-2</v>
      </c>
      <c r="AD9" s="13">
        <v>1.555768307298422E-2</v>
      </c>
      <c r="AE9" s="13">
        <v>0.1190536841750145</v>
      </c>
      <c r="AF9" s="13">
        <v>-1.9357252866029739E-2</v>
      </c>
      <c r="AG9" s="13">
        <v>5.5650390684604638E-2</v>
      </c>
      <c r="AH9" s="13">
        <v>1.4775607734918589E-2</v>
      </c>
      <c r="AI9" s="13">
        <v>7.8147970139980316E-2</v>
      </c>
      <c r="AJ9" s="13">
        <v>-5.1067054271697998E-2</v>
      </c>
      <c r="AK9" s="13">
        <v>2.9277428984642029E-2</v>
      </c>
      <c r="AL9" s="13">
        <v>0.1074956804513931</v>
      </c>
      <c r="AM9" s="13">
        <v>5.5360257625579827E-2</v>
      </c>
      <c r="AN9" s="13">
        <v>-5.8350309729576111E-2</v>
      </c>
      <c r="AO9" s="13">
        <v>3.7394411861896508E-2</v>
      </c>
      <c r="AP9" s="13">
        <v>4.5363374054431922E-2</v>
      </c>
      <c r="AQ9" s="13">
        <v>0.14594569802284241</v>
      </c>
      <c r="AR9" s="13">
        <v>9.9557004868984222E-2</v>
      </c>
      <c r="AS9" s="13">
        <v>1.506671868264675E-2</v>
      </c>
      <c r="AT9" s="13">
        <v>-1.1696591973304751E-3</v>
      </c>
      <c r="AU9" s="13">
        <v>-4.7236192971467972E-2</v>
      </c>
      <c r="AV9" s="13">
        <v>-3.464246541261673E-2</v>
      </c>
      <c r="AW9" s="13">
        <v>4.0531452745199197E-2</v>
      </c>
      <c r="AX9" s="13">
        <v>2.6697341352701191E-2</v>
      </c>
      <c r="AY9" s="13">
        <v>5.6539479643106461E-2</v>
      </c>
      <c r="AZ9" s="13">
        <v>5.4159634746611118E-3</v>
      </c>
      <c r="BA9" s="13">
        <v>-4.3942347168922417E-2</v>
      </c>
      <c r="BB9" s="13">
        <v>9.4006329774856567E-2</v>
      </c>
      <c r="BC9" s="13">
        <v>2.8445800766348839E-2</v>
      </c>
      <c r="BD9" s="13">
        <v>2.4129733443260189E-2</v>
      </c>
      <c r="BE9" s="13">
        <v>-1.6681114211678501E-2</v>
      </c>
      <c r="BF9" s="13">
        <v>-2.0862789824604992E-2</v>
      </c>
      <c r="BG9" s="13">
        <v>5.2014391869306557E-2</v>
      </c>
      <c r="BH9" s="13">
        <v>-3.3232644200325012E-2</v>
      </c>
      <c r="BI9" s="13">
        <v>-1.9028045237064362E-2</v>
      </c>
      <c r="BJ9" s="13">
        <v>-4.3040025979280472E-2</v>
      </c>
      <c r="BK9" s="13">
        <v>3.582623228430748E-2</v>
      </c>
      <c r="BL9" s="13">
        <v>5.2610065788030617E-2</v>
      </c>
      <c r="BM9" s="13">
        <v>0.16467450559139249</v>
      </c>
      <c r="BN9" s="13">
        <v>5.6239485740661621E-2</v>
      </c>
      <c r="BO9" s="13">
        <v>5.7048242539167397E-2</v>
      </c>
      <c r="BP9" s="13">
        <v>3.7904918193817139E-2</v>
      </c>
      <c r="BQ9" s="13">
        <v>5.388949066400528E-2</v>
      </c>
      <c r="BR9" s="13">
        <v>1.972170919179916E-2</v>
      </c>
      <c r="BS9" s="13">
        <v>5.4315824061632163E-2</v>
      </c>
      <c r="BT9" s="13">
        <v>4.7150813043117523E-2</v>
      </c>
      <c r="BU9" s="13">
        <v>-1.264089345932007E-2</v>
      </c>
      <c r="BV9" s="13">
        <v>-4.7596141695976257E-2</v>
      </c>
      <c r="BW9" s="13">
        <v>-1.6428106464445591E-3</v>
      </c>
      <c r="BX9" s="13">
        <v>4.7259576618671417E-2</v>
      </c>
      <c r="BY9" s="13">
        <v>4.9359224736690521E-2</v>
      </c>
      <c r="BZ9" s="13">
        <v>5.029325932264328E-2</v>
      </c>
      <c r="CA9" s="13">
        <v>-3.8853023201227188E-2</v>
      </c>
      <c r="CB9" s="13">
        <v>-2.5492530316114429E-2</v>
      </c>
      <c r="CC9" s="13">
        <v>5.2212677896022797E-2</v>
      </c>
      <c r="CD9" s="13">
        <v>1.63656659424305E-2</v>
      </c>
      <c r="CE9" s="13">
        <v>4.7712299972772598E-2</v>
      </c>
      <c r="CF9" s="13">
        <v>5.1156952977180481E-2</v>
      </c>
      <c r="CG9" s="13">
        <v>6.3695372082293034E-3</v>
      </c>
      <c r="CH9" s="13">
        <v>5.0260737538337708E-2</v>
      </c>
      <c r="CI9" s="13">
        <v>4.8383045941591263E-2</v>
      </c>
      <c r="CJ9" s="13">
        <v>4.9879353493452072E-2</v>
      </c>
      <c r="CK9" s="13">
        <v>-2.0379621535539631E-2</v>
      </c>
      <c r="CL9" s="13">
        <v>5.1040831953287118E-2</v>
      </c>
      <c r="CM9" s="13">
        <v>7.0432275533676147E-2</v>
      </c>
      <c r="CN9" s="13">
        <v>4.9308884888887412E-2</v>
      </c>
      <c r="CO9" s="13">
        <v>4.8468071967363358E-2</v>
      </c>
      <c r="CP9" s="13">
        <v>-3.0516274273395538E-3</v>
      </c>
      <c r="CQ9" s="13">
        <v>4.8940815031528473E-2</v>
      </c>
      <c r="CR9" s="13">
        <v>3.7696417421102519E-3</v>
      </c>
      <c r="CS9" s="13">
        <v>2.9329795390367511E-2</v>
      </c>
      <c r="CT9" s="13">
        <v>2.7245944365859032E-2</v>
      </c>
      <c r="CU9" s="13">
        <v>4.482705146074295E-2</v>
      </c>
      <c r="CV9" s="13">
        <v>2.256998606026173E-2</v>
      </c>
      <c r="CW9" s="13">
        <v>6.3389554619789124E-2</v>
      </c>
      <c r="CX9" s="13">
        <v>-3.9971958845853812E-2</v>
      </c>
      <c r="CY9" s="13">
        <v>5.2212778478860862E-2</v>
      </c>
      <c r="CZ9" s="13">
        <v>1.1289088055491449E-2</v>
      </c>
      <c r="DA9" s="13">
        <v>4.4644389301538467E-2</v>
      </c>
      <c r="DB9" s="13">
        <v>2.5936665013432499E-2</v>
      </c>
      <c r="DC9" s="13">
        <v>9.5405779778957367E-2</v>
      </c>
      <c r="DD9" s="13">
        <v>-4.5570109039545059E-2</v>
      </c>
      <c r="DE9" s="13">
        <v>5.2781801670789719E-2</v>
      </c>
      <c r="DF9" s="13">
        <v>4.5374881476163857E-2</v>
      </c>
      <c r="DG9" s="13">
        <v>4.444977268576622E-2</v>
      </c>
      <c r="DH9" s="13">
        <v>0.22446863353252411</v>
      </c>
      <c r="DI9" s="13">
        <v>3.3412754535675049E-2</v>
      </c>
      <c r="DJ9" s="13">
        <v>5.2645519375801093E-2</v>
      </c>
      <c r="DK9" s="13">
        <v>4.6334173530340188E-2</v>
      </c>
      <c r="DL9" s="13">
        <v>7.6330825686454773E-2</v>
      </c>
      <c r="DM9" s="13">
        <v>-6.475723534822464E-2</v>
      </c>
      <c r="DN9" s="13">
        <v>4.6702113002538681E-2</v>
      </c>
      <c r="DO9" s="13">
        <v>-4.7201156616210938E-2</v>
      </c>
      <c r="DP9" s="13">
        <v>3.1396467238664627E-2</v>
      </c>
      <c r="DQ9" s="13">
        <v>4.92582768201828E-2</v>
      </c>
      <c r="DR9" s="13">
        <v>4.8483997583389282E-2</v>
      </c>
      <c r="DS9" s="13">
        <v>-4.2000178247690201E-2</v>
      </c>
      <c r="DT9" s="13">
        <v>4.7626849263906479E-2</v>
      </c>
      <c r="DU9" s="13">
        <v>4.7286637127399438E-2</v>
      </c>
      <c r="DV9" s="13">
        <v>1.50144137442112E-2</v>
      </c>
      <c r="DW9" s="13">
        <v>-6.3924841582775116E-2</v>
      </c>
      <c r="DX9" s="13">
        <v>4.7122903168201447E-2</v>
      </c>
      <c r="DY9" s="13">
        <v>-1.8260244280099869E-2</v>
      </c>
      <c r="DZ9" s="13">
        <v>8.7747782468795776E-2</v>
      </c>
      <c r="EA9" s="13">
        <v>4.5896410942077637E-2</v>
      </c>
      <c r="EB9" s="13">
        <v>-3.0745090916752819E-2</v>
      </c>
      <c r="EC9" s="13">
        <v>3.641965240240097E-2</v>
      </c>
      <c r="ED9" s="13">
        <v>3.9232797920703888E-2</v>
      </c>
      <c r="EE9" s="13">
        <v>4.7465469688177109E-2</v>
      </c>
      <c r="EF9" s="13">
        <v>2.1230563521385189E-2</v>
      </c>
      <c r="EG9" s="13">
        <v>4.3058428913354867E-2</v>
      </c>
      <c r="EH9" s="13">
        <v>6.2204215675592422E-2</v>
      </c>
      <c r="EI9" s="13">
        <v>5.3044430911540992E-2</v>
      </c>
      <c r="EJ9" s="13">
        <v>4.5776788145303733E-2</v>
      </c>
      <c r="EK9" s="13">
        <v>5.0296429544687271E-2</v>
      </c>
      <c r="EL9" s="13">
        <v>4.6629093587398529E-2</v>
      </c>
    </row>
    <row r="10" spans="1:142" x14ac:dyDescent="0.55000000000000004">
      <c r="B10" s="11" t="s">
        <v>144</v>
      </c>
      <c r="C10" s="13">
        <v>2.637306414544582E-2</v>
      </c>
      <c r="D10" s="13">
        <v>4.597201943397522E-2</v>
      </c>
      <c r="E10" s="13">
        <v>-3.1721506267786033E-2</v>
      </c>
      <c r="F10" s="13">
        <v>-3.1267769634723663E-2</v>
      </c>
      <c r="G10" s="13">
        <v>-9.326620027422905E-3</v>
      </c>
      <c r="H10" s="13">
        <v>-4.1918478906154633E-2</v>
      </c>
      <c r="I10" s="13">
        <v>-3.2251551747322078E-3</v>
      </c>
      <c r="J10" s="13">
        <v>-2.9109448194503781E-2</v>
      </c>
      <c r="K10" s="13">
        <v>-1.5017589554190639E-2</v>
      </c>
      <c r="L10" s="13">
        <v>3.2963566482067108E-2</v>
      </c>
      <c r="M10" s="13">
        <v>-4.2787168174982071E-2</v>
      </c>
      <c r="N10" s="13">
        <v>8.8435836136341095E-2</v>
      </c>
      <c r="O10" s="13">
        <v>-1.9587144255638119E-2</v>
      </c>
      <c r="P10" s="13">
        <v>3.8856223225593567E-2</v>
      </c>
      <c r="Q10" s="13">
        <v>2.292590960860252E-2</v>
      </c>
      <c r="R10" s="13">
        <v>9.1378994286060333E-2</v>
      </c>
      <c r="S10" s="13">
        <v>2.1565936505794529E-2</v>
      </c>
      <c r="T10" s="13">
        <v>-1.9828533753752708E-2</v>
      </c>
      <c r="U10" s="13">
        <v>-0.20099139213562009</v>
      </c>
      <c r="V10" s="13">
        <v>-3.1301669776439667E-2</v>
      </c>
      <c r="W10" s="13">
        <v>-3.096821159124374E-2</v>
      </c>
      <c r="X10" s="13">
        <v>-2.945495210587978E-2</v>
      </c>
      <c r="Y10" s="13">
        <v>3.9161346852779388E-2</v>
      </c>
      <c r="Z10" s="13">
        <v>-6.3054509460926056E-2</v>
      </c>
      <c r="AA10" s="13">
        <v>0.29351425170898438</v>
      </c>
      <c r="AB10" s="13">
        <v>-5.1668956875801093E-2</v>
      </c>
      <c r="AC10" s="13">
        <v>-5.8906577527523041E-2</v>
      </c>
      <c r="AD10" s="13">
        <v>-1.479410566389561E-2</v>
      </c>
      <c r="AE10" s="13">
        <v>-8.5164092481136322E-2</v>
      </c>
      <c r="AF10" s="13">
        <v>6.4832724630832672E-2</v>
      </c>
      <c r="AG10" s="13">
        <v>-2.9173806309700009E-2</v>
      </c>
      <c r="AH10" s="13">
        <v>3.0198957771062851E-2</v>
      </c>
      <c r="AI10" s="13">
        <v>-4.7617070376873023E-2</v>
      </c>
      <c r="AJ10" s="13">
        <v>-8.1800997257232666E-2</v>
      </c>
      <c r="AK10" s="13">
        <v>-2.1800028160214421E-2</v>
      </c>
      <c r="AL10" s="13">
        <v>-0.1100530177354813</v>
      </c>
      <c r="AM10" s="13">
        <v>-3.5073071718215942E-2</v>
      </c>
      <c r="AN10" s="13">
        <v>-4.340009018778801E-2</v>
      </c>
      <c r="AO10" s="13">
        <v>0.48250654339790339</v>
      </c>
      <c r="AP10" s="13">
        <v>-2.2009238600730899E-2</v>
      </c>
      <c r="AQ10" s="13">
        <v>-3.320765495300293E-2</v>
      </c>
      <c r="AR10" s="13">
        <v>-3.8729634135961533E-2</v>
      </c>
      <c r="AS10" s="13">
        <v>-2.8297137469053268E-2</v>
      </c>
      <c r="AT10" s="13">
        <v>0.10524175316095349</v>
      </c>
      <c r="AU10" s="13">
        <v>-3.1704992055892937E-2</v>
      </c>
      <c r="AV10" s="13">
        <v>6.7514353431761256E-3</v>
      </c>
      <c r="AW10" s="13">
        <v>-0.96225237846374512</v>
      </c>
      <c r="AX10" s="13">
        <v>4.101233184337616E-2</v>
      </c>
      <c r="AY10" s="13">
        <v>-5.6369602680206299E-3</v>
      </c>
      <c r="AZ10" s="13">
        <v>-5.1676530390977859E-2</v>
      </c>
      <c r="BA10" s="13">
        <v>1.325516775250435E-2</v>
      </c>
      <c r="BB10" s="13">
        <v>4.476025328040123E-2</v>
      </c>
      <c r="BC10" s="13">
        <v>-1.107941567897797E-2</v>
      </c>
      <c r="BD10" s="13">
        <v>-0.38229072093963617</v>
      </c>
      <c r="BE10" s="13">
        <v>-2.2616449743509289E-2</v>
      </c>
      <c r="BF10" s="13">
        <v>-3.5860244184732437E-2</v>
      </c>
      <c r="BG10" s="13">
        <v>-4.5156531035900123E-2</v>
      </c>
      <c r="BH10" s="13">
        <v>4.3198607861995697E-2</v>
      </c>
      <c r="BI10" s="13">
        <v>-3.2893676310777657E-2</v>
      </c>
      <c r="BJ10" s="13">
        <v>-3.3156313002109528E-2</v>
      </c>
      <c r="BK10" s="13">
        <v>-0.49124959111213679</v>
      </c>
      <c r="BL10" s="13">
        <v>-4.1894607245922089E-2</v>
      </c>
      <c r="BM10" s="13">
        <v>-4.8348039388656623E-2</v>
      </c>
      <c r="BN10" s="13">
        <v>2.9559984803199772E-2</v>
      </c>
      <c r="BO10" s="13">
        <v>4.2817052453756332E-2</v>
      </c>
      <c r="BP10" s="13">
        <v>-2.2469896823167801E-2</v>
      </c>
      <c r="BQ10" s="13">
        <v>5.1819421350955963E-2</v>
      </c>
      <c r="BR10" s="13">
        <v>1.8672076985239979E-2</v>
      </c>
      <c r="BS10" s="13">
        <v>1.160447578877211E-2</v>
      </c>
      <c r="BT10" s="13">
        <v>2.1957747638225559E-2</v>
      </c>
      <c r="BU10" s="13">
        <v>-7.4458800256252289E-2</v>
      </c>
      <c r="BV10" s="13">
        <v>9.906383603811264E-2</v>
      </c>
      <c r="BW10" s="13">
        <v>-9.3610800802707672E-2</v>
      </c>
      <c r="BX10" s="13">
        <v>2.0203854888677601E-2</v>
      </c>
      <c r="BY10" s="13">
        <v>-3.2773036509752267E-2</v>
      </c>
      <c r="BZ10" s="13">
        <v>6.5151117742061615E-2</v>
      </c>
      <c r="CA10" s="13">
        <v>-3.612663596868515E-2</v>
      </c>
      <c r="CB10" s="13">
        <v>3.8924302905797958E-2</v>
      </c>
      <c r="CC10" s="13">
        <v>-3.6194797605276108E-2</v>
      </c>
      <c r="CD10" s="13">
        <v>-4.9464032053947449E-2</v>
      </c>
      <c r="CE10" s="13">
        <v>-4.3242655694484711E-2</v>
      </c>
      <c r="CF10" s="13">
        <v>-3.2065954059362411E-2</v>
      </c>
      <c r="CG10" s="13">
        <v>-3.9963260293006897E-2</v>
      </c>
      <c r="CH10" s="13">
        <v>-4.1623290628194809E-2</v>
      </c>
      <c r="CI10" s="13">
        <v>-3.5185825079679489E-2</v>
      </c>
      <c r="CJ10" s="13">
        <v>-4.3707791715860367E-2</v>
      </c>
      <c r="CK10" s="13">
        <v>-2.7694102376699451E-2</v>
      </c>
      <c r="CL10" s="13">
        <v>-3.4954138100147247E-2</v>
      </c>
      <c r="CM10" s="13">
        <v>-4.8744097352027893E-2</v>
      </c>
      <c r="CN10" s="13">
        <v>-1.2399040162563321E-2</v>
      </c>
      <c r="CO10" s="13">
        <v>3.0090915039181709E-2</v>
      </c>
      <c r="CP10" s="13">
        <v>-2.108084037899971E-2</v>
      </c>
      <c r="CQ10" s="13">
        <v>2.5487802922725682E-3</v>
      </c>
      <c r="CR10" s="13">
        <v>0.1063184291124344</v>
      </c>
      <c r="CS10" s="13">
        <v>2.1471921354532238E-2</v>
      </c>
      <c r="CT10" s="13">
        <v>-5.8815300464630127E-2</v>
      </c>
      <c r="CU10" s="13">
        <v>-0.21441565454006201</v>
      </c>
      <c r="CV10" s="13">
        <v>-0.14599728584289551</v>
      </c>
      <c r="CW10" s="13">
        <v>6.59809410572052E-2</v>
      </c>
      <c r="CX10" s="13">
        <v>-0.33112818002700811</v>
      </c>
      <c r="CY10" s="13">
        <v>3.5050917416810989E-2</v>
      </c>
      <c r="CZ10" s="13">
        <v>-0.23087161779403689</v>
      </c>
      <c r="DA10" s="13">
        <v>-9.6895664930343628E-2</v>
      </c>
      <c r="DB10" s="13">
        <v>2.638174407184124E-2</v>
      </c>
      <c r="DC10" s="13">
        <v>-6.4039438962936401E-2</v>
      </c>
      <c r="DD10" s="13">
        <v>-5.3469959646463387E-2</v>
      </c>
      <c r="DE10" s="13">
        <v>-0.13113583624362951</v>
      </c>
      <c r="DF10" s="13">
        <v>-0.13658058643341059</v>
      </c>
      <c r="DG10" s="13">
        <v>-9.4920694828033447E-2</v>
      </c>
      <c r="DH10" s="13">
        <v>-4.2109377682209008E-2</v>
      </c>
      <c r="DI10" s="13">
        <v>-4.0931046009063721E-2</v>
      </c>
      <c r="DJ10" s="13">
        <v>-3.9754342287778847E-2</v>
      </c>
      <c r="DK10" s="13">
        <v>-1.123789604753256E-2</v>
      </c>
      <c r="DL10" s="13">
        <v>-4.6825721859931953E-2</v>
      </c>
      <c r="DM10" s="13">
        <v>4.8449739813804633E-2</v>
      </c>
      <c r="DN10" s="13">
        <v>-1.890873908996582E-2</v>
      </c>
      <c r="DO10" s="13">
        <v>0.1028218641877174</v>
      </c>
      <c r="DP10" s="13">
        <v>-0.26931414008140558</v>
      </c>
      <c r="DQ10" s="13">
        <v>3.6267664283514023E-2</v>
      </c>
      <c r="DR10" s="13">
        <v>7.612089067697525E-2</v>
      </c>
      <c r="DS10" s="13">
        <v>-2.8944762423634529E-2</v>
      </c>
      <c r="DT10" s="13">
        <v>-2.5797775015234951E-2</v>
      </c>
      <c r="DU10" s="13">
        <v>-4.2362723499536507E-2</v>
      </c>
      <c r="DV10" s="13">
        <v>-0.12697815895080569</v>
      </c>
      <c r="DW10" s="13">
        <v>4.2979337275028229E-2</v>
      </c>
      <c r="DX10" s="13">
        <v>-7.1560792624950409E-2</v>
      </c>
      <c r="DY10" s="13">
        <v>-3.8502730429172523E-2</v>
      </c>
      <c r="DZ10" s="13">
        <v>3.6363851279020309E-2</v>
      </c>
      <c r="EA10" s="13">
        <v>3.0139438807964321E-2</v>
      </c>
      <c r="EB10" s="13">
        <v>-9.7088990733027458E-3</v>
      </c>
      <c r="EC10" s="13">
        <v>-5.1103539764881127E-2</v>
      </c>
      <c r="ED10" s="13">
        <v>-2.5845445692539219E-2</v>
      </c>
      <c r="EE10" s="13">
        <v>-0.1043576747179031</v>
      </c>
      <c r="EF10" s="13">
        <v>-3.8098420482128859E-3</v>
      </c>
      <c r="EG10" s="13">
        <v>2.889686077833176E-2</v>
      </c>
      <c r="EH10" s="13">
        <v>-4.2595401406288147E-2</v>
      </c>
      <c r="EI10" s="13">
        <v>9.3854136765003204E-2</v>
      </c>
      <c r="EJ10" s="13">
        <v>5.9465162456035607E-2</v>
      </c>
      <c r="EK10" s="13">
        <v>-3.2820709049701691E-2</v>
      </c>
      <c r="EL10" s="13">
        <v>5.8637633919715881E-2</v>
      </c>
    </row>
    <row r="11" spans="1:142" x14ac:dyDescent="0.55000000000000004">
      <c r="B11" s="14" t="s">
        <v>145</v>
      </c>
      <c r="C11" s="13">
        <v>4.0603967499919241E-4</v>
      </c>
      <c r="D11" s="13">
        <v>5.033792182803154E-2</v>
      </c>
      <c r="E11" s="13">
        <v>-3.8914486765861511E-2</v>
      </c>
      <c r="F11" s="13">
        <v>-1.194990426301956E-2</v>
      </c>
      <c r="G11" s="13">
        <v>-3.4719966351985931E-3</v>
      </c>
      <c r="H11" s="13">
        <v>-1.7202273011207581E-2</v>
      </c>
      <c r="I11" s="13">
        <v>3.4106865525245673E-2</v>
      </c>
      <c r="J11" s="13">
        <v>3.247595950961113E-2</v>
      </c>
      <c r="K11" s="13">
        <v>3.4649442881345749E-2</v>
      </c>
      <c r="L11" s="13">
        <v>-0.14336225390434271</v>
      </c>
      <c r="M11" s="13">
        <v>-2.938468940556049E-2</v>
      </c>
      <c r="N11" s="13">
        <v>1.8640816211700439E-2</v>
      </c>
      <c r="O11" s="13">
        <v>3.4841738641262048E-2</v>
      </c>
      <c r="P11" s="13">
        <v>-6.0275918804109097E-4</v>
      </c>
      <c r="Q11" s="13">
        <v>-1.1749310418963431E-2</v>
      </c>
      <c r="R11" s="13">
        <v>1.7349295318126678E-2</v>
      </c>
      <c r="S11" s="13">
        <v>4.1421286761760712E-2</v>
      </c>
      <c r="T11" s="13">
        <v>-4.5294873416423798E-2</v>
      </c>
      <c r="U11" s="13">
        <v>-6.3638943247497082E-3</v>
      </c>
      <c r="V11" s="13">
        <v>3.342755138874054E-2</v>
      </c>
      <c r="W11" s="13">
        <v>3.600490465760231E-2</v>
      </c>
      <c r="X11" s="13">
        <v>-6.4424417912960052E-2</v>
      </c>
      <c r="Y11" s="13">
        <v>-5.0558405928313732E-3</v>
      </c>
      <c r="Z11" s="13">
        <v>-2.7877837419509891E-2</v>
      </c>
      <c r="AA11" s="13">
        <v>3.861604630947113E-2</v>
      </c>
      <c r="AB11" s="13">
        <v>-4.1370157152414322E-2</v>
      </c>
      <c r="AC11" s="13">
        <v>-2.444838359951973E-2</v>
      </c>
      <c r="AD11" s="13">
        <v>4.1641086339950562E-2</v>
      </c>
      <c r="AE11" s="13">
        <v>-9.2225760221481323E-2</v>
      </c>
      <c r="AF11" s="13">
        <v>-2.9623918235301971E-2</v>
      </c>
      <c r="AG11" s="13">
        <v>7.2603732347488403E-2</v>
      </c>
      <c r="AH11" s="13">
        <v>-2.5543451309204102E-2</v>
      </c>
      <c r="AI11" s="13">
        <v>2.6856813579797741E-2</v>
      </c>
      <c r="AJ11" s="13">
        <v>-3.6161798983812332E-2</v>
      </c>
      <c r="AK11" s="13">
        <v>-2.3803045973181721E-2</v>
      </c>
      <c r="AL11" s="13">
        <v>-2.6720678433775902E-3</v>
      </c>
      <c r="AM11" s="13">
        <v>-3.301555290818214E-3</v>
      </c>
      <c r="AN11" s="13">
        <v>7.7517644967883825E-5</v>
      </c>
      <c r="AO11" s="13">
        <v>-6.8618282675743103E-2</v>
      </c>
      <c r="AP11" s="13">
        <v>3.7031527608633041E-2</v>
      </c>
      <c r="AQ11" s="13">
        <v>2.3109108209609989E-2</v>
      </c>
      <c r="AR11" s="13">
        <v>-7.1197360754013062E-2</v>
      </c>
      <c r="AS11" s="13">
        <v>-4.7974057495594018E-2</v>
      </c>
      <c r="AT11" s="13">
        <v>-6.1735827475786209E-2</v>
      </c>
      <c r="AU11" s="13">
        <v>1.724289171397686E-2</v>
      </c>
      <c r="AV11" s="13">
        <v>-5.7472378015518188E-2</v>
      </c>
      <c r="AW11" s="13">
        <v>-6.2709540128707886E-2</v>
      </c>
      <c r="AX11" s="13">
        <v>-5.8146975934505463E-2</v>
      </c>
      <c r="AY11" s="13">
        <v>0.1052219867706299</v>
      </c>
      <c r="AZ11" s="13">
        <v>1.116979215294123E-2</v>
      </c>
      <c r="BA11" s="13">
        <v>3.6679205950349569E-3</v>
      </c>
      <c r="BB11" s="13">
        <v>1.8173787742853161E-2</v>
      </c>
      <c r="BC11" s="13">
        <v>5.2103251218795776E-3</v>
      </c>
      <c r="BD11" s="13">
        <v>1.384157687425613E-3</v>
      </c>
      <c r="BE11" s="13">
        <v>6.3530579209327698E-3</v>
      </c>
      <c r="BF11" s="13">
        <v>1.0895224288105959E-2</v>
      </c>
      <c r="BG11" s="13">
        <v>-3.511882852762938E-3</v>
      </c>
      <c r="BH11" s="13">
        <v>5.6244018487632266E-3</v>
      </c>
      <c r="BI11" s="13">
        <v>6.7682020366191864E-2</v>
      </c>
      <c r="BJ11" s="13">
        <v>3.9736120961606503E-3</v>
      </c>
      <c r="BK11" s="13">
        <v>3.06558832526207E-2</v>
      </c>
      <c r="BL11" s="13">
        <v>-1.213217433542013E-2</v>
      </c>
      <c r="BM11" s="13">
        <v>-2.099542878568172E-3</v>
      </c>
      <c r="BN11" s="13">
        <v>1.6873575747013089E-2</v>
      </c>
      <c r="BO11" s="13">
        <v>-1.410196349024773E-2</v>
      </c>
      <c r="BP11" s="13">
        <v>8.5541605949401855E-3</v>
      </c>
      <c r="BQ11" s="13">
        <v>-1.843594387173653E-2</v>
      </c>
      <c r="BR11" s="13">
        <v>-1.3599623925983909E-2</v>
      </c>
      <c r="BS11" s="13">
        <v>-1.4013238251209259E-3</v>
      </c>
      <c r="BT11" s="13">
        <v>3.7923485040664673E-2</v>
      </c>
      <c r="BU11" s="13">
        <v>1.2471701018512251E-2</v>
      </c>
      <c r="BV11" s="13">
        <v>-4.7056503593921661E-2</v>
      </c>
      <c r="BW11" s="13">
        <v>2.1625479683279991E-2</v>
      </c>
      <c r="BX11" s="13">
        <v>3.5244729369878769E-3</v>
      </c>
      <c r="BY11" s="13">
        <v>3.00147756934166E-3</v>
      </c>
      <c r="BZ11" s="13">
        <v>-1.2442688457667829E-2</v>
      </c>
      <c r="CA11" s="13">
        <v>4.5838907361030579E-2</v>
      </c>
      <c r="CB11" s="13">
        <v>-9.8906513303518295E-3</v>
      </c>
      <c r="CC11" s="13">
        <v>-2.804244169965386E-3</v>
      </c>
      <c r="CD11" s="13">
        <v>-8.6774525698274374E-4</v>
      </c>
      <c r="CE11" s="13">
        <v>9.1528939083218575E-3</v>
      </c>
      <c r="CF11" s="13">
        <v>2.271990850567818E-2</v>
      </c>
      <c r="CG11" s="13">
        <v>3.3768331632018089E-3</v>
      </c>
      <c r="CH11" s="13">
        <v>1.89636554569006E-2</v>
      </c>
      <c r="CI11" s="13">
        <v>9.1768182814121246E-2</v>
      </c>
      <c r="CJ11" s="13">
        <v>-6.3939411193132401E-3</v>
      </c>
      <c r="CK11" s="13">
        <v>1.4165259897708889E-2</v>
      </c>
      <c r="CL11" s="13">
        <v>4.0824571624398232E-3</v>
      </c>
      <c r="CM11" s="13">
        <v>1.057987939566374E-2</v>
      </c>
      <c r="CN11" s="13">
        <v>2.165891602635384E-2</v>
      </c>
      <c r="CO11" s="13">
        <v>0.14323921501636511</v>
      </c>
      <c r="CP11" s="13">
        <v>1.87258655205369E-3</v>
      </c>
      <c r="CQ11" s="13">
        <v>-3.9175484329462051E-2</v>
      </c>
      <c r="CR11" s="13">
        <v>-4.6743908897042266E-3</v>
      </c>
      <c r="CS11" s="13">
        <v>-3.9905324578285217E-2</v>
      </c>
      <c r="CT11" s="13">
        <v>5.7113836519420147E-3</v>
      </c>
      <c r="CU11" s="13">
        <v>1.7015844583511349E-2</v>
      </c>
      <c r="CV11" s="13">
        <v>-1.173017732799053E-2</v>
      </c>
      <c r="CW11" s="13">
        <v>-1.8561026081442829E-2</v>
      </c>
      <c r="CX11" s="13">
        <v>2.7230728417634961E-2</v>
      </c>
      <c r="CY11" s="13">
        <v>2.5908022653311491E-3</v>
      </c>
      <c r="CZ11" s="13">
        <v>6.3109919428825378E-2</v>
      </c>
      <c r="DA11" s="13">
        <v>3.5137373954057687E-2</v>
      </c>
      <c r="DB11" s="13">
        <v>7.0190709084272376E-3</v>
      </c>
      <c r="DC11" s="13">
        <v>1.0706442408263679E-3</v>
      </c>
      <c r="DD11" s="13">
        <v>2.7740933001041408E-3</v>
      </c>
      <c r="DE11" s="13">
        <v>-2.5716772302985191E-2</v>
      </c>
      <c r="DF11" s="13">
        <v>1.4139115810394289E-3</v>
      </c>
      <c r="DG11" s="13">
        <v>-9.6192983910441399E-3</v>
      </c>
      <c r="DH11" s="13">
        <v>-1.259769313037395E-3</v>
      </c>
      <c r="DI11" s="13">
        <v>-1.6325067728757858E-2</v>
      </c>
      <c r="DJ11" s="13">
        <v>-2.2702464833855629E-2</v>
      </c>
      <c r="DK11" s="13">
        <v>-3.4234081394970421E-3</v>
      </c>
      <c r="DL11" s="13">
        <v>1.948068151250482E-3</v>
      </c>
      <c r="DM11" s="13">
        <v>-0.25882810354232788</v>
      </c>
      <c r="DN11" s="13">
        <v>-4.3664040276780719E-4</v>
      </c>
      <c r="DO11" s="13">
        <v>1.356407813727856E-2</v>
      </c>
      <c r="DP11" s="13">
        <v>8.5415281355381012E-3</v>
      </c>
      <c r="DQ11" s="13">
        <v>5.5505207274109125E-4</v>
      </c>
      <c r="DR11" s="13">
        <v>2.8228277340531349E-2</v>
      </c>
      <c r="DS11" s="13">
        <v>1.2090692762285471E-3</v>
      </c>
      <c r="DT11" s="13">
        <v>3.7493379786610599E-3</v>
      </c>
      <c r="DU11" s="13">
        <v>1.854668371379375E-3</v>
      </c>
      <c r="DV11" s="13">
        <v>-2.3645691573619839E-2</v>
      </c>
      <c r="DW11" s="13">
        <v>-3.1537488102912898E-3</v>
      </c>
      <c r="DX11" s="13">
        <v>1.5400387346744541E-2</v>
      </c>
      <c r="DY11" s="13">
        <v>1.2764680199325079E-2</v>
      </c>
      <c r="DZ11" s="13">
        <v>3.1485959887504578E-2</v>
      </c>
      <c r="EA11" s="13">
        <v>7.2265844792127609E-3</v>
      </c>
      <c r="EB11" s="13">
        <v>-1.533120521344244E-3</v>
      </c>
      <c r="EC11" s="13">
        <v>2.0921340212225911E-2</v>
      </c>
      <c r="ED11" s="13">
        <v>-3.2300027087330818E-3</v>
      </c>
      <c r="EE11" s="13">
        <v>-0.10347997397184371</v>
      </c>
      <c r="EF11" s="13">
        <v>4.9948068335652351E-3</v>
      </c>
      <c r="EG11" s="13">
        <v>8.221927285194397E-2</v>
      </c>
      <c r="EH11" s="13">
        <v>7.1446478366851807E-2</v>
      </c>
      <c r="EI11" s="13">
        <v>2.0742105320096019E-2</v>
      </c>
      <c r="EJ11" s="13">
        <v>4.8550190404057503E-3</v>
      </c>
      <c r="EK11" s="13">
        <v>1.1217719875276091E-3</v>
      </c>
      <c r="EL11" s="13">
        <v>-7.0758596062660217E-2</v>
      </c>
    </row>
    <row r="13" spans="1:142" x14ac:dyDescent="0.55000000000000004">
      <c r="A13" s="12" t="s">
        <v>281</v>
      </c>
      <c r="B13" s="11" t="s">
        <v>143</v>
      </c>
      <c r="C13" s="12">
        <f t="shared" ref="C13:AH13" si="0">(C3-C9)^2</f>
        <v>4.4825427345622769E-4</v>
      </c>
      <c r="D13" s="12">
        <f t="shared" si="0"/>
        <v>8.1191979777989448E-4</v>
      </c>
      <c r="E13" s="12">
        <f t="shared" si="0"/>
        <v>3.1232090243974442E-2</v>
      </c>
      <c r="F13" s="12">
        <f t="shared" si="0"/>
        <v>1.4411236074888228E-2</v>
      </c>
      <c r="G13" s="12">
        <f t="shared" si="0"/>
        <v>1.8585061258337553E-3</v>
      </c>
      <c r="H13" s="12">
        <f t="shared" si="0"/>
        <v>1.7759780439772278E-3</v>
      </c>
      <c r="I13" s="12">
        <f t="shared" si="0"/>
        <v>8.8710807155618378E-4</v>
      </c>
      <c r="J13" s="12">
        <f t="shared" si="0"/>
        <v>1.1712904284076724E-3</v>
      </c>
      <c r="K13" s="12">
        <f t="shared" si="0"/>
        <v>3.381605486691348E-3</v>
      </c>
      <c r="L13" s="12">
        <f t="shared" si="0"/>
        <v>2.3817511013723156E-3</v>
      </c>
      <c r="M13" s="12">
        <f t="shared" si="0"/>
        <v>1.0460865922911284E-3</v>
      </c>
      <c r="N13" s="12">
        <f t="shared" si="0"/>
        <v>5.1161063468360794E-3</v>
      </c>
      <c r="O13" s="12">
        <f t="shared" si="0"/>
        <v>4.2364723963723271E-3</v>
      </c>
      <c r="P13" s="12">
        <f t="shared" si="0"/>
        <v>3.1256943638467748E-3</v>
      </c>
      <c r="Q13" s="12">
        <f t="shared" si="0"/>
        <v>7.3142280468980331E-4</v>
      </c>
      <c r="R13" s="12">
        <f t="shared" si="0"/>
        <v>2.2217023739136868E-3</v>
      </c>
      <c r="S13" s="12">
        <f t="shared" si="0"/>
        <v>6.311440231457916E-3</v>
      </c>
      <c r="T13" s="12">
        <f t="shared" si="0"/>
        <v>2.2106290080345291E-5</v>
      </c>
      <c r="U13" s="12">
        <f t="shared" si="0"/>
        <v>7.4110037444716009E-4</v>
      </c>
      <c r="V13" s="12">
        <f t="shared" si="0"/>
        <v>1.1781795329584286E-4</v>
      </c>
      <c r="W13" s="12">
        <f t="shared" si="0"/>
        <v>9.7715431899707771E-4</v>
      </c>
      <c r="X13" s="12">
        <f t="shared" si="0"/>
        <v>2.1616681222712615E-3</v>
      </c>
      <c r="Y13" s="12">
        <f t="shared" si="0"/>
        <v>5.1782222728988309E-5</v>
      </c>
      <c r="Z13" s="12">
        <f t="shared" si="0"/>
        <v>4.6531771270697902E-4</v>
      </c>
      <c r="AA13" s="12">
        <f t="shared" si="0"/>
        <v>1.4610391089474623E-3</v>
      </c>
      <c r="AB13" s="12">
        <f t="shared" si="0"/>
        <v>5.0456883213880338E-3</v>
      </c>
      <c r="AC13" s="12">
        <f t="shared" si="0"/>
        <v>5.8060513014223353E-6</v>
      </c>
      <c r="AD13" s="12">
        <f t="shared" si="0"/>
        <v>1.9255726460857238E-4</v>
      </c>
      <c r="AE13" s="12">
        <f t="shared" si="0"/>
        <v>6.5191226408350825E-3</v>
      </c>
      <c r="AF13" s="12">
        <f t="shared" si="0"/>
        <v>2.9895580510070096E-3</v>
      </c>
      <c r="AG13" s="12">
        <f t="shared" si="0"/>
        <v>8.1535428297738926E-4</v>
      </c>
      <c r="AH13" s="12">
        <f t="shared" si="0"/>
        <v>9.6283906039440251E-5</v>
      </c>
      <c r="AI13" s="12">
        <f t="shared" ref="AI13:BN13" si="1">(AI3-AI9)^2</f>
        <v>1.6120524522607682E-3</v>
      </c>
      <c r="AJ13" s="12">
        <f t="shared" si="1"/>
        <v>7.2213561234434022E-3</v>
      </c>
      <c r="AK13" s="12">
        <f t="shared" si="1"/>
        <v>1.9006702131557152E-4</v>
      </c>
      <c r="AL13" s="12">
        <f t="shared" si="1"/>
        <v>5.2070042584068856E-3</v>
      </c>
      <c r="AM13" s="12">
        <f t="shared" si="1"/>
        <v>2.0752483003694459E-4</v>
      </c>
      <c r="AN13" s="12">
        <f t="shared" si="1"/>
        <v>9.6000899941929355E-3</v>
      </c>
      <c r="AO13" s="12">
        <f t="shared" si="1"/>
        <v>4.3023161083089129E-4</v>
      </c>
      <c r="AP13" s="12">
        <f t="shared" si="1"/>
        <v>6.5825660962343574E-5</v>
      </c>
      <c r="AQ13" s="12">
        <f t="shared" si="1"/>
        <v>8.0837287523160967E-3</v>
      </c>
      <c r="AR13" s="12">
        <f t="shared" si="1"/>
        <v>2.8486775699915002E-3</v>
      </c>
      <c r="AS13" s="12">
        <f t="shared" si="1"/>
        <v>4.1301468987108686E-4</v>
      </c>
      <c r="AT13" s="12">
        <f t="shared" si="1"/>
        <v>1.202356868936349E-3</v>
      </c>
      <c r="AU13" s="12">
        <f t="shared" si="1"/>
        <v>5.7482361291589486E-3</v>
      </c>
      <c r="AV13" s="12">
        <f t="shared" si="1"/>
        <v>6.4401076591347924E-3</v>
      </c>
      <c r="AW13" s="12">
        <f t="shared" si="1"/>
        <v>1.0715750052789203E-7</v>
      </c>
      <c r="AX13" s="12">
        <f t="shared" si="1"/>
        <v>1.5437135143491244E-4</v>
      </c>
      <c r="AY13" s="12">
        <f t="shared" si="1"/>
        <v>7.9574945959519892E-4</v>
      </c>
      <c r="AZ13" s="12">
        <f t="shared" si="1"/>
        <v>8.599417408087528E-4</v>
      </c>
      <c r="BA13" s="12">
        <f t="shared" si="1"/>
        <v>7.2799259485744816E-3</v>
      </c>
      <c r="BB13" s="12">
        <f t="shared" si="1"/>
        <v>3.0868913428844166E-3</v>
      </c>
      <c r="BC13" s="12">
        <f t="shared" si="1"/>
        <v>1.1435863987220228E-4</v>
      </c>
      <c r="BD13" s="12">
        <f t="shared" si="1"/>
        <v>1.057396883141689E-4</v>
      </c>
      <c r="BE13" s="12">
        <f t="shared" si="1"/>
        <v>2.333711084008371E-3</v>
      </c>
      <c r="BF13" s="12">
        <f t="shared" si="1"/>
        <v>2.8884278957084179E-3</v>
      </c>
      <c r="BG13" s="12">
        <f t="shared" si="1"/>
        <v>5.8360294873449788E-4</v>
      </c>
      <c r="BH13" s="12">
        <f t="shared" si="1"/>
        <v>5.2232556925851468E-3</v>
      </c>
      <c r="BI13" s="12">
        <f t="shared" si="1"/>
        <v>3.3308803532310668E-3</v>
      </c>
      <c r="BJ13" s="12">
        <f t="shared" si="1"/>
        <v>7.3340193546164783E-3</v>
      </c>
      <c r="BK13" s="12">
        <f t="shared" si="1"/>
        <v>6.1031627209086696E-5</v>
      </c>
      <c r="BL13" s="12">
        <f t="shared" si="1"/>
        <v>1.166994881402602E-4</v>
      </c>
      <c r="BM13" s="12">
        <f t="shared" si="1"/>
        <v>1.6628512360495767E-2</v>
      </c>
      <c r="BN13" s="12">
        <f t="shared" si="1"/>
        <v>4.4305649315365192E-4</v>
      </c>
      <c r="BO13" s="12">
        <f t="shared" ref="BO13:CT13" si="2">(BO3-BO9)^2</f>
        <v>4.6791169053148399E-4</v>
      </c>
      <c r="BP13" s="12">
        <f t="shared" si="2"/>
        <v>5.9739237016921902E-7</v>
      </c>
      <c r="BQ13" s="12">
        <f t="shared" si="2"/>
        <v>2.6488105935787768E-4</v>
      </c>
      <c r="BR13" s="12">
        <f t="shared" si="2"/>
        <v>3.163597218732986E-4</v>
      </c>
      <c r="BS13" s="12">
        <f t="shared" si="2"/>
        <v>2.7611498156488882E-4</v>
      </c>
      <c r="BT13" s="12">
        <f t="shared" si="2"/>
        <v>1.077418440297751E-4</v>
      </c>
      <c r="BU13" s="12">
        <f t="shared" si="2"/>
        <v>2.4553309165421342E-3</v>
      </c>
      <c r="BV13" s="12">
        <f t="shared" si="2"/>
        <v>7.0555779368104872E-3</v>
      </c>
      <c r="BW13" s="12">
        <f t="shared" si="2"/>
        <v>1.4145882639377753E-3</v>
      </c>
      <c r="BX13" s="12">
        <f t="shared" si="2"/>
        <v>1.3325458667547724E-5</v>
      </c>
      <c r="BY13" s="12">
        <f t="shared" si="2"/>
        <v>1.4756268510130152E-4</v>
      </c>
      <c r="BZ13" s="12">
        <f t="shared" si="2"/>
        <v>1.8135758979943744E-4</v>
      </c>
      <c r="CA13" s="12">
        <f t="shared" si="2"/>
        <v>5.3940992504293173E-3</v>
      </c>
      <c r="CB13" s="12">
        <f t="shared" si="2"/>
        <v>3.5799030393910596E-3</v>
      </c>
      <c r="CC13" s="12">
        <f t="shared" si="2"/>
        <v>1.0035865891996135E-3</v>
      </c>
      <c r="CD13" s="12">
        <f t="shared" si="2"/>
        <v>4.32639632154045E-5</v>
      </c>
      <c r="CE13" s="12">
        <f t="shared" si="2"/>
        <v>2.3727622400639522E-4</v>
      </c>
      <c r="CF13" s="12">
        <f t="shared" si="2"/>
        <v>1.4650116917094089E-5</v>
      </c>
      <c r="CG13" s="12">
        <f t="shared" si="2"/>
        <v>9.9015618379017997E-4</v>
      </c>
      <c r="CH13" s="12">
        <f t="shared" si="2"/>
        <v>1.3377796499086319E-4</v>
      </c>
      <c r="CI13" s="12">
        <f t="shared" si="2"/>
        <v>2.1803332074401332E-4</v>
      </c>
      <c r="CJ13" s="12">
        <f t="shared" si="2"/>
        <v>4.7665652353888931E-5</v>
      </c>
      <c r="CK13" s="12">
        <f t="shared" si="2"/>
        <v>3.6777404254667197E-3</v>
      </c>
      <c r="CL13" s="12">
        <f t="shared" si="2"/>
        <v>4.0283109964907277E-5</v>
      </c>
      <c r="CM13" s="12">
        <f t="shared" si="2"/>
        <v>6.6696748966520072E-4</v>
      </c>
      <c r="CN13" s="12">
        <f t="shared" si="2"/>
        <v>3.7128364971829395E-4</v>
      </c>
      <c r="CO13" s="12">
        <f t="shared" si="2"/>
        <v>5.2013691267577482E-7</v>
      </c>
      <c r="CP13" s="12">
        <f t="shared" si="2"/>
        <v>4.7140963246169645E-3</v>
      </c>
      <c r="CQ13" s="12">
        <f t="shared" si="2"/>
        <v>2.6224143523655507E-5</v>
      </c>
      <c r="CR13" s="12">
        <f t="shared" si="2"/>
        <v>2.8176731577147732E-3</v>
      </c>
      <c r="CS13" s="12">
        <f t="shared" si="2"/>
        <v>1.0912859136595558E-3</v>
      </c>
      <c r="CT13" s="12">
        <f t="shared" si="2"/>
        <v>4.8853740749978363E-4</v>
      </c>
      <c r="CU13" s="12">
        <f t="shared" ref="CU13:DZ13" si="3">(CU3-CU9)^2</f>
        <v>2.6782508579453313E-5</v>
      </c>
      <c r="CV13" s="12">
        <f t="shared" si="3"/>
        <v>9.7427422043994615E-4</v>
      </c>
      <c r="CW13" s="12">
        <f t="shared" si="3"/>
        <v>2.7750864524995371E-4</v>
      </c>
      <c r="CX13" s="12">
        <f t="shared" si="3"/>
        <v>7.2688780620870424E-3</v>
      </c>
      <c r="CY13" s="12">
        <f t="shared" si="3"/>
        <v>1.589644756387133E-4</v>
      </c>
      <c r="CZ13" s="12">
        <f t="shared" si="3"/>
        <v>1.0957643739908181E-3</v>
      </c>
      <c r="DA13" s="12">
        <f t="shared" si="3"/>
        <v>2.8198280147765415E-5</v>
      </c>
      <c r="DB13" s="12">
        <f t="shared" si="3"/>
        <v>1.871975265921125E-4</v>
      </c>
      <c r="DC13" s="12">
        <f t="shared" si="3"/>
        <v>2.6859045388228325E-3</v>
      </c>
      <c r="DD13" s="12">
        <f t="shared" si="3"/>
        <v>7.6237118199207581E-3</v>
      </c>
      <c r="DE13" s="12">
        <f t="shared" si="3"/>
        <v>2.4515096378553339E-4</v>
      </c>
      <c r="DF13" s="12">
        <f t="shared" si="3"/>
        <v>5.940745479119822E-5</v>
      </c>
      <c r="DG13" s="12">
        <f t="shared" si="3"/>
        <v>1.4565682462034969E-5</v>
      </c>
      <c r="DH13" s="12">
        <f t="shared" si="3"/>
        <v>3.4454571905226064E-2</v>
      </c>
      <c r="DI13" s="12">
        <f t="shared" si="3"/>
        <v>1.5028469317123512E-5</v>
      </c>
      <c r="DJ13" s="12">
        <f t="shared" si="3"/>
        <v>2.1894068376852177E-4</v>
      </c>
      <c r="DK13" s="12">
        <f t="shared" si="3"/>
        <v>1.3719277884679203E-4</v>
      </c>
      <c r="DL13" s="12">
        <f t="shared" si="3"/>
        <v>1.6310647197629027E-3</v>
      </c>
      <c r="DM13" s="12">
        <f t="shared" si="3"/>
        <v>9.8401925492211922E-3</v>
      </c>
      <c r="DN13" s="12">
        <f t="shared" si="3"/>
        <v>1.6847111304863194E-5</v>
      </c>
      <c r="DO13" s="12">
        <f t="shared" si="3"/>
        <v>8.3910136339910586E-3</v>
      </c>
      <c r="DP13" s="12">
        <f t="shared" si="3"/>
        <v>8.4675376123880791E-5</v>
      </c>
      <c r="DQ13" s="12">
        <f t="shared" si="3"/>
        <v>7.482587412736087E-5</v>
      </c>
      <c r="DR13" s="12">
        <f t="shared" si="3"/>
        <v>4.474346686489735E-5</v>
      </c>
      <c r="DS13" s="12">
        <f t="shared" si="3"/>
        <v>8.4252491835870927E-3</v>
      </c>
      <c r="DT13" s="12">
        <f t="shared" si="3"/>
        <v>7.0758045479613788E-6</v>
      </c>
      <c r="DU13" s="12">
        <f t="shared" si="3"/>
        <v>6.5128991636211639E-5</v>
      </c>
      <c r="DV13" s="12">
        <f t="shared" si="3"/>
        <v>6.2195617121001124E-4</v>
      </c>
      <c r="DW13" s="12">
        <f t="shared" si="3"/>
        <v>1.2519728974655496E-2</v>
      </c>
      <c r="DX13" s="12">
        <f t="shared" si="3"/>
        <v>1.6040308357977566E-10</v>
      </c>
      <c r="DY13" s="12">
        <f t="shared" si="3"/>
        <v>4.7529300164465939E-3</v>
      </c>
      <c r="DZ13" s="12">
        <f t="shared" si="3"/>
        <v>1.8299854048581751E-3</v>
      </c>
      <c r="EA13" s="12">
        <f t="shared" ref="EA13:EL13" si="4">(EA3-EA9)^2</f>
        <v>1.2232822466101023E-6</v>
      </c>
      <c r="EB13" s="12">
        <f t="shared" si="4"/>
        <v>5.898981735728801E-3</v>
      </c>
      <c r="EC13" s="12">
        <f t="shared" si="4"/>
        <v>1.1142307833872599E-3</v>
      </c>
      <c r="ED13" s="12">
        <f t="shared" si="4"/>
        <v>9.4385903948602384E-5</v>
      </c>
      <c r="EE13" s="12">
        <f t="shared" si="4"/>
        <v>8.8562273412994583E-6</v>
      </c>
      <c r="EF13" s="12">
        <f t="shared" si="4"/>
        <v>1.707325257381111E-4</v>
      </c>
      <c r="EG13" s="12">
        <f t="shared" si="4"/>
        <v>1.0473799517387577E-5</v>
      </c>
      <c r="EH13" s="12">
        <f t="shared" si="4"/>
        <v>9.8942172379596184E-4</v>
      </c>
      <c r="EI13" s="12">
        <f t="shared" si="4"/>
        <v>5.4238462194772837E-4</v>
      </c>
      <c r="EJ13" s="12">
        <f t="shared" si="4"/>
        <v>1.2183937483254579E-4</v>
      </c>
      <c r="EK13" s="12">
        <f t="shared" si="4"/>
        <v>5.3757964961790639E-4</v>
      </c>
      <c r="EL13" s="12">
        <f t="shared" si="4"/>
        <v>3.6228880450228423E-4</v>
      </c>
    </row>
    <row r="14" spans="1:142" x14ac:dyDescent="0.55000000000000004">
      <c r="B14" s="11" t="s">
        <v>144</v>
      </c>
      <c r="C14" s="12">
        <f t="shared" ref="C14:AH14" si="5">(C4-C10)^2</f>
        <v>3.5674493183065282E-3</v>
      </c>
      <c r="D14" s="12">
        <f t="shared" si="5"/>
        <v>6.7998120361803709E-3</v>
      </c>
      <c r="E14" s="12">
        <f t="shared" si="5"/>
        <v>9.7532071681046548E-4</v>
      </c>
      <c r="F14" s="12">
        <f t="shared" si="5"/>
        <v>5.1108626365336772E-3</v>
      </c>
      <c r="G14" s="12">
        <f t="shared" si="5"/>
        <v>4.9221322633070403E-3</v>
      </c>
      <c r="H14" s="12">
        <f t="shared" si="5"/>
        <v>1.0705387075956307E-3</v>
      </c>
      <c r="I14" s="12">
        <f t="shared" si="5"/>
        <v>3.2579004148767803E-3</v>
      </c>
      <c r="J14" s="12">
        <f t="shared" si="5"/>
        <v>1.0312144776170019E-3</v>
      </c>
      <c r="K14" s="12">
        <f t="shared" si="5"/>
        <v>2.3461323196032158E-3</v>
      </c>
      <c r="L14" s="12">
        <f t="shared" si="5"/>
        <v>6.723240527978889E-3</v>
      </c>
      <c r="M14" s="12">
        <f t="shared" si="5"/>
        <v>1.736696212246648E-4</v>
      </c>
      <c r="N14" s="12">
        <f t="shared" si="5"/>
        <v>1.5766129676004801E-2</v>
      </c>
      <c r="O14" s="12">
        <f t="shared" si="5"/>
        <v>6.3826763206809175E-4</v>
      </c>
      <c r="P14" s="12">
        <f t="shared" si="5"/>
        <v>9.8935245898084043E-3</v>
      </c>
      <c r="Q14" s="12">
        <f t="shared" si="5"/>
        <v>7.1142842062573586E-3</v>
      </c>
      <c r="R14" s="12">
        <f t="shared" si="5"/>
        <v>1.7912098070890479E-2</v>
      </c>
      <c r="S14" s="12">
        <f t="shared" si="5"/>
        <v>3.8127307076270688E-3</v>
      </c>
      <c r="T14" s="12">
        <f t="shared" si="5"/>
        <v>5.4549001464933766E-4</v>
      </c>
      <c r="U14" s="12">
        <f t="shared" si="5"/>
        <v>3.0737230825667764E-2</v>
      </c>
      <c r="V14" s="12">
        <f t="shared" si="5"/>
        <v>1.1535823890695954E-4</v>
      </c>
      <c r="W14" s="12">
        <f t="shared" si="5"/>
        <v>1.9426737282971982E-4</v>
      </c>
      <c r="X14" s="12">
        <f t="shared" si="5"/>
        <v>9.927058683724376E-5</v>
      </c>
      <c r="Y14" s="12">
        <f t="shared" si="5"/>
        <v>6.9429036083649819E-3</v>
      </c>
      <c r="Z14" s="12">
        <f t="shared" si="5"/>
        <v>3.6335242199673232E-4</v>
      </c>
      <c r="AA14" s="12">
        <f t="shared" si="5"/>
        <v>0.10676856609094609</v>
      </c>
      <c r="AB14" s="12">
        <f t="shared" si="5"/>
        <v>5.4340746006539039E-4</v>
      </c>
      <c r="AC14" s="12">
        <f t="shared" si="5"/>
        <v>1.6935489354207983E-3</v>
      </c>
      <c r="AD14" s="12">
        <f t="shared" si="5"/>
        <v>2.1148660045804191E-5</v>
      </c>
      <c r="AE14" s="12">
        <f t="shared" si="5"/>
        <v>2.8411068768882317E-3</v>
      </c>
      <c r="AF14" s="12">
        <f t="shared" si="5"/>
        <v>9.7154575006497771E-3</v>
      </c>
      <c r="AG14" s="12">
        <f t="shared" si="5"/>
        <v>5.7292907316869128E-4</v>
      </c>
      <c r="AH14" s="12">
        <f t="shared" si="5"/>
        <v>2.3465127951708001E-3</v>
      </c>
      <c r="AI14" s="12">
        <f t="shared" ref="AI14:BN14" si="6">(AI4-AI10)^2</f>
        <v>3.7384654748423839E-4</v>
      </c>
      <c r="AJ14" s="12">
        <f t="shared" si="6"/>
        <v>3.0742548386098224E-3</v>
      </c>
      <c r="AK14" s="12">
        <f t="shared" si="6"/>
        <v>6.023159940075301E-5</v>
      </c>
      <c r="AL14" s="12">
        <f t="shared" si="6"/>
        <v>6.3491962812801429E-3</v>
      </c>
      <c r="AM14" s="12">
        <f t="shared" si="6"/>
        <v>1.5566957987764551E-4</v>
      </c>
      <c r="AN14" s="12">
        <f t="shared" si="6"/>
        <v>1.7280357781902051E-4</v>
      </c>
      <c r="AO14" s="12">
        <f t="shared" si="6"/>
        <v>0.2613477128437619</v>
      </c>
      <c r="AP14" s="12">
        <f t="shared" si="6"/>
        <v>1.6678836539454238E-4</v>
      </c>
      <c r="AQ14" s="12">
        <f t="shared" si="6"/>
        <v>6.6401680884182232E-6</v>
      </c>
      <c r="AR14" s="12">
        <f t="shared" si="6"/>
        <v>8.6485274617190922E-5</v>
      </c>
      <c r="AS14" s="12">
        <f t="shared" si="6"/>
        <v>2.4164210293855285E-6</v>
      </c>
      <c r="AT14" s="12">
        <f t="shared" si="6"/>
        <v>1.4900394602702685E-2</v>
      </c>
      <c r="AU14" s="12">
        <f t="shared" si="6"/>
        <v>1.3030422274478955E-4</v>
      </c>
      <c r="AV14" s="12">
        <f t="shared" si="6"/>
        <v>4.9747625222046853E-4</v>
      </c>
      <c r="AW14" s="12">
        <f t="shared" si="6"/>
        <v>0.84659616722468756</v>
      </c>
      <c r="AX14" s="12">
        <f t="shared" si="6"/>
        <v>5.4533541200252698E-3</v>
      </c>
      <c r="AY14" s="12">
        <f t="shared" si="6"/>
        <v>6.2419158195419074E-4</v>
      </c>
      <c r="AZ14" s="12">
        <f t="shared" si="6"/>
        <v>3.6672086347057256E-4</v>
      </c>
      <c r="BA14" s="12">
        <f t="shared" si="6"/>
        <v>2.7933137559027583E-3</v>
      </c>
      <c r="BB14" s="12">
        <f t="shared" si="6"/>
        <v>7.2781129938242761E-3</v>
      </c>
      <c r="BC14" s="12">
        <f t="shared" si="6"/>
        <v>1.0034438641152938E-3</v>
      </c>
      <c r="BD14" s="12">
        <f t="shared" si="6"/>
        <v>0.12008650166766671</v>
      </c>
      <c r="BE14" s="12">
        <f t="shared" si="6"/>
        <v>3.5812713944497742E-6</v>
      </c>
      <c r="BF14" s="12">
        <f t="shared" si="6"/>
        <v>1.6823252205332682E-6</v>
      </c>
      <c r="BG14" s="12">
        <f t="shared" si="6"/>
        <v>3.867360748287518E-4</v>
      </c>
      <c r="BH14" s="12">
        <f t="shared" si="6"/>
        <v>3.5482166145156193E-3</v>
      </c>
      <c r="BI14" s="12">
        <f t="shared" si="6"/>
        <v>1.8965900633176062E-4</v>
      </c>
      <c r="BJ14" s="12">
        <f t="shared" si="6"/>
        <v>5.9734176580736911E-5</v>
      </c>
      <c r="BK14" s="12">
        <f t="shared" si="6"/>
        <v>0.22047621415249496</v>
      </c>
      <c r="BL14" s="12">
        <f t="shared" si="6"/>
        <v>3.0318711688045666E-4</v>
      </c>
      <c r="BM14" s="12">
        <f t="shared" si="6"/>
        <v>1.3280802815001634E-3</v>
      </c>
      <c r="BN14" s="12">
        <f t="shared" si="6"/>
        <v>1.9149925838040809E-3</v>
      </c>
      <c r="BO14" s="12">
        <f t="shared" ref="BO14:CT14" si="7">(BO4-BO10)^2</f>
        <v>3.4276490287323646E-3</v>
      </c>
      <c r="BP14" s="12">
        <f t="shared" si="7"/>
        <v>2.4984502508613787E-4</v>
      </c>
      <c r="BQ14" s="12">
        <f t="shared" si="7"/>
        <v>4.4440388683052246E-3</v>
      </c>
      <c r="BR14" s="12">
        <f t="shared" si="7"/>
        <v>7.2621180921038895E-4</v>
      </c>
      <c r="BS14" s="12">
        <f t="shared" si="7"/>
        <v>3.5719113849697265E-4</v>
      </c>
      <c r="BT14" s="12">
        <f t="shared" si="7"/>
        <v>1.381324857688353E-3</v>
      </c>
      <c r="BU14" s="12">
        <f t="shared" si="7"/>
        <v>2.6366502965740825E-3</v>
      </c>
      <c r="BV14" s="12">
        <f t="shared" si="7"/>
        <v>1.2372586019886937E-2</v>
      </c>
      <c r="BW14" s="12">
        <f t="shared" si="7"/>
        <v>9.1378586239200549E-3</v>
      </c>
      <c r="BX14" s="12">
        <f t="shared" si="7"/>
        <v>1.0691293425354612E-3</v>
      </c>
      <c r="BY14" s="12">
        <f t="shared" si="7"/>
        <v>2.6067919509658731E-4</v>
      </c>
      <c r="BZ14" s="12">
        <f t="shared" si="7"/>
        <v>7.4329982147557086E-3</v>
      </c>
      <c r="CA14" s="12">
        <f t="shared" si="7"/>
        <v>4.7159389964652668E-4</v>
      </c>
      <c r="CB14" s="12">
        <f t="shared" si="7"/>
        <v>2.7731080154896736E-3</v>
      </c>
      <c r="CC14" s="12">
        <f t="shared" si="7"/>
        <v>7.597434861086255E-5</v>
      </c>
      <c r="CD14" s="12">
        <f t="shared" si="7"/>
        <v>5.2460062891681008E-4</v>
      </c>
      <c r="CE14" s="12">
        <f t="shared" si="7"/>
        <v>2.938629336458549E-4</v>
      </c>
      <c r="CF14" s="12">
        <f t="shared" si="7"/>
        <v>2.1416539248397964E-11</v>
      </c>
      <c r="CG14" s="12">
        <f t="shared" si="7"/>
        <v>2.2428774204816087E-5</v>
      </c>
      <c r="CH14" s="12">
        <f t="shared" si="7"/>
        <v>3.679116775431041E-5</v>
      </c>
      <c r="CI14" s="12">
        <f t="shared" si="7"/>
        <v>1.6012262988764132E-4</v>
      </c>
      <c r="CJ14" s="12">
        <f t="shared" si="7"/>
        <v>2.9298469932368532E-4</v>
      </c>
      <c r="CK14" s="12">
        <f t="shared" si="7"/>
        <v>1.0994443054972359E-5</v>
      </c>
      <c r="CL14" s="12">
        <f t="shared" si="7"/>
        <v>2.1229359601391491E-4</v>
      </c>
      <c r="CM14" s="12">
        <f t="shared" si="7"/>
        <v>7.9527102228694351E-4</v>
      </c>
      <c r="CN14" s="12">
        <f t="shared" si="7"/>
        <v>1.6816727094237373E-4</v>
      </c>
      <c r="CO14" s="12">
        <f t="shared" si="7"/>
        <v>7.2551086001707346E-5</v>
      </c>
      <c r="CP14" s="12">
        <f t="shared" si="7"/>
        <v>2.5742880721110802E-3</v>
      </c>
      <c r="CQ14" s="12">
        <f t="shared" si="7"/>
        <v>2.1805897012217335E-5</v>
      </c>
      <c r="CR14" s="12">
        <f t="shared" si="7"/>
        <v>1.4104861880892531E-2</v>
      </c>
      <c r="CS14" s="12">
        <f t="shared" si="7"/>
        <v>4.9538410637828822E-3</v>
      </c>
      <c r="CT14" s="12">
        <f t="shared" si="7"/>
        <v>1.8484352565033084E-5</v>
      </c>
      <c r="CU14" s="12">
        <f t="shared" ref="CU14:DZ14" si="8">(CU4-CU10)^2</f>
        <v>3.1480684696651363E-2</v>
      </c>
      <c r="CV14" s="12">
        <f t="shared" si="8"/>
        <v>1.363121250196706E-2</v>
      </c>
      <c r="CW14" s="12">
        <f t="shared" si="8"/>
        <v>1.0311971809647004E-2</v>
      </c>
      <c r="CX14" s="12">
        <f t="shared" si="8"/>
        <v>8.703444722474904E-2</v>
      </c>
      <c r="CY14" s="12">
        <f t="shared" si="8"/>
        <v>4.9347221469558215E-3</v>
      </c>
      <c r="CZ14" s="12">
        <f t="shared" si="8"/>
        <v>3.5942991472040012E-2</v>
      </c>
      <c r="DA14" s="12">
        <f t="shared" si="8"/>
        <v>2.7105794811087213E-3</v>
      </c>
      <c r="DB14" s="12">
        <f t="shared" si="8"/>
        <v>7.8887644591990689E-3</v>
      </c>
      <c r="DC14" s="12">
        <f t="shared" si="8"/>
        <v>2.2844985654821723E-6</v>
      </c>
      <c r="DD14" s="12">
        <f t="shared" si="8"/>
        <v>4.7294086770246395E-4</v>
      </c>
      <c r="DE14" s="12">
        <f t="shared" si="8"/>
        <v>4.4530840588401779E-3</v>
      </c>
      <c r="DF14" s="12">
        <f t="shared" si="8"/>
        <v>6.5750580238616695E-3</v>
      </c>
      <c r="DG14" s="12">
        <f t="shared" si="8"/>
        <v>1.1890720739801035E-3</v>
      </c>
      <c r="DH14" s="12">
        <f t="shared" si="8"/>
        <v>3.8954602532190511E-4</v>
      </c>
      <c r="DI14" s="12">
        <f t="shared" si="8"/>
        <v>6.9003019233240023E-4</v>
      </c>
      <c r="DJ14" s="12">
        <f t="shared" si="8"/>
        <v>1.064612808605218E-6</v>
      </c>
      <c r="DK14" s="12">
        <f t="shared" si="8"/>
        <v>2.1349487360601853E-3</v>
      </c>
      <c r="DL14" s="12">
        <f t="shared" si="8"/>
        <v>1.2739483215177478E-4</v>
      </c>
      <c r="DM14" s="12">
        <f t="shared" si="8"/>
        <v>7.7508637537930291E-3</v>
      </c>
      <c r="DN14" s="12">
        <f t="shared" si="8"/>
        <v>1.0660994110425084E-4</v>
      </c>
      <c r="DO14" s="12">
        <f t="shared" si="8"/>
        <v>1.7184605175594392E-2</v>
      </c>
      <c r="DP14" s="12">
        <f t="shared" si="8"/>
        <v>5.7314809703953903E-2</v>
      </c>
      <c r="DQ14" s="12">
        <f t="shared" si="8"/>
        <v>6.1190117341706068E-3</v>
      </c>
      <c r="DR14" s="12">
        <f t="shared" si="8"/>
        <v>1.6942919689259286E-2</v>
      </c>
      <c r="DS14" s="12">
        <f t="shared" si="8"/>
        <v>6.2348080195538978E-5</v>
      </c>
      <c r="DT14" s="12">
        <f t="shared" si="8"/>
        <v>4.5331575728925613E-4</v>
      </c>
      <c r="DU14" s="12">
        <f t="shared" si="8"/>
        <v>1.7874353439914965E-5</v>
      </c>
      <c r="DV14" s="12">
        <f t="shared" si="8"/>
        <v>6.0988247153518334E-3</v>
      </c>
      <c r="DW14" s="12">
        <f t="shared" si="8"/>
        <v>1.6414523372816688E-3</v>
      </c>
      <c r="DX14" s="12">
        <f t="shared" si="8"/>
        <v>3.731228084193859E-3</v>
      </c>
      <c r="DY14" s="12">
        <f t="shared" si="8"/>
        <v>3.0411185753707423E-5</v>
      </c>
      <c r="DZ14" s="12">
        <f t="shared" si="8"/>
        <v>5.097809634011641E-3</v>
      </c>
      <c r="EA14" s="12">
        <f t="shared" ref="EA14:EL14" si="9">(EA4-EA10)^2</f>
        <v>4.1183823722083495E-3</v>
      </c>
      <c r="EB14" s="12">
        <f t="shared" si="9"/>
        <v>4.6592097020904639E-4</v>
      </c>
      <c r="EC14" s="12">
        <f t="shared" si="9"/>
        <v>7.7398592116757298E-5</v>
      </c>
      <c r="ED14" s="12">
        <f t="shared" si="9"/>
        <v>4.5363015756083532E-4</v>
      </c>
      <c r="EE14" s="12">
        <f t="shared" si="9"/>
        <v>4.227053851060039E-3</v>
      </c>
      <c r="EF14" s="12">
        <f t="shared" si="9"/>
        <v>9.3752900042839873E-4</v>
      </c>
      <c r="EG14" s="12">
        <f t="shared" si="9"/>
        <v>2.9074339227801943E-3</v>
      </c>
      <c r="EH14" s="12">
        <f t="shared" si="9"/>
        <v>3.472921521489032E-4</v>
      </c>
      <c r="EI14" s="12">
        <f t="shared" si="9"/>
        <v>1.5593065249048153E-2</v>
      </c>
      <c r="EJ14" s="12">
        <f t="shared" si="9"/>
        <v>8.0385733078655892E-3</v>
      </c>
      <c r="EK14" s="12">
        <f t="shared" si="9"/>
        <v>1.814524389838094E-4</v>
      </c>
      <c r="EL14" s="12">
        <f t="shared" si="9"/>
        <v>2.319549901500636E-3</v>
      </c>
    </row>
    <row r="15" spans="1:142" x14ac:dyDescent="0.55000000000000004">
      <c r="B15" s="14" t="s">
        <v>145</v>
      </c>
      <c r="C15" s="12">
        <f t="shared" ref="C15:AH15" si="10">(C5-C11)^2</f>
        <v>2.9469049592197814E-4</v>
      </c>
      <c r="D15" s="12">
        <f t="shared" si="10"/>
        <v>5.4416320247927441E-4</v>
      </c>
      <c r="E15" s="12">
        <f t="shared" si="10"/>
        <v>3.0668788029517614E-3</v>
      </c>
      <c r="F15" s="12">
        <f t="shared" si="10"/>
        <v>1.1280017737768518E-3</v>
      </c>
      <c r="G15" s="12">
        <f t="shared" si="10"/>
        <v>9.8915230186850207E-4</v>
      </c>
      <c r="H15" s="12">
        <f t="shared" si="10"/>
        <v>1.2573777593128724E-3</v>
      </c>
      <c r="I15" s="12">
        <f t="shared" si="10"/>
        <v>1.3188871455939766E-4</v>
      </c>
      <c r="J15" s="12">
        <f t="shared" si="10"/>
        <v>6.80829939527621E-5</v>
      </c>
      <c r="K15" s="12">
        <f t="shared" si="10"/>
        <v>5.6700603321905136E-6</v>
      </c>
      <c r="L15" s="12">
        <f t="shared" si="10"/>
        <v>2.7250742390824798E-2</v>
      </c>
      <c r="M15" s="12">
        <f t="shared" si="10"/>
        <v>2.793726592505976E-3</v>
      </c>
      <c r="N15" s="12">
        <f t="shared" si="10"/>
        <v>1.2012217823406015E-4</v>
      </c>
      <c r="O15" s="12">
        <f t="shared" si="10"/>
        <v>1.6491185409407932E-5</v>
      </c>
      <c r="P15" s="12">
        <f t="shared" si="10"/>
        <v>2.1202153473577764E-4</v>
      </c>
      <c r="Q15" s="12">
        <f t="shared" si="10"/>
        <v>1.2708680209465105E-3</v>
      </c>
      <c r="R15" s="12">
        <f t="shared" si="10"/>
        <v>1.1934166699763916E-4</v>
      </c>
      <c r="S15" s="12">
        <f t="shared" si="10"/>
        <v>1.7275905986876005E-4</v>
      </c>
      <c r="T15" s="12">
        <f t="shared" si="10"/>
        <v>5.7891527437937094E-3</v>
      </c>
      <c r="U15" s="12">
        <f t="shared" si="10"/>
        <v>2.0570333071195665E-3</v>
      </c>
      <c r="V15" s="12">
        <f t="shared" si="10"/>
        <v>2.1106551121486653E-4</v>
      </c>
      <c r="W15" s="12">
        <f t="shared" si="10"/>
        <v>2.5219613738705052E-4</v>
      </c>
      <c r="X15" s="12">
        <f t="shared" si="10"/>
        <v>6.8851092366512103E-3</v>
      </c>
      <c r="Y15" s="12">
        <f t="shared" si="10"/>
        <v>5.9913398189631345E-4</v>
      </c>
      <c r="Z15" s="12">
        <f t="shared" si="10"/>
        <v>1.4669273692769988E-3</v>
      </c>
      <c r="AA15" s="12">
        <f t="shared" si="10"/>
        <v>3.4400619257067448E-5</v>
      </c>
      <c r="AB15" s="12">
        <f t="shared" si="10"/>
        <v>1.7364850199206609E-3</v>
      </c>
      <c r="AC15" s="12">
        <f t="shared" si="10"/>
        <v>2.950505934087451E-3</v>
      </c>
      <c r="AD15" s="12">
        <f t="shared" si="10"/>
        <v>1.3953533931236467E-3</v>
      </c>
      <c r="AE15" s="12">
        <f t="shared" si="10"/>
        <v>1.164185059227048E-2</v>
      </c>
      <c r="AF15" s="12">
        <f t="shared" si="10"/>
        <v>1.7886540844535448E-3</v>
      </c>
      <c r="AG15" s="12">
        <f t="shared" si="10"/>
        <v>2.1001710954169505E-3</v>
      </c>
      <c r="AH15" s="12">
        <f t="shared" si="10"/>
        <v>1.5012115142209004E-3</v>
      </c>
      <c r="AI15" s="12">
        <f t="shared" ref="AI15:BN15" si="11">(AI5-AI11)^2</f>
        <v>7.8625168473806046E-5</v>
      </c>
      <c r="AJ15" s="12">
        <f t="shared" si="11"/>
        <v>3.0265797424200241E-3</v>
      </c>
      <c r="AK15" s="12">
        <f t="shared" si="11"/>
        <v>1.9850816935637612E-3</v>
      </c>
      <c r="AL15" s="12">
        <f t="shared" si="11"/>
        <v>3.924862487141214E-4</v>
      </c>
      <c r="AM15" s="12">
        <f t="shared" si="11"/>
        <v>3.0190685380228848E-4</v>
      </c>
      <c r="AN15" s="12">
        <f t="shared" si="11"/>
        <v>5.0920161485826644E-5</v>
      </c>
      <c r="AO15" s="12">
        <f t="shared" si="11"/>
        <v>7.7488512509354349E-3</v>
      </c>
      <c r="AP15" s="12">
        <f t="shared" si="11"/>
        <v>3.3280772664451687E-4</v>
      </c>
      <c r="AQ15" s="12">
        <f t="shared" si="11"/>
        <v>7.060524803141401E-6</v>
      </c>
      <c r="AR15" s="12">
        <f t="shared" si="11"/>
        <v>9.1708718130942019E-3</v>
      </c>
      <c r="AS15" s="12">
        <f t="shared" si="11"/>
        <v>4.6754782264871392E-3</v>
      </c>
      <c r="AT15" s="12">
        <f t="shared" si="11"/>
        <v>6.4137907605014734E-3</v>
      </c>
      <c r="AU15" s="12">
        <f t="shared" si="11"/>
        <v>1.2439170707165799E-6</v>
      </c>
      <c r="AV15" s="12">
        <f t="shared" si="11"/>
        <v>7.7682574699850333E-3</v>
      </c>
      <c r="AW15" s="12">
        <f t="shared" si="11"/>
        <v>7.5483924638824812E-3</v>
      </c>
      <c r="AX15" s="12">
        <f t="shared" si="11"/>
        <v>7.6472637783069619E-3</v>
      </c>
      <c r="AY15" s="12">
        <f t="shared" si="11"/>
        <v>6.6744243814233677E-3</v>
      </c>
      <c r="AZ15" s="12">
        <f t="shared" si="11"/>
        <v>2.5289122764237332E-5</v>
      </c>
      <c r="BA15" s="12">
        <f t="shared" si="11"/>
        <v>4.2824100236373968E-4</v>
      </c>
      <c r="BB15" s="12">
        <f t="shared" si="11"/>
        <v>7.1503505720183476E-6</v>
      </c>
      <c r="BC15" s="12">
        <f t="shared" si="11"/>
        <v>1.8306633693766121E-4</v>
      </c>
      <c r="BD15" s="12">
        <f t="shared" si="11"/>
        <v>4.9627900330550926E-6</v>
      </c>
      <c r="BE15" s="12">
        <f t="shared" si="11"/>
        <v>5.0930793532820971E-5</v>
      </c>
      <c r="BF15" s="12">
        <f t="shared" si="11"/>
        <v>1.4410567083375061E-6</v>
      </c>
      <c r="BG15" s="12">
        <f t="shared" si="11"/>
        <v>9.4381753463184669E-5</v>
      </c>
      <c r="BH15" s="12">
        <f t="shared" si="11"/>
        <v>6.2427484297778704E-4</v>
      </c>
      <c r="BI15" s="12">
        <f t="shared" si="11"/>
        <v>1.1552252031130993E-2</v>
      </c>
      <c r="BJ15" s="12">
        <f t="shared" si="11"/>
        <v>8.6617077795438557E-4</v>
      </c>
      <c r="BK15" s="12">
        <f t="shared" si="11"/>
        <v>2.5133705165135884E-3</v>
      </c>
      <c r="BL15" s="12">
        <f t="shared" si="11"/>
        <v>9.0617785039123941E-6</v>
      </c>
      <c r="BM15" s="12">
        <f t="shared" si="11"/>
        <v>1.5068164253345871E-4</v>
      </c>
      <c r="BN15" s="12">
        <f t="shared" si="11"/>
        <v>2.524819709204644E-3</v>
      </c>
      <c r="BO15" s="12">
        <f t="shared" ref="BO15:CT15" si="12">(BO5-BO11)^2</f>
        <v>3.5054155471586831E-5</v>
      </c>
      <c r="BP15" s="12">
        <f t="shared" si="12"/>
        <v>2.5091548871630763E-6</v>
      </c>
      <c r="BQ15" s="12">
        <f t="shared" si="12"/>
        <v>7.6630879425607264E-4</v>
      </c>
      <c r="BR15" s="12">
        <f t="shared" si="12"/>
        <v>1.3275807672186724E-3</v>
      </c>
      <c r="BS15" s="12">
        <f t="shared" si="12"/>
        <v>4.6060166286157139E-4</v>
      </c>
      <c r="BT15" s="12">
        <f t="shared" si="12"/>
        <v>5.2929985730260293E-4</v>
      </c>
      <c r="BU15" s="12">
        <f t="shared" si="12"/>
        <v>4.3182893744326079E-5</v>
      </c>
      <c r="BV15" s="12">
        <f t="shared" si="12"/>
        <v>4.0805906196825607E-3</v>
      </c>
      <c r="BW15" s="12">
        <f t="shared" si="12"/>
        <v>2.4408511494980537E-5</v>
      </c>
      <c r="BX15" s="12">
        <f t="shared" si="12"/>
        <v>1.004374712207659E-4</v>
      </c>
      <c r="BY15" s="12">
        <f t="shared" si="12"/>
        <v>3.403646645640462E-5</v>
      </c>
      <c r="BZ15" s="12">
        <f t="shared" si="12"/>
        <v>8.2295133047205515E-4</v>
      </c>
      <c r="CA15" s="12">
        <f t="shared" si="12"/>
        <v>8.9216383233817957E-4</v>
      </c>
      <c r="CB15" s="12">
        <f t="shared" si="12"/>
        <v>1.568027311786087E-4</v>
      </c>
      <c r="CC15" s="12">
        <f t="shared" si="12"/>
        <v>4.6803119630183464E-4</v>
      </c>
      <c r="CD15" s="12">
        <f t="shared" si="12"/>
        <v>5.609561313077155E-4</v>
      </c>
      <c r="CE15" s="12">
        <f t="shared" si="12"/>
        <v>2.8645005510654492E-4</v>
      </c>
      <c r="CF15" s="12">
        <f t="shared" si="12"/>
        <v>5.967590709142434E-5</v>
      </c>
      <c r="CG15" s="12">
        <f t="shared" si="12"/>
        <v>5.7812835685172114E-7</v>
      </c>
      <c r="CH15" s="12">
        <f t="shared" si="12"/>
        <v>3.0124579384182486E-4</v>
      </c>
      <c r="CI15" s="12">
        <f t="shared" si="12"/>
        <v>9.5362162566801668E-3</v>
      </c>
      <c r="CJ15" s="12">
        <f t="shared" si="12"/>
        <v>2.62442670854576E-5</v>
      </c>
      <c r="CK15" s="12">
        <f t="shared" si="12"/>
        <v>6.1907788885116563E-4</v>
      </c>
      <c r="CL15" s="12">
        <f t="shared" si="12"/>
        <v>5.2292887252106184E-5</v>
      </c>
      <c r="CM15" s="12">
        <f t="shared" si="12"/>
        <v>1.6179054173984968E-5</v>
      </c>
      <c r="CN15" s="12">
        <f t="shared" si="12"/>
        <v>1.0479256057735848E-4</v>
      </c>
      <c r="CO15" s="12">
        <f t="shared" si="12"/>
        <v>1.7410686848882584E-2</v>
      </c>
      <c r="CP15" s="12">
        <f t="shared" si="12"/>
        <v>2.4610897210763823E-3</v>
      </c>
      <c r="CQ15" s="12">
        <f t="shared" si="12"/>
        <v>4.9525747777042434E-3</v>
      </c>
      <c r="CR15" s="12">
        <f t="shared" si="12"/>
        <v>9.0574432168615872E-4</v>
      </c>
      <c r="CS15" s="12">
        <f t="shared" si="12"/>
        <v>1.3604714241697189E-3</v>
      </c>
      <c r="CT15" s="12">
        <f t="shared" si="12"/>
        <v>2.455350299615138E-5</v>
      </c>
      <c r="CU15" s="12">
        <f t="shared" ref="CU15:DZ15" si="13">(CU5-CU11)^2</f>
        <v>2.652998852760167E-4</v>
      </c>
      <c r="CV15" s="12">
        <f t="shared" si="13"/>
        <v>4.4449631345971474E-4</v>
      </c>
      <c r="CW15" s="12">
        <f t="shared" si="13"/>
        <v>1.2336180263198911E-4</v>
      </c>
      <c r="CX15" s="12">
        <f t="shared" si="13"/>
        <v>1.424156742292785E-3</v>
      </c>
      <c r="CY15" s="12">
        <f t="shared" si="13"/>
        <v>5.118668602839326E-5</v>
      </c>
      <c r="CZ15" s="12">
        <f t="shared" si="13"/>
        <v>4.9907609580209355E-3</v>
      </c>
      <c r="DA15" s="12">
        <f t="shared" si="13"/>
        <v>4.8427436115752856E-4</v>
      </c>
      <c r="DB15" s="12">
        <f t="shared" si="13"/>
        <v>7.8284497465079819E-6</v>
      </c>
      <c r="DC15" s="12">
        <f t="shared" si="13"/>
        <v>9.7403043428040124E-5</v>
      </c>
      <c r="DD15" s="12">
        <f t="shared" si="13"/>
        <v>4.6809972500416833E-4</v>
      </c>
      <c r="DE15" s="12">
        <f t="shared" si="13"/>
        <v>1.744397448687329E-3</v>
      </c>
      <c r="DF15" s="12">
        <f t="shared" si="13"/>
        <v>2.3296705364941937E-4</v>
      </c>
      <c r="DG15" s="12">
        <f t="shared" si="13"/>
        <v>3.3495180664610825E-5</v>
      </c>
      <c r="DH15" s="12">
        <f t="shared" si="13"/>
        <v>7.4148983739222429E-5</v>
      </c>
      <c r="DI15" s="12">
        <f t="shared" si="13"/>
        <v>3.6248140225013183E-5</v>
      </c>
      <c r="DJ15" s="12">
        <f t="shared" si="13"/>
        <v>7.810949766694881E-4</v>
      </c>
      <c r="DK15" s="12">
        <f t="shared" si="13"/>
        <v>1.0706459152767693E-4</v>
      </c>
      <c r="DL15" s="12">
        <f t="shared" si="13"/>
        <v>2.0145750205986888E-4</v>
      </c>
      <c r="DM15" s="12">
        <f t="shared" si="13"/>
        <v>7.5952519468791183E-2</v>
      </c>
      <c r="DN15" s="12">
        <f t="shared" si="13"/>
        <v>2.1519240952400556E-4</v>
      </c>
      <c r="DO15" s="12">
        <f t="shared" si="13"/>
        <v>9.3623003583540025E-7</v>
      </c>
      <c r="DP15" s="12">
        <f t="shared" si="13"/>
        <v>3.8701763514602976E-5</v>
      </c>
      <c r="DQ15" s="12">
        <f t="shared" si="13"/>
        <v>7.5090916447112223E-5</v>
      </c>
      <c r="DR15" s="12">
        <f t="shared" si="13"/>
        <v>2.4074369892584089E-3</v>
      </c>
      <c r="DS15" s="12">
        <f t="shared" si="13"/>
        <v>2.0415661382302807E-5</v>
      </c>
      <c r="DT15" s="12">
        <f t="shared" si="13"/>
        <v>1.1202000869934406E-5</v>
      </c>
      <c r="DU15" s="12">
        <f t="shared" si="13"/>
        <v>1.4021884647807736E-4</v>
      </c>
      <c r="DV15" s="12">
        <f t="shared" si="13"/>
        <v>1.7493716031694885E-3</v>
      </c>
      <c r="DW15" s="12">
        <f t="shared" si="13"/>
        <v>5.5353324209062786E-4</v>
      </c>
      <c r="DX15" s="12">
        <f t="shared" si="13"/>
        <v>1.0330615152694828E-6</v>
      </c>
      <c r="DY15" s="12">
        <f t="shared" si="13"/>
        <v>4.5661517303720648E-6</v>
      </c>
      <c r="DZ15" s="12">
        <f t="shared" si="13"/>
        <v>2.6024608614091537E-4</v>
      </c>
      <c r="EA15" s="12">
        <f t="shared" ref="EA15:EL15" si="14">(EA5-EA11)^2</f>
        <v>8.9418027728583105E-5</v>
      </c>
      <c r="EB15" s="12">
        <f t="shared" si="14"/>
        <v>3.8948291670665809E-4</v>
      </c>
      <c r="EC15" s="12">
        <f t="shared" si="14"/>
        <v>6.4440708145608087E-4</v>
      </c>
      <c r="ED15" s="12">
        <f t="shared" si="14"/>
        <v>2.1553203391946953E-6</v>
      </c>
      <c r="EE15" s="12">
        <f t="shared" si="14"/>
        <v>1.0971336040057705E-2</v>
      </c>
      <c r="EF15" s="12">
        <f t="shared" si="14"/>
        <v>1.2412037914417222E-5</v>
      </c>
      <c r="EG15" s="12">
        <f t="shared" si="14"/>
        <v>7.2373210176249411E-3</v>
      </c>
      <c r="EH15" s="12">
        <f t="shared" si="14"/>
        <v>6.2488806759820863E-3</v>
      </c>
      <c r="EI15" s="12">
        <f t="shared" si="14"/>
        <v>6.7823504973593793E-4</v>
      </c>
      <c r="EJ15" s="12">
        <f t="shared" si="14"/>
        <v>8.0785497665974314E-5</v>
      </c>
      <c r="EK15" s="12">
        <f t="shared" si="14"/>
        <v>1.1241303132208987E-5</v>
      </c>
      <c r="EL15" s="12">
        <f t="shared" si="14"/>
        <v>5.8187169484062405E-3</v>
      </c>
    </row>
    <row r="17" spans="1:142" x14ac:dyDescent="0.55000000000000004">
      <c r="A17" s="12" t="s">
        <v>282</v>
      </c>
      <c r="B17" s="11" t="s">
        <v>143</v>
      </c>
      <c r="C17" s="12">
        <f t="shared" ref="C17:AH17" si="15">C9^2</f>
        <v>3.1492805492461797E-3</v>
      </c>
      <c r="D17" s="12">
        <f t="shared" si="15"/>
        <v>6.1020093036854295E-3</v>
      </c>
      <c r="E17" s="12">
        <f t="shared" si="15"/>
        <v>2.0025837772502664E-2</v>
      </c>
      <c r="F17" s="12">
        <f t="shared" si="15"/>
        <v>7.184302279134025E-3</v>
      </c>
      <c r="G17" s="12">
        <f t="shared" si="15"/>
        <v>2.6875977129229081E-4</v>
      </c>
      <c r="H17" s="12">
        <f t="shared" si="15"/>
        <v>4.5348130319755614E-4</v>
      </c>
      <c r="I17" s="12">
        <f t="shared" si="15"/>
        <v>1.2013669928876225E-6</v>
      </c>
      <c r="J17" s="12">
        <f t="shared" si="15"/>
        <v>4.1536646197948834E-3</v>
      </c>
      <c r="K17" s="12">
        <f t="shared" si="15"/>
        <v>8.8239266076337586E-3</v>
      </c>
      <c r="L17" s="12">
        <f t="shared" si="15"/>
        <v>6.0336174138600485E-3</v>
      </c>
      <c r="M17" s="12">
        <f t="shared" si="15"/>
        <v>1.9560077868688991E-5</v>
      </c>
      <c r="N17" s="12">
        <f t="shared" si="15"/>
        <v>9.50696121890382E-3</v>
      </c>
      <c r="O17" s="12">
        <f t="shared" si="15"/>
        <v>6.5008270042011076E-4</v>
      </c>
      <c r="P17" s="12">
        <f t="shared" si="15"/>
        <v>1.7370193610134139E-4</v>
      </c>
      <c r="Q17" s="12">
        <f t="shared" si="15"/>
        <v>2.6672510931148455E-5</v>
      </c>
      <c r="R17" s="12">
        <f t="shared" si="15"/>
        <v>2.9700219814771101E-4</v>
      </c>
      <c r="S17" s="12">
        <f t="shared" si="15"/>
        <v>1.2438726173640049E-2</v>
      </c>
      <c r="T17" s="12">
        <f t="shared" si="15"/>
        <v>1.2143613540575166E-3</v>
      </c>
      <c r="U17" s="12">
        <f t="shared" si="15"/>
        <v>3.4838368175407189E-3</v>
      </c>
      <c r="V17" s="12">
        <f t="shared" si="15"/>
        <v>3.1388463437323835E-4</v>
      </c>
      <c r="W17" s="12">
        <f t="shared" si="15"/>
        <v>4.1289083829030432E-5</v>
      </c>
      <c r="X17" s="12">
        <f t="shared" si="15"/>
        <v>5.1499789764384071E-6</v>
      </c>
      <c r="Y17" s="12">
        <f t="shared" si="15"/>
        <v>1.4271984907901487E-3</v>
      </c>
      <c r="Z17" s="12">
        <f t="shared" si="15"/>
        <v>1.363508221817778E-4</v>
      </c>
      <c r="AA17" s="12">
        <f t="shared" si="15"/>
        <v>7.6567634653704197E-5</v>
      </c>
      <c r="AB17" s="12">
        <f t="shared" si="15"/>
        <v>1.2583873996634964E-3</v>
      </c>
      <c r="AC17" s="12">
        <f t="shared" si="15"/>
        <v>9.8174751771296087E-4</v>
      </c>
      <c r="AD17" s="12">
        <f t="shared" si="15"/>
        <v>2.4204150259941973E-4</v>
      </c>
      <c r="AE17" s="12">
        <f t="shared" si="15"/>
        <v>1.4173779715644097E-2</v>
      </c>
      <c r="AF17" s="12">
        <f t="shared" si="15"/>
        <v>3.7470323851941656E-4</v>
      </c>
      <c r="AG17" s="12">
        <f t="shared" si="15"/>
        <v>3.0969659833491306E-3</v>
      </c>
      <c r="AH17" s="12">
        <f t="shared" si="15"/>
        <v>2.1831858393618603E-4</v>
      </c>
      <c r="AI17" s="12">
        <f t="shared" ref="AI17:BN17" si="16">AI9^2</f>
        <v>6.1071052369992551E-3</v>
      </c>
      <c r="AJ17" s="12">
        <f t="shared" si="16"/>
        <v>2.6078440319885487E-3</v>
      </c>
      <c r="AK17" s="12">
        <f t="shared" si="16"/>
        <v>8.5716784795075718E-4</v>
      </c>
      <c r="AL17" s="12">
        <f t="shared" si="16"/>
        <v>1.1555321315708017E-2</v>
      </c>
      <c r="AM17" s="12">
        <f t="shared" si="16"/>
        <v>3.0647581243705693E-3</v>
      </c>
      <c r="AN17" s="12">
        <f t="shared" si="16"/>
        <v>3.4047586455374645E-3</v>
      </c>
      <c r="AO17" s="12">
        <f t="shared" si="16"/>
        <v>1.3983420384971463E-3</v>
      </c>
      <c r="AP17" s="12">
        <f t="shared" si="16"/>
        <v>2.0578357056023071E-3</v>
      </c>
      <c r="AQ17" s="12">
        <f t="shared" si="16"/>
        <v>2.1300146771374706E-2</v>
      </c>
      <c r="AR17" s="12">
        <f t="shared" si="16"/>
        <v>9.9115972184829482E-3</v>
      </c>
      <c r="AS17" s="12">
        <f t="shared" si="16"/>
        <v>2.2700601186201661E-4</v>
      </c>
      <c r="AT17" s="12">
        <f t="shared" si="16"/>
        <v>1.3681026378997711E-6</v>
      </c>
      <c r="AU17" s="12">
        <f t="shared" si="16"/>
        <v>2.2312579264377602E-3</v>
      </c>
      <c r="AV17" s="12">
        <f t="shared" si="16"/>
        <v>1.2001004098643464E-3</v>
      </c>
      <c r="AW17" s="12">
        <f t="shared" si="16"/>
        <v>1.6427986616363154E-3</v>
      </c>
      <c r="AX17" s="12">
        <f t="shared" si="16"/>
        <v>7.1274803530264907E-4</v>
      </c>
      <c r="AY17" s="12">
        <f t="shared" si="16"/>
        <v>3.1967127583132499E-3</v>
      </c>
      <c r="AZ17" s="12">
        <f t="shared" si="16"/>
        <v>2.9332660358863264E-5</v>
      </c>
      <c r="BA17" s="12">
        <f t="shared" si="16"/>
        <v>1.9309298747141039E-3</v>
      </c>
      <c r="BB17" s="12">
        <f t="shared" si="16"/>
        <v>8.8371900377390844E-3</v>
      </c>
      <c r="BC17" s="12">
        <f t="shared" si="16"/>
        <v>8.0916358123881219E-4</v>
      </c>
      <c r="BD17" s="12">
        <f t="shared" si="16"/>
        <v>5.8224403604278919E-4</v>
      </c>
      <c r="BE17" s="12">
        <f t="shared" si="16"/>
        <v>2.7825957134306248E-4</v>
      </c>
      <c r="BF17" s="12">
        <f t="shared" si="16"/>
        <v>4.3525599926564159E-4</v>
      </c>
      <c r="BG17" s="12">
        <f t="shared" si="16"/>
        <v>2.705496961533784E-3</v>
      </c>
      <c r="BH17" s="12">
        <f t="shared" si="16"/>
        <v>1.1044086405453957E-3</v>
      </c>
      <c r="BI17" s="12">
        <f t="shared" si="16"/>
        <v>3.6206650554376774E-4</v>
      </c>
      <c r="BJ17" s="12">
        <f t="shared" si="16"/>
        <v>1.8524438362971379E-3</v>
      </c>
      <c r="BK17" s="12">
        <f t="shared" si="16"/>
        <v>1.2835189196891555E-3</v>
      </c>
      <c r="BL17" s="12">
        <f t="shared" si="16"/>
        <v>2.7678190222209095E-3</v>
      </c>
      <c r="BM17" s="12">
        <f t="shared" si="16"/>
        <v>2.7117692791769555E-2</v>
      </c>
      <c r="BN17" s="12">
        <f t="shared" si="16"/>
        <v>3.1628797563740818E-3</v>
      </c>
      <c r="BO17" s="12">
        <f t="shared" ref="BO17:CT17" si="17">BO9^2</f>
        <v>3.2545019768076685E-3</v>
      </c>
      <c r="BP17" s="12">
        <f t="shared" si="17"/>
        <v>1.4367828232799695E-3</v>
      </c>
      <c r="BQ17" s="12">
        <f t="shared" si="17"/>
        <v>2.9040772040259122E-3</v>
      </c>
      <c r="BR17" s="12">
        <f t="shared" si="17"/>
        <v>3.8894581344589546E-4</v>
      </c>
      <c r="BS17" s="12">
        <f t="shared" si="17"/>
        <v>2.9502087434941796E-3</v>
      </c>
      <c r="BT17" s="12">
        <f t="shared" si="17"/>
        <v>2.2231991706270215E-3</v>
      </c>
      <c r="BU17" s="12">
        <f t="shared" si="17"/>
        <v>1.5979218744988094E-4</v>
      </c>
      <c r="BV17" s="12">
        <f t="shared" si="17"/>
        <v>2.2653927043434496E-3</v>
      </c>
      <c r="BW17" s="12">
        <f t="shared" si="17"/>
        <v>2.6988268200715902E-6</v>
      </c>
      <c r="BX17" s="12">
        <f t="shared" si="17"/>
        <v>2.2334675821760741E-3</v>
      </c>
      <c r="BY17" s="12">
        <f t="shared" si="17"/>
        <v>2.4363330666071215E-3</v>
      </c>
      <c r="BZ17" s="12">
        <f t="shared" si="17"/>
        <v>2.5294119332946452E-3</v>
      </c>
      <c r="CA17" s="12">
        <f t="shared" si="17"/>
        <v>1.5095574118750982E-3</v>
      </c>
      <c r="CB17" s="12">
        <f t="shared" si="17"/>
        <v>6.4986910191801328E-4</v>
      </c>
      <c r="CC17" s="12">
        <f t="shared" si="17"/>
        <v>2.7261637330738275E-3</v>
      </c>
      <c r="CD17" s="12">
        <f t="shared" si="17"/>
        <v>2.6783502173922957E-4</v>
      </c>
      <c r="CE17" s="12">
        <f t="shared" si="17"/>
        <v>2.2764635686918361E-3</v>
      </c>
      <c r="CF17" s="12">
        <f t="shared" si="17"/>
        <v>2.6170338379094549E-3</v>
      </c>
      <c r="CG17" s="12">
        <f t="shared" si="17"/>
        <v>4.0571004247017548E-5</v>
      </c>
      <c r="CH17" s="12">
        <f t="shared" si="17"/>
        <v>2.5261417378976692E-3</v>
      </c>
      <c r="CI17" s="12">
        <f t="shared" si="17"/>
        <v>2.3409191345861308E-3</v>
      </c>
      <c r="CJ17" s="12">
        <f t="shared" si="17"/>
        <v>2.4879499049247494E-3</v>
      </c>
      <c r="CK17" s="12">
        <f t="shared" si="17"/>
        <v>4.1532897393183071E-4</v>
      </c>
      <c r="CL17" s="12">
        <f t="shared" si="17"/>
        <v>2.6051665264836951E-3</v>
      </c>
      <c r="CM17" s="12">
        <f t="shared" si="17"/>
        <v>4.9607054368516756E-3</v>
      </c>
      <c r="CN17" s="12">
        <f t="shared" si="17"/>
        <v>2.4313661289855496E-3</v>
      </c>
      <c r="CO17" s="12">
        <f t="shared" si="17"/>
        <v>2.3491540002335137E-3</v>
      </c>
      <c r="CP17" s="12">
        <f t="shared" si="17"/>
        <v>9.3124299552910239E-6</v>
      </c>
      <c r="CQ17" s="12">
        <f t="shared" si="17"/>
        <v>2.3952033759502833E-3</v>
      </c>
      <c r="CR17" s="12">
        <f t="shared" si="17"/>
        <v>1.4210198863860015E-5</v>
      </c>
      <c r="CS17" s="12">
        <f t="shared" si="17"/>
        <v>8.6023689764082333E-4</v>
      </c>
      <c r="CT17" s="12">
        <f t="shared" si="17"/>
        <v>7.4234148438748551E-4</v>
      </c>
      <c r="CU17" s="12">
        <f t="shared" ref="CU17:DZ17" si="18">CU9^2</f>
        <v>2.0094645426640967E-3</v>
      </c>
      <c r="CV17" s="12">
        <f t="shared" si="18"/>
        <v>5.0940427076040875E-4</v>
      </c>
      <c r="CW17" s="12">
        <f t="shared" si="18"/>
        <v>4.0182356348952286E-3</v>
      </c>
      <c r="CX17" s="12">
        <f t="shared" si="18"/>
        <v>1.5977574939746309E-3</v>
      </c>
      <c r="CY17" s="12">
        <f t="shared" si="18"/>
        <v>2.7261742364825961E-3</v>
      </c>
      <c r="CZ17" s="12">
        <f t="shared" si="18"/>
        <v>1.274435091246397E-4</v>
      </c>
      <c r="DA17" s="12">
        <f t="shared" si="18"/>
        <v>1.9931214961073224E-3</v>
      </c>
      <c r="DB17" s="12">
        <f t="shared" si="18"/>
        <v>6.7271059201901343E-4</v>
      </c>
      <c r="DC17" s="12">
        <f t="shared" si="18"/>
        <v>9.1022628152309104E-3</v>
      </c>
      <c r="DD17" s="12">
        <f t="shared" si="18"/>
        <v>2.0766348378760263E-3</v>
      </c>
      <c r="DE17" s="12">
        <f t="shared" si="18"/>
        <v>2.7859185876145803E-3</v>
      </c>
      <c r="DF17" s="12">
        <f t="shared" si="18"/>
        <v>2.0588798689759181E-3</v>
      </c>
      <c r="DG17" s="12">
        <f t="shared" si="18"/>
        <v>1.9757822918162887E-3</v>
      </c>
      <c r="DH17" s="12">
        <f t="shared" si="18"/>
        <v>5.0386167439958607E-2</v>
      </c>
      <c r="DI17" s="12">
        <f t="shared" si="18"/>
        <v>1.1164121656612735E-3</v>
      </c>
      <c r="DJ17" s="12">
        <f t="shared" si="18"/>
        <v>2.7715507103478485E-3</v>
      </c>
      <c r="DK17" s="12">
        <f t="shared" si="18"/>
        <v>2.1468556367396775E-3</v>
      </c>
      <c r="DL17" s="12">
        <f t="shared" si="18"/>
        <v>5.8263949499759438E-3</v>
      </c>
      <c r="DM17" s="12">
        <f t="shared" si="18"/>
        <v>4.1934995299453548E-3</v>
      </c>
      <c r="DN17" s="12">
        <f t="shared" si="18"/>
        <v>2.1810873589018925E-3</v>
      </c>
      <c r="DO17" s="12">
        <f t="shared" si="18"/>
        <v>2.2279491859080736E-3</v>
      </c>
      <c r="DP17" s="12">
        <f t="shared" si="18"/>
        <v>9.8573815506854123E-4</v>
      </c>
      <c r="DQ17" s="12">
        <f t="shared" si="18"/>
        <v>2.4263778352937582E-3</v>
      </c>
      <c r="DR17" s="12">
        <f t="shared" si="18"/>
        <v>2.3506980216660978E-3</v>
      </c>
      <c r="DS17" s="12">
        <f t="shared" si="18"/>
        <v>1.7640149728377491E-3</v>
      </c>
      <c r="DT17" s="12">
        <f t="shared" si="18"/>
        <v>2.2683167708068691E-3</v>
      </c>
      <c r="DU17" s="12">
        <f t="shared" si="18"/>
        <v>2.2360260508183507E-3</v>
      </c>
      <c r="DV17" s="12">
        <f t="shared" si="18"/>
        <v>2.254326200823582E-4</v>
      </c>
      <c r="DW17" s="12">
        <f t="shared" si="18"/>
        <v>4.0863853713828946E-3</v>
      </c>
      <c r="DX17" s="12">
        <f t="shared" si="18"/>
        <v>2.2205680029996899E-3</v>
      </c>
      <c r="DY17" s="12">
        <f t="shared" si="18"/>
        <v>3.3343652116891997E-4</v>
      </c>
      <c r="DZ17" s="12">
        <f t="shared" si="18"/>
        <v>7.6996733281911034E-3</v>
      </c>
      <c r="EA17" s="12">
        <f t="shared" ref="EA17:EL17" si="19">EA9^2</f>
        <v>2.1064805373640638E-3</v>
      </c>
      <c r="EB17" s="12">
        <f t="shared" si="19"/>
        <v>9.4526061547939668E-4</v>
      </c>
      <c r="EC17" s="12">
        <f t="shared" si="19"/>
        <v>1.3263910811117108E-3</v>
      </c>
      <c r="ED17" s="12">
        <f t="shared" si="19"/>
        <v>1.5392124326867873E-3</v>
      </c>
      <c r="EE17" s="12">
        <f t="shared" si="19"/>
        <v>2.2529708127192599E-3</v>
      </c>
      <c r="EF17" s="12">
        <f t="shared" si="19"/>
        <v>4.5073682743557148E-4</v>
      </c>
      <c r="EG17" s="12">
        <f t="shared" si="19"/>
        <v>1.8540283004864343E-3</v>
      </c>
      <c r="EH17" s="12">
        <f t="shared" si="19"/>
        <v>3.8693644478156181E-3</v>
      </c>
      <c r="EI17" s="12">
        <f t="shared" si="19"/>
        <v>2.8137116507292457E-3</v>
      </c>
      <c r="EJ17" s="12">
        <f t="shared" si="19"/>
        <v>2.0955143329000202E-3</v>
      </c>
      <c r="EK17" s="12">
        <f t="shared" si="19"/>
        <v>2.5297308249436906E-3</v>
      </c>
      <c r="EL17" s="12">
        <f t="shared" si="19"/>
        <v>2.1742723687823706E-3</v>
      </c>
    </row>
    <row r="18" spans="1:142" x14ac:dyDescent="0.55000000000000004">
      <c r="B18" s="11" t="s">
        <v>144</v>
      </c>
      <c r="C18" s="12">
        <f t="shared" ref="C18:AH18" si="20">C10^2</f>
        <v>6.9553851241979984E-4</v>
      </c>
      <c r="D18" s="12">
        <f t="shared" si="20"/>
        <v>2.1134265708377953E-3</v>
      </c>
      <c r="E18" s="12">
        <f t="shared" si="20"/>
        <v>1.0062539598971886E-3</v>
      </c>
      <c r="F18" s="12">
        <f t="shared" si="20"/>
        <v>9.7767341793014717E-4</v>
      </c>
      <c r="G18" s="12">
        <f t="shared" si="20"/>
        <v>8.6985841135926029E-5</v>
      </c>
      <c r="H18" s="12">
        <f t="shared" si="20"/>
        <v>1.7571588738057309E-3</v>
      </c>
      <c r="I18" s="12">
        <f t="shared" si="20"/>
        <v>1.0401625901101937E-5</v>
      </c>
      <c r="J18" s="12">
        <f t="shared" si="20"/>
        <v>8.473599741884994E-4</v>
      </c>
      <c r="K18" s="12">
        <f t="shared" si="20"/>
        <v>2.255279960181358E-4</v>
      </c>
      <c r="L18" s="12">
        <f t="shared" si="20"/>
        <v>1.0865967152176581E-3</v>
      </c>
      <c r="M18" s="12">
        <f t="shared" si="20"/>
        <v>1.8307417604341986E-3</v>
      </c>
      <c r="N18" s="12">
        <f t="shared" si="20"/>
        <v>7.8208971131337734E-3</v>
      </c>
      <c r="O18" s="12">
        <f t="shared" si="20"/>
        <v>3.8365622009117734E-4</v>
      </c>
      <c r="P18" s="12">
        <f t="shared" si="20"/>
        <v>1.5098060833571569E-3</v>
      </c>
      <c r="Q18" s="12">
        <f t="shared" si="20"/>
        <v>5.2559733138181342E-4</v>
      </c>
      <c r="R18" s="12">
        <f t="shared" si="20"/>
        <v>8.350120596731847E-3</v>
      </c>
      <c r="S18" s="12">
        <f t="shared" si="20"/>
        <v>4.6508961737196114E-4</v>
      </c>
      <c r="T18" s="12">
        <f t="shared" si="20"/>
        <v>3.9317075082371047E-4</v>
      </c>
      <c r="U18" s="12">
        <f t="shared" si="20"/>
        <v>4.0397539712614602E-2</v>
      </c>
      <c r="V18" s="12">
        <f t="shared" si="20"/>
        <v>9.797945307932765E-4</v>
      </c>
      <c r="W18" s="12">
        <f t="shared" si="20"/>
        <v>9.5903012916004316E-4</v>
      </c>
      <c r="X18" s="12">
        <f t="shared" si="20"/>
        <v>8.6759420355967168E-4</v>
      </c>
      <c r="Y18" s="12">
        <f t="shared" si="20"/>
        <v>1.5336110873236941E-3</v>
      </c>
      <c r="Z18" s="12">
        <f t="shared" si="20"/>
        <v>3.9758711633580135E-3</v>
      </c>
      <c r="AA18" s="12">
        <f t="shared" si="20"/>
        <v>8.6150615956285037E-2</v>
      </c>
      <c r="AB18" s="12">
        <f t="shared" si="20"/>
        <v>2.6696811046333932E-3</v>
      </c>
      <c r="AC18" s="12">
        <f t="shared" si="20"/>
        <v>3.4699848760060825E-3</v>
      </c>
      <c r="AD18" s="12">
        <f t="shared" si="20"/>
        <v>2.1886556239450819E-4</v>
      </c>
      <c r="AE18" s="12">
        <f t="shared" si="20"/>
        <v>7.2529226481355402E-3</v>
      </c>
      <c r="AF18" s="12">
        <f t="shared" si="20"/>
        <v>4.2032821830573774E-3</v>
      </c>
      <c r="AG18" s="12">
        <f t="shared" si="20"/>
        <v>8.5111097459589203E-4</v>
      </c>
      <c r="AH18" s="12">
        <f t="shared" si="20"/>
        <v>9.1197705045843735E-4</v>
      </c>
      <c r="AI18" s="12">
        <f t="shared" ref="AI18:BN18" si="21">AI10^2</f>
        <v>2.2673853912760786E-3</v>
      </c>
      <c r="AJ18" s="12">
        <f t="shared" si="21"/>
        <v>6.6914031522777861E-3</v>
      </c>
      <c r="AK18" s="12">
        <f t="shared" si="21"/>
        <v>4.7524122778614173E-4</v>
      </c>
      <c r="AL18" s="12">
        <f t="shared" si="21"/>
        <v>1.2111666712686162E-2</v>
      </c>
      <c r="AM18" s="12">
        <f t="shared" si="21"/>
        <v>1.230120359751119E-3</v>
      </c>
      <c r="AN18" s="12">
        <f t="shared" si="21"/>
        <v>1.8835678283081331E-3</v>
      </c>
      <c r="AO18" s="12">
        <f t="shared" si="21"/>
        <v>0.23281256442179282</v>
      </c>
      <c r="AP18" s="12">
        <f t="shared" si="21"/>
        <v>4.8440658378390305E-4</v>
      </c>
      <c r="AQ18" s="12">
        <f t="shared" si="21"/>
        <v>1.1027483474777E-3</v>
      </c>
      <c r="AR18" s="12">
        <f t="shared" si="21"/>
        <v>1.4999845603054368E-3</v>
      </c>
      <c r="AS18" s="12">
        <f t="shared" si="21"/>
        <v>8.0072798894249841E-4</v>
      </c>
      <c r="AT18" s="12">
        <f t="shared" si="21"/>
        <v>1.1075826608391065E-2</v>
      </c>
      <c r="AU18" s="12">
        <f t="shared" si="21"/>
        <v>1.0052065212642343E-3</v>
      </c>
      <c r="AV18" s="12">
        <f t="shared" si="21"/>
        <v>4.5581879193087727E-5</v>
      </c>
      <c r="AW18" s="12">
        <f t="shared" si="21"/>
        <v>0.92592963985913457</v>
      </c>
      <c r="AX18" s="12">
        <f t="shared" si="21"/>
        <v>1.6820113632312061E-3</v>
      </c>
      <c r="AY18" s="12">
        <f t="shared" si="21"/>
        <v>3.1775321063243211E-5</v>
      </c>
      <c r="AZ18" s="12">
        <f t="shared" si="21"/>
        <v>2.6704637932496583E-3</v>
      </c>
      <c r="BA18" s="12">
        <f t="shared" si="21"/>
        <v>1.7569947214703124E-4</v>
      </c>
      <c r="BB18" s="12">
        <f t="shared" si="21"/>
        <v>2.0034802737256691E-3</v>
      </c>
      <c r="BC18" s="12">
        <f t="shared" si="21"/>
        <v>1.2275345178758287E-4</v>
      </c>
      <c r="BD18" s="12">
        <f t="shared" si="21"/>
        <v>0.14614619531654677</v>
      </c>
      <c r="BE18" s="12">
        <f t="shared" si="21"/>
        <v>5.1150379900068144E-4</v>
      </c>
      <c r="BF18" s="12">
        <f t="shared" si="21"/>
        <v>1.2859571129886366E-3</v>
      </c>
      <c r="BG18" s="12">
        <f t="shared" si="21"/>
        <v>2.0391122951962108E-3</v>
      </c>
      <c r="BH18" s="12">
        <f t="shared" si="21"/>
        <v>1.8661197212144764E-3</v>
      </c>
      <c r="BI18" s="12">
        <f t="shared" si="21"/>
        <v>1.0819939412382153E-3</v>
      </c>
      <c r="BJ18" s="12">
        <f t="shared" si="21"/>
        <v>1.0993410918938573E-3</v>
      </c>
      <c r="BK18" s="12">
        <f t="shared" si="21"/>
        <v>0.24132616076784158</v>
      </c>
      <c r="BL18" s="12">
        <f t="shared" si="21"/>
        <v>1.7551581162900676E-3</v>
      </c>
      <c r="BM18" s="12">
        <f t="shared" si="21"/>
        <v>2.3375329127270925E-3</v>
      </c>
      <c r="BN18" s="12">
        <f t="shared" si="21"/>
        <v>8.7379270156540145E-4</v>
      </c>
      <c r="BO18" s="12">
        <f t="shared" ref="BO18:CT18" si="22">BO10^2</f>
        <v>1.8332999808277212E-3</v>
      </c>
      <c r="BP18" s="12">
        <f t="shared" si="22"/>
        <v>5.0489626324380643E-4</v>
      </c>
      <c r="BQ18" s="12">
        <f t="shared" si="22"/>
        <v>2.6852524291479107E-3</v>
      </c>
      <c r="BR18" s="12">
        <f t="shared" si="22"/>
        <v>3.4864645894272853E-4</v>
      </c>
      <c r="BS18" s="12">
        <f t="shared" si="22"/>
        <v>1.3466385833219808E-4</v>
      </c>
      <c r="BT18" s="12">
        <f t="shared" si="22"/>
        <v>4.8214268134400012E-4</v>
      </c>
      <c r="BU18" s="12">
        <f t="shared" si="22"/>
        <v>5.5441129356004759E-3</v>
      </c>
      <c r="BV18" s="12">
        <f t="shared" si="22"/>
        <v>9.8136436105860647E-3</v>
      </c>
      <c r="BW18" s="12">
        <f t="shared" si="22"/>
        <v>8.7629820269242154E-3</v>
      </c>
      <c r="BX18" s="12">
        <f t="shared" si="22"/>
        <v>4.081957523627418E-4</v>
      </c>
      <c r="BY18" s="12">
        <f t="shared" si="22"/>
        <v>1.0740719220695551E-3</v>
      </c>
      <c r="BZ18" s="12">
        <f t="shared" si="22"/>
        <v>4.2446681430399757E-3</v>
      </c>
      <c r="CA18" s="12">
        <f t="shared" si="22"/>
        <v>1.3051338264138956E-3</v>
      </c>
      <c r="CB18" s="12">
        <f t="shared" si="22"/>
        <v>1.5151013567023114E-3</v>
      </c>
      <c r="CC18" s="12">
        <f t="shared" si="22"/>
        <v>1.3100633736869011E-3</v>
      </c>
      <c r="CD18" s="12">
        <f t="shared" si="22"/>
        <v>2.4466904670339407E-3</v>
      </c>
      <c r="CE18" s="12">
        <f t="shared" si="22"/>
        <v>1.869927271511751E-3</v>
      </c>
      <c r="CF18" s="12">
        <f t="shared" si="22"/>
        <v>1.0282254097371407E-3</v>
      </c>
      <c r="CG18" s="12">
        <f t="shared" si="22"/>
        <v>1.5970621732466217E-3</v>
      </c>
      <c r="CH18" s="12">
        <f t="shared" si="22"/>
        <v>1.7324983227191698E-3</v>
      </c>
      <c r="CI18" s="12">
        <f t="shared" si="22"/>
        <v>1.2380422865378021E-3</v>
      </c>
      <c r="CJ18" s="12">
        <f t="shared" si="22"/>
        <v>1.9103710566770321E-3</v>
      </c>
      <c r="CK18" s="12">
        <f t="shared" si="22"/>
        <v>7.6696330645111021E-4</v>
      </c>
      <c r="CL18" s="12">
        <f t="shared" si="22"/>
        <v>1.2217917703241654E-3</v>
      </c>
      <c r="CM18" s="12">
        <f t="shared" si="22"/>
        <v>2.3759870266639727E-3</v>
      </c>
      <c r="CN18" s="12">
        <f t="shared" si="22"/>
        <v>1.5373619695285826E-4</v>
      </c>
      <c r="CO18" s="12">
        <f t="shared" si="22"/>
        <v>9.0546316789525197E-4</v>
      </c>
      <c r="CP18" s="12">
        <f t="shared" si="22"/>
        <v>4.4440183108486464E-4</v>
      </c>
      <c r="CQ18" s="12">
        <f t="shared" si="22"/>
        <v>6.4962809782770384E-6</v>
      </c>
      <c r="CR18" s="12">
        <f t="shared" si="22"/>
        <v>1.1303608368935739E-2</v>
      </c>
      <c r="CS18" s="12">
        <f t="shared" si="22"/>
        <v>4.6104340665521754E-4</v>
      </c>
      <c r="CT18" s="12">
        <f t="shared" si="22"/>
        <v>3.4592395687447208E-3</v>
      </c>
      <c r="CU18" s="12">
        <f t="shared" ref="CU18:DZ18" si="23">CU10^2</f>
        <v>4.597407291184321E-2</v>
      </c>
      <c r="CV18" s="12">
        <f t="shared" si="23"/>
        <v>2.1315207473492137E-2</v>
      </c>
      <c r="CW18" s="12">
        <f t="shared" si="23"/>
        <v>4.3534845827943869E-3</v>
      </c>
      <c r="CX18" s="12">
        <f t="shared" si="23"/>
        <v>0.1096458716079987</v>
      </c>
      <c r="CY18" s="12">
        <f t="shared" si="23"/>
        <v>1.228566811760104E-3</v>
      </c>
      <c r="CZ18" s="12">
        <f t="shared" si="23"/>
        <v>5.3301703902835854E-2</v>
      </c>
      <c r="DA18" s="12">
        <f t="shared" si="23"/>
        <v>9.388769882293424E-3</v>
      </c>
      <c r="DB18" s="12">
        <f t="shared" si="23"/>
        <v>6.9599642027213041E-4</v>
      </c>
      <c r="DC18" s="12">
        <f t="shared" si="23"/>
        <v>4.1010497426876569E-3</v>
      </c>
      <c r="DD18" s="12">
        <f t="shared" si="23"/>
        <v>2.8590365845944229E-3</v>
      </c>
      <c r="DE18" s="12">
        <f t="shared" si="23"/>
        <v>1.7196607547316015E-2</v>
      </c>
      <c r="DF18" s="12">
        <f t="shared" si="23"/>
        <v>1.8654256590494342E-2</v>
      </c>
      <c r="DG18" s="12">
        <f t="shared" si="23"/>
        <v>9.0099383066366556E-3</v>
      </c>
      <c r="DH18" s="12">
        <f t="shared" si="23"/>
        <v>1.773199688782922E-3</v>
      </c>
      <c r="DI18" s="12">
        <f t="shared" si="23"/>
        <v>1.6753505273960911E-3</v>
      </c>
      <c r="DJ18" s="12">
        <f t="shared" si="23"/>
        <v>1.5804077307338814E-3</v>
      </c>
      <c r="DK18" s="12">
        <f t="shared" si="23"/>
        <v>1.2629030757514793E-4</v>
      </c>
      <c r="DL18" s="12">
        <f t="shared" si="23"/>
        <v>2.1926482277037089E-3</v>
      </c>
      <c r="DM18" s="12">
        <f t="shared" si="23"/>
        <v>2.347377288025366E-3</v>
      </c>
      <c r="DN18" s="12">
        <f t="shared" si="23"/>
        <v>3.5754041397240144E-4</v>
      </c>
      <c r="DO18" s="12">
        <f t="shared" si="23"/>
        <v>1.0572335755037401E-2</v>
      </c>
      <c r="DP18" s="12">
        <f t="shared" si="23"/>
        <v>7.2530106047786952E-2</v>
      </c>
      <c r="DQ18" s="12">
        <f t="shared" si="23"/>
        <v>1.3153434725816787E-3</v>
      </c>
      <c r="DR18" s="12">
        <f t="shared" si="23"/>
        <v>5.7943899974560176E-3</v>
      </c>
      <c r="DS18" s="12">
        <f t="shared" si="23"/>
        <v>8.3779927176064542E-4</v>
      </c>
      <c r="DT18" s="12">
        <f t="shared" si="23"/>
        <v>6.655251957366807E-4</v>
      </c>
      <c r="DU18" s="12">
        <f t="shared" si="23"/>
        <v>1.7946003422981826E-3</v>
      </c>
      <c r="DV18" s="12">
        <f t="shared" si="23"/>
        <v>1.6123452850536076E-2</v>
      </c>
      <c r="DW18" s="12">
        <f t="shared" si="23"/>
        <v>1.8472234326006309E-3</v>
      </c>
      <c r="DX18" s="12">
        <f t="shared" si="23"/>
        <v>5.1209470411111568E-3</v>
      </c>
      <c r="DY18" s="12">
        <f t="shared" si="23"/>
        <v>1.4824602505015276E-3</v>
      </c>
      <c r="DZ18" s="12">
        <f t="shared" si="23"/>
        <v>1.322329679842707E-3</v>
      </c>
      <c r="EA18" s="12">
        <f t="shared" ref="EA18:EL18" si="24">EA10^2</f>
        <v>9.0838577165902579E-4</v>
      </c>
      <c r="EB18" s="12">
        <f t="shared" si="24"/>
        <v>9.4262721215578917E-5</v>
      </c>
      <c r="EC18" s="12">
        <f t="shared" si="24"/>
        <v>2.6115717765007864E-3</v>
      </c>
      <c r="ED18" s="12">
        <f t="shared" si="24"/>
        <v>6.6798706304599408E-4</v>
      </c>
      <c r="EE18" s="12">
        <f t="shared" si="24"/>
        <v>1.0890524272527671E-2</v>
      </c>
      <c r="EF18" s="12">
        <f t="shared" si="24"/>
        <v>1.4514896432330957E-5</v>
      </c>
      <c r="EG18" s="12">
        <f t="shared" si="24"/>
        <v>8.3502856284228843E-4</v>
      </c>
      <c r="EH18" s="12">
        <f t="shared" si="24"/>
        <v>1.8143682209628142E-3</v>
      </c>
      <c r="EI18" s="12">
        <f t="shared" si="24"/>
        <v>8.8085989879039261E-3</v>
      </c>
      <c r="EJ18" s="12">
        <f t="shared" si="24"/>
        <v>3.5361055459227067E-3</v>
      </c>
      <c r="EK18" s="12">
        <f t="shared" si="24"/>
        <v>1.0771989425251705E-3</v>
      </c>
      <c r="EL18" s="12">
        <f t="shared" si="24"/>
        <v>3.4383721117026145E-3</v>
      </c>
    </row>
    <row r="19" spans="1:142" x14ac:dyDescent="0.55000000000000004">
      <c r="B19" s="14" t="s">
        <v>145</v>
      </c>
      <c r="C19" s="12">
        <f t="shared" ref="C19:AH19" si="25">C11^2</f>
        <v>1.6486821767344981E-7</v>
      </c>
      <c r="D19" s="12">
        <f t="shared" si="25"/>
        <v>2.5339063739650142E-3</v>
      </c>
      <c r="E19" s="12">
        <f t="shared" si="25"/>
        <v>1.5143372802504107E-3</v>
      </c>
      <c r="F19" s="12">
        <f t="shared" si="25"/>
        <v>1.4280021189533304E-4</v>
      </c>
      <c r="G19" s="12">
        <f t="shared" si="25"/>
        <v>1.2054760634830353E-5</v>
      </c>
      <c r="H19" s="12">
        <f t="shared" si="25"/>
        <v>2.9591819675212072E-4</v>
      </c>
      <c r="I19" s="12">
        <f t="shared" si="25"/>
        <v>1.1632782759571918E-3</v>
      </c>
      <c r="J19" s="12">
        <f t="shared" si="25"/>
        <v>1.0546879460699016E-3</v>
      </c>
      <c r="K19" s="12">
        <f t="shared" si="25"/>
        <v>1.2005838919876416E-3</v>
      </c>
      <c r="L19" s="12">
        <f t="shared" si="25"/>
        <v>2.0552735844533227E-2</v>
      </c>
      <c r="M19" s="12">
        <f t="shared" si="25"/>
        <v>8.6345997146125889E-4</v>
      </c>
      <c r="N19" s="12">
        <f t="shared" si="25"/>
        <v>3.4748002903839392E-4</v>
      </c>
      <c r="O19" s="12">
        <f t="shared" si="25"/>
        <v>1.213946751546013E-3</v>
      </c>
      <c r="P19" s="12">
        <f t="shared" si="25"/>
        <v>3.6331863876795526E-7</v>
      </c>
      <c r="Q19" s="12">
        <f t="shared" si="25"/>
        <v>1.3804629532116261E-4</v>
      </c>
      <c r="R19" s="12">
        <f t="shared" si="25"/>
        <v>3.0099804803557229E-4</v>
      </c>
      <c r="S19" s="12">
        <f t="shared" si="25"/>
        <v>1.7157229970000132E-3</v>
      </c>
      <c r="T19" s="12">
        <f t="shared" si="25"/>
        <v>2.0516255578098552E-3</v>
      </c>
      <c r="U19" s="12">
        <f t="shared" si="25"/>
        <v>4.0499150976581544E-5</v>
      </c>
      <c r="V19" s="12">
        <f t="shared" si="25"/>
        <v>1.1174011918468896E-3</v>
      </c>
      <c r="W19" s="12">
        <f t="shared" si="25"/>
        <v>1.2963531594030325E-3</v>
      </c>
      <c r="X19" s="12">
        <f t="shared" si="25"/>
        <v>4.1505056234237281E-3</v>
      </c>
      <c r="Y19" s="12">
        <f t="shared" si="25"/>
        <v>2.5561524100121491E-5</v>
      </c>
      <c r="Z19" s="12">
        <f t="shared" si="25"/>
        <v>7.7717381918862593E-4</v>
      </c>
      <c r="AA19" s="12">
        <f t="shared" si="25"/>
        <v>1.4911990325752189E-3</v>
      </c>
      <c r="AB19" s="12">
        <f t="shared" si="25"/>
        <v>1.7114899028154579E-3</v>
      </c>
      <c r="AC19" s="12">
        <f t="shared" si="25"/>
        <v>5.9772346062926529E-4</v>
      </c>
      <c r="AD19" s="12">
        <f t="shared" si="25"/>
        <v>1.7339800715712173E-3</v>
      </c>
      <c r="AE19" s="12">
        <f t="shared" si="25"/>
        <v>8.5055908484301668E-3</v>
      </c>
      <c r="AF19" s="12">
        <f t="shared" si="25"/>
        <v>8.7757653161185667E-4</v>
      </c>
      <c r="AG19" s="12">
        <f t="shared" si="25"/>
        <v>5.2713019507857339E-3</v>
      </c>
      <c r="AH19" s="12">
        <f t="shared" si="25"/>
        <v>6.5246790478568073E-4</v>
      </c>
      <c r="AI19" s="12">
        <f t="shared" ref="AI19:BN19" si="26">AI11^2</f>
        <v>7.2128843566000834E-4</v>
      </c>
      <c r="AJ19" s="12">
        <f t="shared" si="26"/>
        <v>1.3076757057456506E-3</v>
      </c>
      <c r="AK19" s="12">
        <f t="shared" si="26"/>
        <v>5.665849976014025E-4</v>
      </c>
      <c r="AL19" s="12">
        <f t="shared" si="26"/>
        <v>7.1399465596125658E-6</v>
      </c>
      <c r="AM19" s="12">
        <f t="shared" si="26"/>
        <v>1.0900267338329741E-5</v>
      </c>
      <c r="AN19" s="12">
        <f t="shared" si="26"/>
        <v>6.0089852813668845E-9</v>
      </c>
      <c r="AO19" s="12">
        <f t="shared" si="26"/>
        <v>4.7084687173681861E-3</v>
      </c>
      <c r="AP19" s="12">
        <f t="shared" si="26"/>
        <v>1.3713340370289512E-3</v>
      </c>
      <c r="AQ19" s="12">
        <f t="shared" si="26"/>
        <v>5.3403088224346373E-4</v>
      </c>
      <c r="AR19" s="12">
        <f t="shared" si="26"/>
        <v>5.0690641783370793E-3</v>
      </c>
      <c r="AS19" s="12">
        <f t="shared" si="26"/>
        <v>2.3015101925905604E-3</v>
      </c>
      <c r="AT19" s="12">
        <f t="shared" si="26"/>
        <v>3.8113123941200394E-3</v>
      </c>
      <c r="AU19" s="12">
        <f t="shared" si="26"/>
        <v>2.9731731465993186E-4</v>
      </c>
      <c r="AV19" s="12">
        <f t="shared" si="26"/>
        <v>3.3030742347586184E-3</v>
      </c>
      <c r="AW19" s="12">
        <f t="shared" si="26"/>
        <v>3.9324864231540246E-3</v>
      </c>
      <c r="AX19" s="12">
        <f t="shared" si="26"/>
        <v>3.3810708103279574E-3</v>
      </c>
      <c r="AY19" s="12">
        <f t="shared" si="26"/>
        <v>1.1071666499958614E-2</v>
      </c>
      <c r="AZ19" s="12">
        <f t="shared" si="26"/>
        <v>1.2476425673990749E-4</v>
      </c>
      <c r="BA19" s="12">
        <f t="shared" si="26"/>
        <v>1.3453641491481593E-5</v>
      </c>
      <c r="BB19" s="12">
        <f t="shared" si="26"/>
        <v>3.3028656092227982E-4</v>
      </c>
      <c r="BC19" s="12">
        <f t="shared" si="26"/>
        <v>2.7147487875689436E-5</v>
      </c>
      <c r="BD19" s="12">
        <f t="shared" si="26"/>
        <v>1.9158925036594208E-6</v>
      </c>
      <c r="BE19" s="12">
        <f t="shared" si="26"/>
        <v>4.0361344946726607E-5</v>
      </c>
      <c r="BF19" s="12">
        <f t="shared" si="26"/>
        <v>1.1870591228813402E-4</v>
      </c>
      <c r="BG19" s="12">
        <f t="shared" si="26"/>
        <v>1.2333321171530352E-5</v>
      </c>
      <c r="BH19" s="12">
        <f t="shared" si="26"/>
        <v>3.1633896156371204E-5</v>
      </c>
      <c r="BI19" s="12">
        <f t="shared" si="26"/>
        <v>4.5808558808496103E-3</v>
      </c>
      <c r="BJ19" s="12">
        <f t="shared" si="26"/>
        <v>1.5789593090754237E-5</v>
      </c>
      <c r="BK19" s="12">
        <f t="shared" si="26"/>
        <v>9.3978317799831034E-4</v>
      </c>
      <c r="BL19" s="12">
        <f t="shared" si="26"/>
        <v>1.4718965410502686E-4</v>
      </c>
      <c r="BM19" s="12">
        <f t="shared" si="26"/>
        <v>4.4080802989463261E-6</v>
      </c>
      <c r="BN19" s="12">
        <f t="shared" si="26"/>
        <v>2.8471755849018832E-4</v>
      </c>
      <c r="BO19" s="12">
        <f t="shared" ref="BO19:CT19" si="27">BO11^2</f>
        <v>1.9886537428027995E-4</v>
      </c>
      <c r="BP19" s="12">
        <f t="shared" si="27"/>
        <v>7.3173663484027429E-5</v>
      </c>
      <c r="BQ19" s="12">
        <f t="shared" si="27"/>
        <v>3.398840264418197E-4</v>
      </c>
      <c r="BR19" s="12">
        <f t="shared" si="27"/>
        <v>1.8494977092819398E-4</v>
      </c>
      <c r="BS19" s="12">
        <f t="shared" si="27"/>
        <v>1.9637084628515433E-6</v>
      </c>
      <c r="BT19" s="12">
        <f t="shared" si="27"/>
        <v>1.4381907176295172E-3</v>
      </c>
      <c r="BU19" s="12">
        <f t="shared" si="27"/>
        <v>1.5554332629515952E-4</v>
      </c>
      <c r="BV19" s="12">
        <f t="shared" si="27"/>
        <v>2.2143145304847622E-3</v>
      </c>
      <c r="BW19" s="12">
        <f t="shared" si="27"/>
        <v>4.6766137153195567E-4</v>
      </c>
      <c r="BX19" s="12">
        <f t="shared" si="27"/>
        <v>1.2421909483559951E-5</v>
      </c>
      <c r="BY19" s="12">
        <f t="shared" si="27"/>
        <v>9.0088675992611201E-6</v>
      </c>
      <c r="BZ19" s="12">
        <f t="shared" si="27"/>
        <v>1.5482049605458024E-4</v>
      </c>
      <c r="CA19" s="12">
        <f t="shared" si="27"/>
        <v>2.1012054280531434E-3</v>
      </c>
      <c r="CB19" s="12">
        <f t="shared" si="27"/>
        <v>9.7824983738590415E-5</v>
      </c>
      <c r="CC19" s="12">
        <f t="shared" si="27"/>
        <v>7.8637853647848572E-6</v>
      </c>
      <c r="CD19" s="12">
        <f t="shared" si="27"/>
        <v>7.5298183101604797E-7</v>
      </c>
      <c r="CE19" s="12">
        <f t="shared" si="27"/>
        <v>8.3775466896995367E-5</v>
      </c>
      <c r="CF19" s="12">
        <f t="shared" si="27"/>
        <v>5.1619424250638768E-4</v>
      </c>
      <c r="CG19" s="12">
        <f t="shared" si="27"/>
        <v>1.1403002212099535E-5</v>
      </c>
      <c r="CH19" s="12">
        <f t="shared" si="27"/>
        <v>3.5962022828803588E-4</v>
      </c>
      <c r="CI19" s="12">
        <f t="shared" si="27"/>
        <v>8.4213993770059781E-3</v>
      </c>
      <c r="CJ19" s="12">
        <f t="shared" si="27"/>
        <v>4.0882483037244649E-5</v>
      </c>
      <c r="CK19" s="12">
        <f t="shared" si="27"/>
        <v>2.0065458796963964E-4</v>
      </c>
      <c r="CL19" s="12">
        <f t="shared" si="27"/>
        <v>1.6666456483156213E-5</v>
      </c>
      <c r="CM19" s="12">
        <f t="shared" si="27"/>
        <v>1.1193384802679015E-4</v>
      </c>
      <c r="CN19" s="12">
        <f t="shared" si="27"/>
        <v>4.6910864343664721E-4</v>
      </c>
      <c r="CO19" s="12">
        <f t="shared" si="27"/>
        <v>2.0517472718504477E-2</v>
      </c>
      <c r="CP19" s="12">
        <f t="shared" si="27"/>
        <v>3.5065803949323269E-6</v>
      </c>
      <c r="CQ19" s="12">
        <f t="shared" si="27"/>
        <v>1.5347185724479268E-3</v>
      </c>
      <c r="CR19" s="12">
        <f t="shared" si="27"/>
        <v>2.1849930189749872E-5</v>
      </c>
      <c r="CS19" s="12">
        <f t="shared" si="27"/>
        <v>1.5924349296982943E-3</v>
      </c>
      <c r="CT19" s="12">
        <f t="shared" si="27"/>
        <v>3.2619903219670504E-5</v>
      </c>
      <c r="CU19" s="12">
        <f t="shared" ref="CU19:DZ19" si="28">CU11^2</f>
        <v>2.8953896689021253E-4</v>
      </c>
      <c r="CV19" s="12">
        <f t="shared" si="28"/>
        <v>1.3759706014610304E-4</v>
      </c>
      <c r="CW19" s="12">
        <f t="shared" si="28"/>
        <v>3.4451168919600098E-4</v>
      </c>
      <c r="CX19" s="12">
        <f t="shared" si="28"/>
        <v>7.4151257015499217E-4</v>
      </c>
      <c r="CY19" s="12">
        <f t="shared" si="28"/>
        <v>6.7122563780450139E-6</v>
      </c>
      <c r="CZ19" s="12">
        <f t="shared" si="28"/>
        <v>3.982861930312831E-3</v>
      </c>
      <c r="DA19" s="12">
        <f t="shared" si="28"/>
        <v>1.2346350483872916E-3</v>
      </c>
      <c r="DB19" s="12">
        <f t="shared" si="28"/>
        <v>4.9267356417529565E-5</v>
      </c>
      <c r="DC19" s="12">
        <f t="shared" si="28"/>
        <v>1.1462790904146697E-6</v>
      </c>
      <c r="DD19" s="12">
        <f t="shared" si="28"/>
        <v>7.6955936376826833E-6</v>
      </c>
      <c r="DE19" s="12">
        <f t="shared" si="28"/>
        <v>6.6135237768358626E-4</v>
      </c>
      <c r="DF19" s="12">
        <f t="shared" si="28"/>
        <v>1.9991459589974174E-6</v>
      </c>
      <c r="DG19" s="12">
        <f t="shared" si="28"/>
        <v>9.2530901535944378E-5</v>
      </c>
      <c r="DH19" s="12">
        <f t="shared" si="28"/>
        <v>1.5870187220707103E-6</v>
      </c>
      <c r="DI19" s="12">
        <f t="shared" si="28"/>
        <v>2.6650783634853126E-4</v>
      </c>
      <c r="DJ19" s="12">
        <f t="shared" si="28"/>
        <v>5.1540190953245149E-4</v>
      </c>
      <c r="DK19" s="12">
        <f t="shared" si="28"/>
        <v>1.17197232895746E-5</v>
      </c>
      <c r="DL19" s="12">
        <f t="shared" si="28"/>
        <v>3.794969521916471E-6</v>
      </c>
      <c r="DM19" s="12">
        <f t="shared" si="28"/>
        <v>6.6991987183318003E-2</v>
      </c>
      <c r="DN19" s="12">
        <f t="shared" si="28"/>
        <v>1.9065484132923288E-7</v>
      </c>
      <c r="DO19" s="12">
        <f t="shared" si="28"/>
        <v>1.8398421571419821E-4</v>
      </c>
      <c r="DP19" s="12">
        <f t="shared" si="28"/>
        <v>7.2957702890188991E-5</v>
      </c>
      <c r="DQ19" s="12">
        <f t="shared" si="28"/>
        <v>3.0808280345418165E-7</v>
      </c>
      <c r="DR19" s="12">
        <f t="shared" si="28"/>
        <v>7.9683564161395562E-4</v>
      </c>
      <c r="DS19" s="12">
        <f t="shared" si="28"/>
        <v>1.4618485147198227E-6</v>
      </c>
      <c r="DT19" s="12">
        <f t="shared" si="28"/>
        <v>1.4057535278230202E-5</v>
      </c>
      <c r="DU19" s="12">
        <f t="shared" si="28"/>
        <v>3.4397947677950233E-6</v>
      </c>
      <c r="DV19" s="12">
        <f t="shared" si="28"/>
        <v>5.5911872999475621E-4</v>
      </c>
      <c r="DW19" s="12">
        <f t="shared" si="28"/>
        <v>9.9461315584137255E-6</v>
      </c>
      <c r="DX19" s="12">
        <f t="shared" si="28"/>
        <v>2.3717193042976936E-4</v>
      </c>
      <c r="DY19" s="12">
        <f t="shared" si="28"/>
        <v>1.6293706059104175E-4</v>
      </c>
      <c r="DZ19" s="12">
        <f t="shared" si="28"/>
        <v>9.9136567003754728E-4</v>
      </c>
      <c r="EA19" s="12">
        <f t="shared" ref="EA19:EL19" si="29">EA11^2</f>
        <v>5.2223523235198771E-5</v>
      </c>
      <c r="EB19" s="12">
        <f t="shared" si="29"/>
        <v>2.3504585329668467E-6</v>
      </c>
      <c r="EC19" s="12">
        <f t="shared" si="29"/>
        <v>4.3770247627570089E-4</v>
      </c>
      <c r="ED19" s="12">
        <f t="shared" si="29"/>
        <v>1.0432917498423046E-5</v>
      </c>
      <c r="EE19" s="12">
        <f t="shared" si="29"/>
        <v>1.070810501321345E-2</v>
      </c>
      <c r="EF19" s="12">
        <f t="shared" si="29"/>
        <v>2.4948095304629971E-5</v>
      </c>
      <c r="EG19" s="12">
        <f t="shared" si="29"/>
        <v>6.7600088283024107E-3</v>
      </c>
      <c r="EH19" s="12">
        <f t="shared" si="29"/>
        <v>5.1045992710250232E-3</v>
      </c>
      <c r="EI19" s="12">
        <f t="shared" si="29"/>
        <v>4.3023493310995561E-4</v>
      </c>
      <c r="EJ19" s="12">
        <f t="shared" si="29"/>
        <v>2.3571209882702372E-5</v>
      </c>
      <c r="EK19" s="12">
        <f t="shared" si="29"/>
        <v>1.2583723920016423E-6</v>
      </c>
      <c r="EL19" s="12">
        <f t="shared" si="29"/>
        <v>5.006778916758714E-3</v>
      </c>
    </row>
    <row r="21" spans="1:142" x14ac:dyDescent="0.55000000000000004">
      <c r="A21" s="12" t="s">
        <v>283</v>
      </c>
      <c r="B21" s="12">
        <f>1-SUM(C13:EL15)/SUM(C17:EL19)</f>
        <v>4.5705367837414856E-2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L164"/>
  <sheetViews>
    <sheetView topLeftCell="BQ2" zoomScale="130" zoomScaleNormal="130" workbookViewId="0">
      <selection activeCell="BS31" sqref="BS31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0" t="s">
        <v>147</v>
      </c>
      <c r="B10" s="21"/>
      <c r="C10" s="6" t="s">
        <v>148</v>
      </c>
      <c r="D10" s="6">
        <v>1051</v>
      </c>
    </row>
    <row r="11" spans="1:142" x14ac:dyDescent="0.3">
      <c r="A11" s="6"/>
      <c r="B11" s="6" t="s">
        <v>149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8"/>
      <c r="B12" s="18">
        <v>10</v>
      </c>
      <c r="C12" s="2">
        <v>9.8199501924411306E-2</v>
      </c>
      <c r="D12" s="2">
        <f>C12+真實IC!D12</f>
        <v>0.2010233014899824</v>
      </c>
      <c r="E12" s="2">
        <f>D12+真實IC!E12</f>
        <v>0.23928508291883377</v>
      </c>
      <c r="F12" s="2">
        <f>E12+真實IC!F12</f>
        <v>0.24663019235893874</v>
      </c>
      <c r="G12" s="2">
        <f>F12+真實IC!G12</f>
        <v>0.27940295227791861</v>
      </c>
      <c r="H12" s="2">
        <f>G12+真實IC!H12</f>
        <v>0.32246596442309594</v>
      </c>
      <c r="I12" s="2">
        <f>H12+真實IC!I12</f>
        <v>0.36907792851334886</v>
      </c>
      <c r="J12" s="2">
        <f>I12+真實IC!J12</f>
        <v>0.42575958810287662</v>
      </c>
      <c r="K12" s="2">
        <f>J12+真實IC!K12</f>
        <v>0.45378502073192484</v>
      </c>
      <c r="L12" s="2">
        <f>K12+真實IC!L12</f>
        <v>0.48831859807898947</v>
      </c>
      <c r="M12" s="2">
        <f>L12+真實IC!M12</f>
        <v>0.52238339334509254</v>
      </c>
      <c r="N12" s="2">
        <f>M12+真實IC!N12</f>
        <v>0.58485199812973221</v>
      </c>
      <c r="O12" s="2">
        <f>N12+真實IC!O12</f>
        <v>0.61111483706409298</v>
      </c>
      <c r="P12" s="2">
        <f>O12+真實IC!P12</f>
        <v>0.6274148013975468</v>
      </c>
      <c r="Q12" s="2">
        <f>P12+真實IC!Q12</f>
        <v>0.64442943864605351</v>
      </c>
      <c r="R12" s="2">
        <f>Q12+真實IC!R12</f>
        <v>0.64615456598690746</v>
      </c>
      <c r="S12" s="2">
        <f>R12+真實IC!S12</f>
        <v>0.68663642197020591</v>
      </c>
      <c r="T12" s="2">
        <f>S12+真實IC!T12</f>
        <v>0.73394354994429811</v>
      </c>
      <c r="U12" s="2">
        <f>T12+真實IC!U12</f>
        <v>0.75474651643507573</v>
      </c>
      <c r="V12" s="2">
        <f>U12+真實IC!V12</f>
        <v>0.79972816187572948</v>
      </c>
      <c r="W12" s="2">
        <f>V12+真實IC!W12</f>
        <v>0.85832756084551631</v>
      </c>
      <c r="X12" s="2">
        <f>W12+真實IC!X12</f>
        <v>0.97875065665430272</v>
      </c>
      <c r="Y12" s="2">
        <f>X12+真實IC!Y12</f>
        <v>1.0112290372405603</v>
      </c>
      <c r="Z12" s="2">
        <f>Y12+真實IC!Z12</f>
        <v>1.0687591333186743</v>
      </c>
      <c r="AA12" s="2">
        <f>Z12+真實IC!AA12</f>
        <v>1.100625430159957</v>
      </c>
      <c r="AB12" s="2">
        <f>AA12+真實IC!AB12</f>
        <v>1.1317272243123431</v>
      </c>
      <c r="AC12" s="2">
        <f>AB12+真實IC!AC12</f>
        <v>1.168979650256579</v>
      </c>
      <c r="AD12" s="2">
        <f>AC12+真實IC!AD12</f>
        <v>1.1781121512781856</v>
      </c>
      <c r="AE12" s="2">
        <f>AD12+真實IC!AE12</f>
        <v>1.2230660950647367</v>
      </c>
      <c r="AF12" s="2">
        <f>AE12+真實IC!AF12</f>
        <v>1.2731417787799961</v>
      </c>
      <c r="AG12" s="2">
        <f>AF12+真實IC!AG12</f>
        <v>1.3107989314058306</v>
      </c>
      <c r="AH12" s="2">
        <f>AG12+真實IC!AH12</f>
        <v>1.3279491268057773</v>
      </c>
      <c r="AI12" s="2">
        <f>AH12+真實IC!AI12</f>
        <v>1.3356898270521536</v>
      </c>
      <c r="AJ12" s="2">
        <f>AI12+真實IC!AJ12</f>
        <v>1.3545923143988314</v>
      </c>
      <c r="AK12" s="2">
        <f>AJ12+真實IC!AK12</f>
        <v>1.3957070076516203</v>
      </c>
      <c r="AL12" s="2">
        <f>AK12+真實IC!AL12</f>
        <v>1.4318110043641836</v>
      </c>
      <c r="AM12" s="2">
        <f>AL12+真實IC!AM12</f>
        <v>1.457246999783717</v>
      </c>
      <c r="AN12" s="2">
        <f>AM12+真實IC!AN12</f>
        <v>1.5170991909869669</v>
      </c>
      <c r="AO12" s="2">
        <f>AN12+真實IC!AO12</f>
        <v>1.5460038667518927</v>
      </c>
      <c r="AP12" s="2">
        <f>AO12+真實IC!AP12</f>
        <v>1.5675434150138079</v>
      </c>
      <c r="AQ12" s="2">
        <f>AP12+真實IC!AQ12</f>
        <v>1.5822755487707278</v>
      </c>
      <c r="AR12" s="2">
        <f>AQ12+真實IC!AR12</f>
        <v>1.6130501956503087</v>
      </c>
      <c r="AS12" s="2">
        <f>AR12+真實IC!AS12</f>
        <v>1.6420887989575379</v>
      </c>
      <c r="AT12" s="2">
        <f>AS12+真實IC!AT12</f>
        <v>1.7139041682556724</v>
      </c>
      <c r="AU12" s="2">
        <f>AT12+真實IC!AU12</f>
        <v>1.7774136982974127</v>
      </c>
      <c r="AV12" s="2">
        <f>AU12+真實IC!AV12</f>
        <v>1.8367567431594485</v>
      </c>
      <c r="AW12" s="2">
        <f>AV12+真實IC!AW12</f>
        <v>1.8477746313951837</v>
      </c>
      <c r="AX12" s="2">
        <f>AW12+真實IC!AX12</f>
        <v>1.9035649452852186</v>
      </c>
      <c r="AY12" s="2">
        <f>AX12+真實IC!AY12</f>
        <v>1.9242703349195309</v>
      </c>
      <c r="AZ12" s="2">
        <f>AY12+真實IC!AZ12</f>
        <v>1.9806088200274452</v>
      </c>
      <c r="BA12" s="2">
        <f>AZ12+真實IC!BA12</f>
        <v>2.0512321321187836</v>
      </c>
      <c r="BB12" s="2">
        <f>BA12+真實IC!BB12</f>
        <v>2.0889634335565543</v>
      </c>
      <c r="BC12" s="2">
        <f>BB12+真實IC!BC12</f>
        <v>2.0927467539471012</v>
      </c>
      <c r="BD12" s="2">
        <f>BC12+真實IC!BD12</f>
        <v>2.1434271666156874</v>
      </c>
      <c r="BE12" s="2">
        <f>BD12+真實IC!BE12</f>
        <v>2.171047843238743</v>
      </c>
      <c r="BF12" s="2">
        <f>BE12+真實IC!BF12</f>
        <v>2.2168289454958159</v>
      </c>
      <c r="BG12" s="2">
        <f>BF12+真實IC!BG12</f>
        <v>2.2679021856004562</v>
      </c>
      <c r="BH12" s="2">
        <f>BG12+真實IC!BH12</f>
        <v>2.3023244062163095</v>
      </c>
      <c r="BI12" s="2">
        <f>BH12+真實IC!BI12</f>
        <v>2.3604753671510839</v>
      </c>
      <c r="BJ12" s="2">
        <f>BI12+真實IC!BJ12</f>
        <v>2.3966553746354782</v>
      </c>
      <c r="BK12" s="2">
        <f>BJ12+真實IC!BK12</f>
        <v>2.4140896801212359</v>
      </c>
      <c r="BL12" s="2">
        <f>BK12+真實IC!BL12</f>
        <v>2.4412138259007676</v>
      </c>
      <c r="BM12" s="2">
        <f>BL12+真實IC!BM12</f>
        <v>2.4815154255195675</v>
      </c>
      <c r="BN12" s="2">
        <f>BM12+真實IC!BN12</f>
        <v>2.5115533482987624</v>
      </c>
      <c r="BO12" s="2">
        <f>BN12+真實IC!BO12</f>
        <v>2.5361411735236059</v>
      </c>
      <c r="BP12" s="2">
        <f>BO12+真實IC!BP12</f>
        <v>2.5609513419798247</v>
      </c>
      <c r="BQ12" s="2">
        <f>BP12+真實IC!BQ12</f>
        <v>2.5666061679396441</v>
      </c>
      <c r="BR12" s="2">
        <f>BQ12+真實IC!BR12</f>
        <v>2.626359334949818</v>
      </c>
      <c r="BS12" s="2">
        <f>BR12+真實IC!BS12</f>
        <v>2.6561623452284264</v>
      </c>
      <c r="BT12" s="2">
        <f>BS12+真實IC!BT12</f>
        <v>2.6774682047958991</v>
      </c>
      <c r="BU12" s="2">
        <f>BT12+真實IC!BU12</f>
        <v>2.7128812456211908</v>
      </c>
      <c r="BV12" s="2">
        <f>BU12+真實IC!BV12</f>
        <v>2.7474360037578709</v>
      </c>
      <c r="BW12" s="2">
        <f>BV12+真實IC!BW12</f>
        <v>2.7857846518476985</v>
      </c>
      <c r="BX12" s="2">
        <f>BW12+真實IC!BX12</f>
        <v>2.8039836380672414</v>
      </c>
      <c r="BY12" s="2">
        <f>BX12+真實IC!BY12</f>
        <v>2.8550931609064492</v>
      </c>
      <c r="BZ12" s="2">
        <f>BY12+真實IC!BZ12</f>
        <v>2.8959674891194895</v>
      </c>
      <c r="CA12" s="2">
        <f>BZ12+真實IC!CA12</f>
        <v>2.9289809001583098</v>
      </c>
      <c r="CB12" s="2">
        <f>CA12+真實IC!CB12</f>
        <v>2.9852522271008182</v>
      </c>
      <c r="CC12" s="2">
        <f>CB12+真實IC!CC12</f>
        <v>3.0047979614516738</v>
      </c>
      <c r="CD12" s="2">
        <f>CC12+真實IC!CD12</f>
        <v>3.1061094807212664</v>
      </c>
      <c r="CE12" s="2">
        <f>CD12+真實IC!CE12</f>
        <v>3.2475260300546087</v>
      </c>
      <c r="CF12" s="2">
        <f>CE12+真實IC!CF12</f>
        <v>3.2797078185102455</v>
      </c>
      <c r="CG12" s="2">
        <f>CF12+真實IC!CG12</f>
        <v>3.3293691644446248</v>
      </c>
      <c r="CH12" s="2">
        <f>CG12+真實IC!CH12</f>
        <v>3.3972018365851451</v>
      </c>
      <c r="CI12" s="2">
        <f>CH12+真實IC!CI12</f>
        <v>3.4277900859087067</v>
      </c>
      <c r="CJ12" s="2">
        <f>CI12+真實IC!CJ12</f>
        <v>3.485825939133818</v>
      </c>
      <c r="CK12" s="2">
        <f>CJ12+真實IC!CK12</f>
        <v>3.5460695228209675</v>
      </c>
      <c r="CL12" s="2">
        <f>CK12+真實IC!CL12</f>
        <v>3.6997865858421508</v>
      </c>
      <c r="CM12" s="2">
        <f>CL12+真實IC!CM12</f>
        <v>3.7642174155698416</v>
      </c>
      <c r="CN12" s="2">
        <f>CM12+真實IC!CN12</f>
        <v>3.8619678906333994</v>
      </c>
      <c r="CO12" s="2">
        <f>CN12+真實IC!CO12</f>
        <v>3.9302887616514179</v>
      </c>
      <c r="CP12" s="2">
        <f>CO12+真實IC!CP12</f>
        <v>3.9763400015627104</v>
      </c>
      <c r="CQ12" s="2">
        <f>CP12+真實IC!CQ12</f>
        <v>4.0335508580401109</v>
      </c>
      <c r="CR12" s="2">
        <f>CQ12+真實IC!CR12</f>
        <v>4.0814968476082578</v>
      </c>
      <c r="CS12" s="2">
        <f>CR12+真實IC!CS12</f>
        <v>4.0867560379627479</v>
      </c>
      <c r="CT12" s="2">
        <f>CS12+真實IC!CT12</f>
        <v>4.1186921226257551</v>
      </c>
      <c r="CU12" s="2">
        <f>CT12+真實IC!CU12</f>
        <v>4.1954427239313112</v>
      </c>
      <c r="CV12" s="2">
        <f>CU12+真實IC!CV12</f>
        <v>4.2638967966447723</v>
      </c>
      <c r="CW12" s="2">
        <f>CV12+真實IC!CW12</f>
        <v>4.289843866895473</v>
      </c>
      <c r="CX12" s="2">
        <f>CW12+真實IC!CX12</f>
        <v>4.3601160231633189</v>
      </c>
      <c r="CY12" s="2">
        <f>CX12+真實IC!CY12</f>
        <v>4.3861277286387717</v>
      </c>
      <c r="CZ12" s="2">
        <f>CY12+真實IC!CZ12</f>
        <v>4.4744887956907577</v>
      </c>
      <c r="DA12" s="2">
        <f>CZ12+真實IC!DA12</f>
        <v>4.504861383413826</v>
      </c>
      <c r="DB12" s="2">
        <f>DA12+真實IC!DB12</f>
        <v>4.5817665852817111</v>
      </c>
      <c r="DC12" s="2">
        <f>DB12+真實IC!DC12</f>
        <v>4.6122692726531795</v>
      </c>
      <c r="DD12" s="2">
        <f>DC12+真實IC!DD12</f>
        <v>4.6716196943595119</v>
      </c>
      <c r="DE12" s="2">
        <f>DD12+真實IC!DE12</f>
        <v>4.6914723854495755</v>
      </c>
      <c r="DF12" s="2">
        <f>DE12+真實IC!DF12</f>
        <v>4.7403766616218617</v>
      </c>
      <c r="DG12" s="2">
        <f>DF12+真實IC!DG12</f>
        <v>4.7840636374630838</v>
      </c>
      <c r="DH12" s="2">
        <f>DG12+真實IC!DH12</f>
        <v>4.8165270696790685</v>
      </c>
      <c r="DI12" s="2">
        <f>DH12+真實IC!DI12</f>
        <v>4.8702523949461876</v>
      </c>
      <c r="DJ12" s="2">
        <f>DI12+真實IC!DJ12</f>
        <v>4.8913605798366691</v>
      </c>
      <c r="DK12" s="2">
        <f>DJ12+真實IC!DK12</f>
        <v>4.9255014803439403</v>
      </c>
      <c r="DL12" s="2">
        <f>DK12+真實IC!DL12</f>
        <v>4.9516150669075234</v>
      </c>
      <c r="DM12" s="2">
        <f>DL12+真實IC!DM12</f>
        <v>4.9735998447841796</v>
      </c>
      <c r="DN12" s="2">
        <f>DM12+真實IC!DN12</f>
        <v>5.0038589959416582</v>
      </c>
      <c r="DO12" s="2">
        <f>DN12+真實IC!DO12</f>
        <v>5.0272346399465873</v>
      </c>
      <c r="DP12" s="2">
        <f>DO12+真實IC!DP12</f>
        <v>5.0945078268543433</v>
      </c>
      <c r="DQ12" s="2">
        <f>DP12+真實IC!DQ12</f>
        <v>5.1564101832803697</v>
      </c>
      <c r="DR12" s="2">
        <f>DQ12+真實IC!DR12</f>
        <v>5.1780208749844556</v>
      </c>
      <c r="DS12" s="2">
        <f>DR12+真實IC!DS12</f>
        <v>5.258466940131961</v>
      </c>
      <c r="DT12" s="2">
        <f>DS12+真實IC!DT12</f>
        <v>5.2853958868616582</v>
      </c>
      <c r="DU12" s="2">
        <f>DT12+真實IC!DU12</f>
        <v>5.3354590826687183</v>
      </c>
      <c r="DV12" s="2">
        <f>DU12+真實IC!DV12</f>
        <v>5.3879060600485138</v>
      </c>
      <c r="DW12" s="2">
        <f>DV12+真實IC!DW12</f>
        <v>5.4458032842905864</v>
      </c>
      <c r="DX12" s="2">
        <f>DW12+真實IC!DX12</f>
        <v>5.4914776984966469</v>
      </c>
      <c r="DY12" s="2">
        <f>DX12+真實IC!DY12</f>
        <v>5.5397668135611573</v>
      </c>
      <c r="DZ12" s="2">
        <f>DY12+真實IC!DZ12</f>
        <v>5.5533663458351574</v>
      </c>
      <c r="EA12" s="2">
        <f>DZ12+真實IC!EA12</f>
        <v>5.6702170864039596</v>
      </c>
      <c r="EB12" s="2">
        <f>EA12+真實IC!EB12</f>
        <v>5.6982887635575787</v>
      </c>
      <c r="EC12" s="2">
        <f>EB12+真實IC!EC12</f>
        <v>5.7244837060363656</v>
      </c>
      <c r="ED12" s="2">
        <f>EC12+真實IC!ED12</f>
        <v>5.785910960457703</v>
      </c>
      <c r="EE12" s="2">
        <f>ED12+真實IC!EE12</f>
        <v>5.8140776876995011</v>
      </c>
      <c r="EF12" s="2">
        <f>EE12+真實IC!EF12</f>
        <v>5.8359101701333831</v>
      </c>
      <c r="EG12" s="2">
        <f>EF12+真實IC!EG12</f>
        <v>5.933739848006784</v>
      </c>
      <c r="EH12" s="2">
        <f>EG12+真實IC!EH12</f>
        <v>5.9559985305455569</v>
      </c>
      <c r="EI12" s="2">
        <f>EH12+真實IC!EI12</f>
        <v>5.9649597872189322</v>
      </c>
      <c r="EJ12" s="2">
        <f>EI12+真實IC!EJ12</f>
        <v>6.0329708010328345</v>
      </c>
      <c r="EK12" s="2">
        <f>EJ12+真實IC!EK12</f>
        <v>6.083088814242247</v>
      </c>
      <c r="EL12" s="2">
        <f>EK12+真實IC!EL12</f>
        <v>6.1321066954358239</v>
      </c>
    </row>
    <row r="13" spans="1:142" x14ac:dyDescent="0.3">
      <c r="A13" s="18"/>
      <c r="B13" s="18">
        <v>20</v>
      </c>
      <c r="C13" s="2">
        <v>0.12107776166471761</v>
      </c>
      <c r="D13" s="2">
        <f>C13+真實IC!D13</f>
        <v>0.20458304360897833</v>
      </c>
      <c r="E13" s="2">
        <f>D13+真實IC!E13</f>
        <v>0.25380215212440044</v>
      </c>
      <c r="F13" s="2">
        <f>E13+真實IC!F13</f>
        <v>0.29178930755259691</v>
      </c>
      <c r="G13" s="2">
        <f>F13+真實IC!G13</f>
        <v>0.3085735313998616</v>
      </c>
      <c r="H13" s="2">
        <f>G13+真實IC!H13</f>
        <v>0.33782479519152236</v>
      </c>
      <c r="I13" s="2">
        <f>H13+真實IC!I13</f>
        <v>0.38726089687300463</v>
      </c>
      <c r="J13" s="2">
        <f>I13+真實IC!J13</f>
        <v>0.44725061278717004</v>
      </c>
      <c r="K13" s="2">
        <f>J13+真實IC!K13</f>
        <v>0.46504056165103524</v>
      </c>
      <c r="L13" s="2">
        <f>K13+真實IC!L13</f>
        <v>0.48371413289628207</v>
      </c>
      <c r="M13" s="2">
        <f>L13+真實IC!M13</f>
        <v>0.49824648939595212</v>
      </c>
      <c r="N13" s="2">
        <f>M13+真實IC!N13</f>
        <v>0.58125014638226435</v>
      </c>
      <c r="O13" s="2">
        <f>N13+真實IC!O13</f>
        <v>0.59808539698073948</v>
      </c>
      <c r="P13" s="2">
        <f>O13+真實IC!P13</f>
        <v>0.61848125927254816</v>
      </c>
      <c r="Q13" s="2">
        <f>P13+真實IC!Q13</f>
        <v>0.62904689049979823</v>
      </c>
      <c r="R13" s="2">
        <f>Q13+真實IC!R13</f>
        <v>0.6257164901927208</v>
      </c>
      <c r="S13" s="2">
        <f>R13+真實IC!S13</f>
        <v>0.69295646155235535</v>
      </c>
      <c r="T13" s="2">
        <f>S13+真實IC!T13</f>
        <v>0.76336156712506142</v>
      </c>
      <c r="U13" s="2">
        <f>T13+真實IC!U13</f>
        <v>0.77797956275380487</v>
      </c>
      <c r="V13" s="2">
        <f>U13+真實IC!V13</f>
        <v>0.81390479094849855</v>
      </c>
      <c r="W13" s="2">
        <f>V13+真實IC!W13</f>
        <v>0.89359580841969222</v>
      </c>
      <c r="X13" s="2">
        <f>W13+真實IC!X13</f>
        <v>1.0328743069475035</v>
      </c>
      <c r="Y13" s="2">
        <f>X13+真實IC!Y13</f>
        <v>1.0742522222949278</v>
      </c>
      <c r="Z13" s="2">
        <f>Y13+真實IC!Z13</f>
        <v>1.1448323699275953</v>
      </c>
      <c r="AA13" s="2">
        <f>Z13+真實IC!AA13</f>
        <v>1.1955253522351348</v>
      </c>
      <c r="AB13" s="2">
        <f>AA13+真實IC!AB13</f>
        <v>1.2412977647397432</v>
      </c>
      <c r="AC13" s="2">
        <f>AB13+真實IC!AC13</f>
        <v>1.2683579444389286</v>
      </c>
      <c r="AD13" s="2">
        <f>AC13+真實IC!AD13</f>
        <v>1.2653495834930368</v>
      </c>
      <c r="AE13" s="2">
        <f>AD13+真實IC!AE13</f>
        <v>1.3312683097942353</v>
      </c>
      <c r="AF13" s="2">
        <f>AE13+真實IC!AF13</f>
        <v>1.3989065313959266</v>
      </c>
      <c r="AG13" s="2">
        <f>AF13+真實IC!AG13</f>
        <v>1.4426262128768759</v>
      </c>
      <c r="AH13" s="2">
        <f>AG13+真實IC!AH13</f>
        <v>1.4447401618130131</v>
      </c>
      <c r="AI13" s="2">
        <f>AH13+真實IC!AI13</f>
        <v>1.464330368738459</v>
      </c>
      <c r="AJ13" s="2">
        <f>AI13+真實IC!AJ13</f>
        <v>1.4543388085857654</v>
      </c>
      <c r="AK13" s="2">
        <f>AJ13+真實IC!AK13</f>
        <v>1.5180319331362466</v>
      </c>
      <c r="AL13" s="2">
        <f>AK13+真實IC!AL13</f>
        <v>1.5527082943824919</v>
      </c>
      <c r="AM13" s="2">
        <f>AL13+真實IC!AM13</f>
        <v>1.5813805100223093</v>
      </c>
      <c r="AN13" s="2">
        <f>AM13+真實IC!AN13</f>
        <v>1.6783203519471086</v>
      </c>
      <c r="AO13" s="2">
        <f>AN13+真實IC!AO13</f>
        <v>1.7097699835874174</v>
      </c>
      <c r="AP13" s="2">
        <f>AO13+真實IC!AP13</f>
        <v>1.7551684526779581</v>
      </c>
      <c r="AQ13" s="2">
        <f>AP13+真實IC!AQ13</f>
        <v>1.7711058325417426</v>
      </c>
      <c r="AR13" s="2">
        <f>AQ13+真實IC!AR13</f>
        <v>1.8047043947733228</v>
      </c>
      <c r="AS13" s="2">
        <f>AR13+真實IC!AS13</f>
        <v>1.8395819627780325</v>
      </c>
      <c r="AT13" s="2">
        <f>AS13+真實IC!AT13</f>
        <v>1.9345111147668781</v>
      </c>
      <c r="AU13" s="2">
        <f>AT13+真實IC!AU13</f>
        <v>2.007529244550017</v>
      </c>
      <c r="AV13" s="2">
        <f>AU13+真實IC!AV13</f>
        <v>2.1042400083719239</v>
      </c>
      <c r="AW13" s="2">
        <f>AV13+真實IC!AW13</f>
        <v>2.1205061304189106</v>
      </c>
      <c r="AX13" s="2">
        <f>AW13+真實IC!AX13</f>
        <v>2.1726069035739966</v>
      </c>
      <c r="AY13" s="2">
        <f>AX13+真實IC!AY13</f>
        <v>2.1815849857920333</v>
      </c>
      <c r="AZ13" s="2">
        <f>AY13+真實IC!AZ13</f>
        <v>2.2472548491168718</v>
      </c>
      <c r="BA13" s="2">
        <f>AZ13+真實IC!BA13</f>
        <v>2.3204345514627995</v>
      </c>
      <c r="BB13" s="2">
        <f>BA13+真實IC!BB13</f>
        <v>2.337114804220259</v>
      </c>
      <c r="BC13" s="2">
        <f>BB13+真實IC!BC13</f>
        <v>2.3432852055127023</v>
      </c>
      <c r="BD13" s="2">
        <f>BC13+真實IC!BD13</f>
        <v>2.3805590910138394</v>
      </c>
      <c r="BE13" s="2">
        <f>BD13+真實IC!BE13</f>
        <v>2.4173160363052766</v>
      </c>
      <c r="BF13" s="2">
        <f>BE13+真實IC!BF13</f>
        <v>2.5225970237171969</v>
      </c>
      <c r="BG13" s="2">
        <f>BF13+真實IC!BG13</f>
        <v>2.6080366115003066</v>
      </c>
      <c r="BH13" s="2">
        <f>BG13+真實IC!BH13</f>
        <v>2.6492163846349102</v>
      </c>
      <c r="BI13" s="2">
        <f>BH13+真實IC!BI13</f>
        <v>2.7054935791296884</v>
      </c>
      <c r="BJ13" s="2">
        <f>BI13+真實IC!BJ13</f>
        <v>2.7516455049569735</v>
      </c>
      <c r="BK13" s="2">
        <f>BJ13+真實IC!BK13</f>
        <v>2.7845331242638136</v>
      </c>
      <c r="BL13" s="2">
        <f>BK13+真實IC!BL13</f>
        <v>2.8234741830441634</v>
      </c>
      <c r="BM13" s="2">
        <f>BL13+真實IC!BM13</f>
        <v>2.8700866986091387</v>
      </c>
      <c r="BN13" s="2">
        <f>BM13+真實IC!BN13</f>
        <v>2.8975530614803549</v>
      </c>
      <c r="BO13" s="2">
        <f>BN13+真實IC!BO13</f>
        <v>2.9386433962541987</v>
      </c>
      <c r="BP13" s="2">
        <f>BO13+真實IC!BP13</f>
        <v>2.9588650755626991</v>
      </c>
      <c r="BQ13" s="2">
        <f>BP13+真實IC!BQ13</f>
        <v>2.9795367690109225</v>
      </c>
      <c r="BR13" s="2">
        <f>BQ13+真實IC!BR13</f>
        <v>3.058972142602657</v>
      </c>
      <c r="BS13" s="2">
        <f>BR13+真實IC!BS13</f>
        <v>3.0930208589613906</v>
      </c>
      <c r="BT13" s="2">
        <f>BS13+真實IC!BT13</f>
        <v>3.1052036205058822</v>
      </c>
      <c r="BU13" s="2">
        <f>BT13+真實IC!BU13</f>
        <v>3.1658369990951352</v>
      </c>
      <c r="BV13" s="2">
        <f>BU13+真實IC!BV13</f>
        <v>3.2153157400307464</v>
      </c>
      <c r="BW13" s="2">
        <f>BV13+真實IC!BW13</f>
        <v>3.2752706312869351</v>
      </c>
      <c r="BX13" s="2">
        <f>BW13+真實IC!BX13</f>
        <v>3.2997884532865567</v>
      </c>
      <c r="BY13" s="2">
        <f>BX13+真實IC!BY13</f>
        <v>3.3486346533748224</v>
      </c>
      <c r="BZ13" s="2">
        <f>BY13+真實IC!BZ13</f>
        <v>3.4158307845727616</v>
      </c>
      <c r="CA13" s="2">
        <f>BZ13+真實IC!CA13</f>
        <v>3.4421343627585848</v>
      </c>
      <c r="CB13" s="2">
        <f>CA13+真實IC!CB13</f>
        <v>3.5530385975721401</v>
      </c>
      <c r="CC13" s="2">
        <f>CB13+真實IC!CC13</f>
        <v>3.5519669254806936</v>
      </c>
      <c r="CD13" s="2">
        <f>CC13+真實IC!CD13</f>
        <v>3.6542197029347396</v>
      </c>
      <c r="CE13" s="2">
        <f>CD13+真實IC!CE13</f>
        <v>3.8384220207644604</v>
      </c>
      <c r="CF13" s="2">
        <f>CE13+真實IC!CF13</f>
        <v>3.8859055057398639</v>
      </c>
      <c r="CG13" s="2">
        <f>CF13+真實IC!CG13</f>
        <v>3.935108158483525</v>
      </c>
      <c r="CH13" s="2">
        <f>CG13+真實IC!CH13</f>
        <v>3.9846629015544557</v>
      </c>
      <c r="CI13" s="2">
        <f>CH13+真實IC!CI13</f>
        <v>4.0347561479520309</v>
      </c>
      <c r="CJ13" s="2">
        <f>CI13+真實IC!CJ13</f>
        <v>4.103840843013959</v>
      </c>
      <c r="CK13" s="2">
        <f>CJ13+真實IC!CK13</f>
        <v>4.1693579613854794</v>
      </c>
      <c r="CL13" s="2">
        <f>CK13+真實IC!CL13</f>
        <v>4.3301540563433338</v>
      </c>
      <c r="CM13" s="2">
        <f>CL13+真實IC!CM13</f>
        <v>4.412945825834222</v>
      </c>
      <c r="CN13" s="2">
        <f>CM13+真實IC!CN13</f>
        <v>4.5266042470668086</v>
      </c>
      <c r="CO13" s="2">
        <f>CN13+真實IC!CO13</f>
        <v>4.605719746099239</v>
      </c>
      <c r="CP13" s="2">
        <f>CO13+真實IC!CP13</f>
        <v>4.6725134821596965</v>
      </c>
      <c r="CQ13" s="2">
        <f>CP13+真實IC!CQ13</f>
        <v>4.7291552142991176</v>
      </c>
      <c r="CR13" s="2">
        <f>CQ13+真實IC!CR13</f>
        <v>4.800674433711789</v>
      </c>
      <c r="CS13" s="2">
        <f>CR13+真實IC!CS13</f>
        <v>4.8104910549938014</v>
      </c>
      <c r="CT13" s="2">
        <f>CS13+真實IC!CT13</f>
        <v>4.8394627374997796</v>
      </c>
      <c r="CU13" s="2">
        <f>CT13+真實IC!CU13</f>
        <v>4.9512507890668784</v>
      </c>
      <c r="CV13" s="2">
        <f>CU13+真實IC!CV13</f>
        <v>5.0281581452801607</v>
      </c>
      <c r="CW13" s="2">
        <f>CV13+真實IC!CW13</f>
        <v>5.0619537393280201</v>
      </c>
      <c r="CX13" s="2">
        <f>CW13+真實IC!CX13</f>
        <v>5.1416391817182108</v>
      </c>
      <c r="CY13" s="2">
        <f>CX13+真實IC!CY13</f>
        <v>5.1978728676266224</v>
      </c>
      <c r="CZ13" s="2">
        <f>CY13+真實IC!CZ13</f>
        <v>5.2782217569995078</v>
      </c>
      <c r="DA13" s="2">
        <f>CZ13+真實IC!DA13</f>
        <v>5.2930515400263047</v>
      </c>
      <c r="DB13" s="2">
        <f>DA13+真實IC!DB13</f>
        <v>5.3711340944276413</v>
      </c>
      <c r="DC13" s="2">
        <f>DB13+真實IC!DC13</f>
        <v>5.3962994871598298</v>
      </c>
      <c r="DD13" s="2">
        <f>DC13+真實IC!DD13</f>
        <v>5.4679927591514659</v>
      </c>
      <c r="DE13" s="2">
        <f>DD13+真實IC!DE13</f>
        <v>5.4826254251526576</v>
      </c>
      <c r="DF13" s="2">
        <f>DE13+真實IC!DF13</f>
        <v>5.5465595908550034</v>
      </c>
      <c r="DG13" s="2">
        <f>DF13+真實IC!DG13</f>
        <v>5.5840888514927673</v>
      </c>
      <c r="DH13" s="2">
        <f>DG13+真實IC!DH13</f>
        <v>5.6231792588219109</v>
      </c>
      <c r="DI13" s="2">
        <f>DH13+真實IC!DI13</f>
        <v>5.6941889264716723</v>
      </c>
      <c r="DJ13" s="2">
        <f>DI13+真實IC!DJ13</f>
        <v>5.7002257931282108</v>
      </c>
      <c r="DK13" s="2">
        <f>DJ13+真實IC!DK13</f>
        <v>5.7210307857153309</v>
      </c>
      <c r="DL13" s="2">
        <f>DK13+真實IC!DL13</f>
        <v>5.752959152642509</v>
      </c>
      <c r="DM13" s="2">
        <f>DL13+真實IC!DM13</f>
        <v>5.7610581739809659</v>
      </c>
      <c r="DN13" s="2">
        <f>DM13+真實IC!DN13</f>
        <v>5.7606428372155998</v>
      </c>
      <c r="DO13" s="2">
        <f>DN13+真實IC!DO13</f>
        <v>5.8017105537611648</v>
      </c>
      <c r="DP13" s="2">
        <f>DO13+真實IC!DP13</f>
        <v>5.8769519020122383</v>
      </c>
      <c r="DQ13" s="2">
        <f>DP13+真實IC!DQ13</f>
        <v>5.9381724977352022</v>
      </c>
      <c r="DR13" s="2">
        <f>DQ13+真實IC!DR13</f>
        <v>5.9584058142440455</v>
      </c>
      <c r="DS13" s="2">
        <f>DR13+真實IC!DS13</f>
        <v>6.0297117788847334</v>
      </c>
      <c r="DT13" s="2">
        <f>DS13+真實IC!DT13</f>
        <v>6.0570868916383969</v>
      </c>
      <c r="DU13" s="2">
        <f>DT13+真實IC!DU13</f>
        <v>6.069400641907337</v>
      </c>
      <c r="DV13" s="2">
        <f>DU13+真實IC!DV13</f>
        <v>6.1417983569306225</v>
      </c>
      <c r="DW13" s="2">
        <f>DV13+真實IC!DW13</f>
        <v>6.2006911940235039</v>
      </c>
      <c r="DX13" s="2">
        <f>DW13+真實IC!DX13</f>
        <v>6.2610441766431784</v>
      </c>
      <c r="DY13" s="2">
        <f>DX13+真實IC!DY13</f>
        <v>6.3483193301209511</v>
      </c>
      <c r="DZ13" s="2">
        <f>DY13+真實IC!DZ13</f>
        <v>6.3658479969041517</v>
      </c>
      <c r="EA13" s="2">
        <f>DZ13+真實IC!EA13</f>
        <v>6.4927962644572492</v>
      </c>
      <c r="EB13" s="2">
        <f>EA13+真實IC!EB13</f>
        <v>6.549876797638901</v>
      </c>
      <c r="EC13" s="2">
        <f>EB13+真實IC!EC13</f>
        <v>6.5908170792810727</v>
      </c>
      <c r="ED13" s="2">
        <f>EC13+真實IC!ED13</f>
        <v>6.6567555322675762</v>
      </c>
      <c r="EE13" s="2">
        <f>ED13+真實IC!EE13</f>
        <v>6.6939130439853889</v>
      </c>
      <c r="EF13" s="2">
        <f>EE13+真實IC!EF13</f>
        <v>6.7298949721108015</v>
      </c>
      <c r="EG13" s="2">
        <f>EF13+真實IC!EG13</f>
        <v>6.8814441582338333</v>
      </c>
      <c r="EH13" s="2">
        <f>EG13+真實IC!EH13</f>
        <v>6.8780410829464014</v>
      </c>
      <c r="EI13" s="2">
        <f>EH13+真實IC!EI13</f>
        <v>6.8916633434339882</v>
      </c>
      <c r="EJ13" s="2">
        <f>EI13+真實IC!EJ13</f>
        <v>6.9828983030424023</v>
      </c>
      <c r="EK13" s="2">
        <f>EJ13+真實IC!EK13</f>
        <v>7.026484440463312</v>
      </c>
      <c r="EL13" s="2">
        <f>EK13+真實IC!EL13</f>
        <v>7.0925931591610931</v>
      </c>
    </row>
    <row r="14" spans="1:142" x14ac:dyDescent="0.3">
      <c r="A14" s="18"/>
      <c r="B14" s="18">
        <v>50</v>
      </c>
      <c r="C14" s="2">
        <v>0.13220513330973041</v>
      </c>
      <c r="D14" s="2">
        <f>C14+真實IC!D14</f>
        <v>0.24801793225664159</v>
      </c>
      <c r="E14" s="2">
        <f>D14+真實IC!E14</f>
        <v>0.33165735839892363</v>
      </c>
      <c r="F14" s="2">
        <f>E14+真實IC!F14</f>
        <v>0.37909894228445828</v>
      </c>
      <c r="G14" s="2">
        <f>F14+真實IC!G14</f>
        <v>0.45418431291672007</v>
      </c>
      <c r="H14" s="2">
        <f>G14+真實IC!H14</f>
        <v>0.53039531598155654</v>
      </c>
      <c r="I14" s="2">
        <f>H14+真實IC!I14</f>
        <v>0.61270890670408684</v>
      </c>
      <c r="J14" s="2">
        <f>I14+真實IC!J14</f>
        <v>0.67680005475028704</v>
      </c>
      <c r="K14" s="2">
        <f>J14+真實IC!K14</f>
        <v>0.71491569381705056</v>
      </c>
      <c r="L14" s="2">
        <f>K14+真實IC!L14</f>
        <v>0.75179836079148943</v>
      </c>
      <c r="M14" s="2">
        <f>L14+真實IC!M14</f>
        <v>0.7495231913895356</v>
      </c>
      <c r="N14" s="2">
        <f>M14+真實IC!N14</f>
        <v>0.89542709589635616</v>
      </c>
      <c r="O14" s="2">
        <f>N14+真實IC!O14</f>
        <v>0.88844326492442183</v>
      </c>
      <c r="P14" s="2">
        <f>O14+真實IC!P14</f>
        <v>0.94415829994688882</v>
      </c>
      <c r="Q14" s="2">
        <f>P14+真實IC!Q14</f>
        <v>0.9477459749050231</v>
      </c>
      <c r="R14" s="2">
        <f>Q14+真實IC!R14</f>
        <v>0.94445477846066994</v>
      </c>
      <c r="S14" s="2">
        <f>R14+真實IC!S14</f>
        <v>1.084038887806781</v>
      </c>
      <c r="T14" s="2">
        <f>S14+真實IC!T14</f>
        <v>1.1276795245196236</v>
      </c>
      <c r="U14" s="2">
        <f>T14+真實IC!U14</f>
        <v>1.1090072731857028</v>
      </c>
      <c r="V14" s="2">
        <f>U14+真實IC!V14</f>
        <v>1.1283639610960974</v>
      </c>
      <c r="W14" s="2">
        <f>V14+真實IC!W14</f>
        <v>1.2294439682539158</v>
      </c>
      <c r="X14" s="2">
        <f>W14+真實IC!X14</f>
        <v>1.3815935470936271</v>
      </c>
      <c r="Y14" s="2">
        <f>X14+真實IC!Y14</f>
        <v>1.4261379484623908</v>
      </c>
      <c r="Z14" s="2">
        <f>Y14+真實IC!Z14</f>
        <v>1.4766756604455196</v>
      </c>
      <c r="AA14" s="2">
        <f>Z14+真實IC!AA14</f>
        <v>1.5735266102293859</v>
      </c>
      <c r="AB14" s="2">
        <f>AA14+真實IC!AB14</f>
        <v>1.6427543245421481</v>
      </c>
      <c r="AC14" s="2">
        <f>AB14+真實IC!AC14</f>
        <v>1.6405035384465123</v>
      </c>
      <c r="AD14" s="2">
        <f>AC14+真實IC!AD14</f>
        <v>1.6474565474738747</v>
      </c>
      <c r="AE14" s="2">
        <f>AD14+真實IC!AE14</f>
        <v>1.755752931790282</v>
      </c>
      <c r="AF14" s="2">
        <f>AE14+真實IC!AF14</f>
        <v>1.8325962978913071</v>
      </c>
      <c r="AG14" s="2">
        <f>AF14+真實IC!AG14</f>
        <v>1.8612522842231087</v>
      </c>
      <c r="AH14" s="2">
        <f>AG14+真實IC!AH14</f>
        <v>1.8511329542059012</v>
      </c>
      <c r="AI14" s="2">
        <f>AH14+真實IC!AI14</f>
        <v>1.8237299682805022</v>
      </c>
      <c r="AJ14" s="2">
        <f>AI14+真實IC!AJ14</f>
        <v>1.8314923932058984</v>
      </c>
      <c r="AK14" s="2">
        <f>AJ14+真實IC!AK14</f>
        <v>1.8899435158446174</v>
      </c>
      <c r="AL14" s="2">
        <f>AK14+真實IC!AL14</f>
        <v>1.931958864222123</v>
      </c>
      <c r="AM14" s="2">
        <f>AL14+真實IC!AM14</f>
        <v>1.9827146069429822</v>
      </c>
      <c r="AN14" s="2">
        <f>AM14+真實IC!AN14</f>
        <v>2.0871301801708246</v>
      </c>
      <c r="AO14" s="2">
        <f>AN14+真實IC!AO14</f>
        <v>2.1197348479538212</v>
      </c>
      <c r="AP14" s="2">
        <f>AO14+真實IC!AP14</f>
        <v>2.1742365793885954</v>
      </c>
      <c r="AQ14" s="2">
        <f>AP14+真實IC!AQ14</f>
        <v>2.1939022646655726</v>
      </c>
      <c r="AR14" s="2">
        <f>AQ14+真實IC!AR14</f>
        <v>2.2562817211546333</v>
      </c>
      <c r="AS14" s="2">
        <f>AR14+真實IC!AS14</f>
        <v>2.2428037195996566</v>
      </c>
      <c r="AT14" s="2">
        <f>AS14+真實IC!AT14</f>
        <v>2.380618133103642</v>
      </c>
      <c r="AU14" s="2">
        <f>AT14+真實IC!AU14</f>
        <v>2.4903248238624394</v>
      </c>
      <c r="AV14" s="2">
        <f>AU14+真實IC!AV14</f>
        <v>2.6010374981850917</v>
      </c>
      <c r="AW14" s="2">
        <f>AV14+真實IC!AW14</f>
        <v>2.6662970486675426</v>
      </c>
      <c r="AX14" s="2">
        <f>AW14+真實IC!AX14</f>
        <v>2.7070670322018411</v>
      </c>
      <c r="AY14" s="2">
        <f>AX14+真實IC!AY14</f>
        <v>2.7242600763072793</v>
      </c>
      <c r="AZ14" s="2">
        <f>AY14+真實IC!AZ14</f>
        <v>2.7296011538116578</v>
      </c>
      <c r="BA14" s="2">
        <f>AZ14+真實IC!BA14</f>
        <v>2.8209126584242989</v>
      </c>
      <c r="BB14" s="2">
        <f>BA14+真實IC!BB14</f>
        <v>2.8987312520574471</v>
      </c>
      <c r="BC14" s="2">
        <f>BB14+真實IC!BC14</f>
        <v>2.9192544561135523</v>
      </c>
      <c r="BD14" s="2">
        <f>BC14+真實IC!BD14</f>
        <v>2.9466053816129669</v>
      </c>
      <c r="BE14" s="2">
        <f>BD14+真實IC!BE14</f>
        <v>3.0184174991849946</v>
      </c>
      <c r="BF14" s="2">
        <f>BE14+真實IC!BF14</f>
        <v>3.175708725571643</v>
      </c>
      <c r="BG14" s="2">
        <f>BF14+真實IC!BG14</f>
        <v>3.3027817514862909</v>
      </c>
      <c r="BH14" s="2">
        <f>BG14+真實IC!BH14</f>
        <v>3.3674933765460184</v>
      </c>
      <c r="BI14" s="2">
        <f>BH14+真實IC!BI14</f>
        <v>3.397580793838018</v>
      </c>
      <c r="BJ14" s="2">
        <f>BI14+真實IC!BJ14</f>
        <v>3.422476376956352</v>
      </c>
      <c r="BK14" s="2">
        <f>BJ14+真實IC!BK14</f>
        <v>3.4014320499127098</v>
      </c>
      <c r="BL14" s="2">
        <f>BK14+真實IC!BL14</f>
        <v>3.4339358358947489</v>
      </c>
      <c r="BM14" s="2">
        <f>BL14+真實IC!BM14</f>
        <v>3.466857000718194</v>
      </c>
      <c r="BN14" s="2">
        <f>BM14+真實IC!BN14</f>
        <v>3.4780629038205766</v>
      </c>
      <c r="BO14" s="2">
        <f>BN14+真實IC!BO14</f>
        <v>3.5022787197712728</v>
      </c>
      <c r="BP14" s="2">
        <f>BO14+真實IC!BP14</f>
        <v>3.4540504243043699</v>
      </c>
      <c r="BQ14" s="2">
        <f>BP14+真實IC!BQ14</f>
        <v>3.4615159032956013</v>
      </c>
      <c r="BR14" s="2">
        <f>BQ14+真實IC!BR14</f>
        <v>3.5413627493986319</v>
      </c>
      <c r="BS14" s="2">
        <f>BR14+真實IC!BS14</f>
        <v>3.5709743645793757</v>
      </c>
      <c r="BT14" s="2">
        <f>BS14+真實IC!BT14</f>
        <v>3.5540714274490068</v>
      </c>
      <c r="BU14" s="2">
        <f>BT14+真實IC!BU14</f>
        <v>3.6614664653624751</v>
      </c>
      <c r="BV14" s="2">
        <f>BU14+真實IC!BV14</f>
        <v>3.7425474716531468</v>
      </c>
      <c r="BW14" s="2">
        <f>BV14+真實IC!BW14</f>
        <v>3.8373606578466721</v>
      </c>
      <c r="BX14" s="2">
        <f>BW14+真實IC!BX14</f>
        <v>3.8333733192463098</v>
      </c>
      <c r="BY14" s="2">
        <f>BX14+真實IC!BY14</f>
        <v>3.9315770848721847</v>
      </c>
      <c r="BZ14" s="2">
        <f>BY14+真實IC!BZ14</f>
        <v>4.0130122190327562</v>
      </c>
      <c r="CA14" s="2">
        <f>BZ14+真實IC!CA14</f>
        <v>3.9977114046339257</v>
      </c>
      <c r="CB14" s="2">
        <f>CA14+真實IC!CB14</f>
        <v>4.1095056509540306</v>
      </c>
      <c r="CC14" s="2">
        <f>CB14+真實IC!CC14</f>
        <v>4.1189613025118694</v>
      </c>
      <c r="CD14" s="2">
        <f>CC14+真實IC!CD14</f>
        <v>4.2069525820722546</v>
      </c>
      <c r="CE14" s="2">
        <f>CD14+真實IC!CE14</f>
        <v>4.4136206058965577</v>
      </c>
      <c r="CF14" s="2">
        <f>CE14+真實IC!CF14</f>
        <v>4.4909822514338229</v>
      </c>
      <c r="CG14" s="2">
        <f>CF14+真實IC!CG14</f>
        <v>4.55614321982834</v>
      </c>
      <c r="CH14" s="2">
        <f>CG14+真實IC!CH14</f>
        <v>4.6147565266999147</v>
      </c>
      <c r="CI14" s="2">
        <f>CH14+真實IC!CI14</f>
        <v>4.7286007411718902</v>
      </c>
      <c r="CJ14" s="2">
        <f>CI14+真實IC!CJ14</f>
        <v>4.7900387310682948</v>
      </c>
      <c r="CK14" s="2">
        <f>CJ14+真實IC!CK14</f>
        <v>4.8439814231953751</v>
      </c>
      <c r="CL14" s="2">
        <f>CK14+真實IC!CL14</f>
        <v>5.0504251262065303</v>
      </c>
      <c r="CM14" s="2">
        <f>CL14+真實IC!CM14</f>
        <v>5.1404958562718805</v>
      </c>
      <c r="CN14" s="2">
        <f>CM14+真實IC!CN14</f>
        <v>5.3548578276189955</v>
      </c>
      <c r="CO14" s="2">
        <f>CN14+真實IC!CO14</f>
        <v>5.5327609446384169</v>
      </c>
      <c r="CP14" s="2">
        <f>CO14+真實IC!CP14</f>
        <v>5.5940081351966633</v>
      </c>
      <c r="CQ14" s="2">
        <f>CP14+真實IC!CQ14</f>
        <v>5.6109921211800673</v>
      </c>
      <c r="CR14" s="2">
        <f>CQ14+真實IC!CR14</f>
        <v>5.6606127309803993</v>
      </c>
      <c r="CS14" s="2">
        <f>CR14+真實IC!CS14</f>
        <v>5.6727818176719325</v>
      </c>
      <c r="CT14" s="2">
        <f>CS14+真實IC!CT14</f>
        <v>5.7469857497276982</v>
      </c>
      <c r="CU14" s="2">
        <f>CT14+真實IC!CU14</f>
        <v>5.8774790689905476</v>
      </c>
      <c r="CV14" s="2">
        <f>CU14+真實IC!CV14</f>
        <v>6.0122188166223252</v>
      </c>
      <c r="CW14" s="2">
        <f>CV14+真實IC!CW14</f>
        <v>6.0534267599217761</v>
      </c>
      <c r="CX14" s="2">
        <f>CW14+真實IC!CX14</f>
        <v>6.1323073865421547</v>
      </c>
      <c r="CY14" s="2">
        <f>CX14+真實IC!CY14</f>
        <v>6.2419790103084472</v>
      </c>
      <c r="CZ14" s="2">
        <f>CY14+真實IC!CZ14</f>
        <v>6.3090074938930671</v>
      </c>
      <c r="DA14" s="2">
        <f>CZ14+真實IC!DA14</f>
        <v>6.3564073481252885</v>
      </c>
      <c r="DB14" s="2">
        <f>DA14+真實IC!DB14</f>
        <v>6.4400462275221075</v>
      </c>
      <c r="DC14" s="2">
        <f>DB14+真實IC!DC14</f>
        <v>6.4524671939162221</v>
      </c>
      <c r="DD14" s="2">
        <f>DC14+真實IC!DD14</f>
        <v>6.5512019623353153</v>
      </c>
      <c r="DE14" s="2">
        <f>DD14+真實IC!DE14</f>
        <v>6.6102753646309207</v>
      </c>
      <c r="DF14" s="2">
        <f>DE14+真實IC!DF14</f>
        <v>6.7735280988143876</v>
      </c>
      <c r="DG14" s="2">
        <f>DF14+真實IC!DG14</f>
        <v>6.8172693729288731</v>
      </c>
      <c r="DH14" s="2">
        <f>DG14+真實IC!DH14</f>
        <v>6.8801953988162916</v>
      </c>
      <c r="DI14" s="2">
        <f>DH14+真實IC!DI14</f>
        <v>7.0091154980461443</v>
      </c>
      <c r="DJ14" s="2">
        <f>DI14+真實IC!DJ14</f>
        <v>7.0228926659144442</v>
      </c>
      <c r="DK14" s="2">
        <f>DJ14+真實IC!DK14</f>
        <v>7.0584181044474867</v>
      </c>
      <c r="DL14" s="2">
        <f>DK14+真實IC!DL14</f>
        <v>7.0982907376904745</v>
      </c>
      <c r="DM14" s="2">
        <f>DL14+真實IC!DM14</f>
        <v>7.1174072027139319</v>
      </c>
      <c r="DN14" s="2">
        <f>DM14+真實IC!DN14</f>
        <v>7.1596264578261293</v>
      </c>
      <c r="DO14" s="2">
        <f>DN14+真實IC!DO14</f>
        <v>7.2271180128174892</v>
      </c>
      <c r="DP14" s="2">
        <f>DO14+真實IC!DP14</f>
        <v>7.3092178855663068</v>
      </c>
      <c r="DQ14" s="2">
        <f>DP14+真實IC!DQ14</f>
        <v>7.3418634185824745</v>
      </c>
      <c r="DR14" s="2">
        <f>DQ14+真實IC!DR14</f>
        <v>7.3954771874316796</v>
      </c>
      <c r="DS14" s="2">
        <f>DR14+真實IC!DS14</f>
        <v>7.4493698360573619</v>
      </c>
      <c r="DT14" s="2">
        <f>DS14+真實IC!DT14</f>
        <v>7.4644951211578094</v>
      </c>
      <c r="DU14" s="2">
        <f>DT14+真實IC!DU14</f>
        <v>7.5193447713465318</v>
      </c>
      <c r="DV14" s="2">
        <f>DU14+真實IC!DV14</f>
        <v>7.6242980919803731</v>
      </c>
      <c r="DW14" s="2">
        <f>DV14+真實IC!DW14</f>
        <v>7.700593171733809</v>
      </c>
      <c r="DX14" s="2">
        <f>DW14+真實IC!DX14</f>
        <v>7.772148825974444</v>
      </c>
      <c r="DY14" s="2">
        <f>DX14+真實IC!DY14</f>
        <v>7.9202519603111705</v>
      </c>
      <c r="DZ14" s="2">
        <f>DY14+真實IC!DZ14</f>
        <v>7.9334884152241392</v>
      </c>
      <c r="EA14" s="2">
        <f>DZ14+真實IC!EA14</f>
        <v>8.0017728984471077</v>
      </c>
      <c r="EB14" s="2">
        <f>EA14+真實IC!EB14</f>
        <v>8.0863927151101915</v>
      </c>
      <c r="EC14" s="2">
        <f>EB14+真實IC!EC14</f>
        <v>8.1038666506055339</v>
      </c>
      <c r="ED14" s="2">
        <f>EC14+真實IC!ED14</f>
        <v>8.202803976599343</v>
      </c>
      <c r="EE14" s="2">
        <f>ED14+真實IC!EE14</f>
        <v>8.2153389692690855</v>
      </c>
      <c r="EF14" s="2">
        <f>EE14+真實IC!EF14</f>
        <v>8.2744145422557711</v>
      </c>
      <c r="EG14" s="2">
        <f>EF14+真實IC!EG14</f>
        <v>8.4904114115736551</v>
      </c>
      <c r="EH14" s="2">
        <f>EG14+真實IC!EH14</f>
        <v>8.4961186243817384</v>
      </c>
      <c r="EI14" s="2">
        <f>EH14+真實IC!EI14</f>
        <v>8.5018139917751938</v>
      </c>
      <c r="EJ14" s="2">
        <f>EI14+真實IC!EJ14</f>
        <v>8.5770748948308491</v>
      </c>
      <c r="EK14" s="2">
        <f>EJ14+真實IC!EK14</f>
        <v>8.6127755205146475</v>
      </c>
      <c r="EL14" s="2">
        <f>EK14+真實IC!EL14</f>
        <v>8.7130010270959382</v>
      </c>
    </row>
    <row r="15" spans="1:142" x14ac:dyDescent="0.3">
      <c r="A15" s="18"/>
      <c r="B15" s="18">
        <v>110</v>
      </c>
      <c r="C15" s="2">
        <v>0.24155842264248281</v>
      </c>
      <c r="D15" s="2">
        <f>C15+真實IC!D15</f>
        <v>0.41534733550876868</v>
      </c>
      <c r="E15" s="2">
        <f>D15+真實IC!E15</f>
        <v>0.4899169985458296</v>
      </c>
      <c r="F15" s="2">
        <f>E15+真實IC!F15</f>
        <v>0.57169902512199011</v>
      </c>
      <c r="G15" s="2">
        <f>F15+真實IC!G15</f>
        <v>0.57423480488802581</v>
      </c>
      <c r="H15" s="2">
        <f>G15+真實IC!H15</f>
        <v>0.6560504548117001</v>
      </c>
      <c r="I15" s="2">
        <f>H15+真實IC!I15</f>
        <v>0.78434683962410978</v>
      </c>
      <c r="J15" s="2">
        <f>I15+真實IC!J15</f>
        <v>0.9197055020672531</v>
      </c>
      <c r="K15" s="2">
        <f>J15+真實IC!K15</f>
        <v>0.95121360033484237</v>
      </c>
      <c r="L15" s="2">
        <f>K15+真實IC!L15</f>
        <v>0.92846023774913566</v>
      </c>
      <c r="M15" s="2">
        <f>L15+真實IC!M15</f>
        <v>0.98475609661682872</v>
      </c>
      <c r="N15" s="2">
        <f>M15+真實IC!N15</f>
        <v>1.232144142118927</v>
      </c>
      <c r="O15" s="2">
        <f>N15+真實IC!O15</f>
        <v>1.2132475991187466</v>
      </c>
      <c r="P15" s="2">
        <f>O15+真實IC!P15</f>
        <v>1.2827420122233273</v>
      </c>
      <c r="Q15" s="2">
        <f>P15+真實IC!Q15</f>
        <v>1.2520643948300989</v>
      </c>
      <c r="R15" s="2">
        <f>Q15+真實IC!R15</f>
        <v>1.1989847173442085</v>
      </c>
      <c r="S15" s="2">
        <f>R15+真實IC!S15</f>
        <v>1.3792208620723223</v>
      </c>
      <c r="T15" s="2">
        <f>S15+真實IC!T15</f>
        <v>1.4374193488406108</v>
      </c>
      <c r="U15" s="2">
        <f>T15+真實IC!U15</f>
        <v>1.353302965314269</v>
      </c>
      <c r="V15" s="2">
        <f>U15+真實IC!V15</f>
        <v>1.3362093027159287</v>
      </c>
      <c r="W15" s="2">
        <f>V15+真實IC!W15</f>
        <v>1.3988791286365769</v>
      </c>
      <c r="X15" s="2">
        <f>W15+真實IC!X15</f>
        <v>1.6037200845039787</v>
      </c>
      <c r="Y15" s="2">
        <f>X15+真實IC!Y15</f>
        <v>1.6254373526243837</v>
      </c>
      <c r="Z15" s="2">
        <f>Y15+真實IC!Z15</f>
        <v>1.6650587025337886</v>
      </c>
      <c r="AA15" s="2">
        <f>Z15+真實IC!AA15</f>
        <v>1.7939676035440952</v>
      </c>
      <c r="AB15" s="2">
        <f>AA15+真實IC!AB15</f>
        <v>1.8683394180027211</v>
      </c>
      <c r="AC15" s="2">
        <f>AB15+真實IC!AC15</f>
        <v>1.9163475642210099</v>
      </c>
      <c r="AD15" s="2">
        <f>AC15+真實IC!AD15</f>
        <v>1.9299378572515125</v>
      </c>
      <c r="AE15" s="2">
        <f>AD15+真實IC!AE15</f>
        <v>2.105961024837935</v>
      </c>
      <c r="AF15" s="2">
        <f>AE15+真實IC!AF15</f>
        <v>2.2384477296196423</v>
      </c>
      <c r="AG15" s="2">
        <f>AF15+真實IC!AG15</f>
        <v>2.2624957355256274</v>
      </c>
      <c r="AH15" s="2">
        <f>AG15+真實IC!AH15</f>
        <v>2.2253915591413138</v>
      </c>
      <c r="AI15" s="2">
        <f>AH15+真實IC!AI15</f>
        <v>2.2068190312456122</v>
      </c>
      <c r="AJ15" s="2">
        <f>AI15+真實IC!AJ15</f>
        <v>2.2165918634484871</v>
      </c>
      <c r="AK15" s="2">
        <f>AJ15+真實IC!AK15</f>
        <v>2.2745558045979148</v>
      </c>
      <c r="AL15" s="2">
        <f>AK15+真實IC!AL15</f>
        <v>2.3029994140481058</v>
      </c>
      <c r="AM15" s="2">
        <f>AL15+真實IC!AM15</f>
        <v>2.3375327056144704</v>
      </c>
      <c r="AN15" s="2">
        <f>AM15+真實IC!AN15</f>
        <v>2.4562366719269177</v>
      </c>
      <c r="AO15" s="2">
        <f>AN15+真實IC!AO15</f>
        <v>2.5000350190140566</v>
      </c>
      <c r="AP15" s="2">
        <f>AO15+真實IC!AP15</f>
        <v>2.5378693583588694</v>
      </c>
      <c r="AQ15" s="2">
        <f>AP15+真實IC!AQ15</f>
        <v>2.4997668896043015</v>
      </c>
      <c r="AR15" s="2">
        <f>AQ15+真實IC!AR15</f>
        <v>2.5480870095044956</v>
      </c>
      <c r="AS15" s="2">
        <f>AR15+真實IC!AS15</f>
        <v>2.4830582058852455</v>
      </c>
      <c r="AT15" s="2">
        <f>AS15+真實IC!AT15</f>
        <v>2.6908971637543821</v>
      </c>
      <c r="AU15" s="2">
        <f>AT15+真實IC!AU15</f>
        <v>2.8258427797097125</v>
      </c>
      <c r="AV15" s="2">
        <f>AU15+真實IC!AV15</f>
        <v>2.9169265892751821</v>
      </c>
      <c r="AW15" s="2">
        <f>AV15+真實IC!AW15</f>
        <v>3.0141377424336091</v>
      </c>
      <c r="AX15" s="2">
        <f>AW15+真實IC!AX15</f>
        <v>3.1282174355804573</v>
      </c>
      <c r="AY15" s="2">
        <f>AX15+真實IC!AY15</f>
        <v>3.1583525440591567</v>
      </c>
      <c r="AZ15" s="2">
        <f>AY15+真實IC!AZ15</f>
        <v>3.1903668458401211</v>
      </c>
      <c r="BA15" s="2">
        <f>AZ15+真實IC!BA15</f>
        <v>3.3518178386395032</v>
      </c>
      <c r="BB15" s="2">
        <f>BA15+真實IC!BB15</f>
        <v>3.4868481512730134</v>
      </c>
      <c r="BC15" s="2">
        <f>BB15+真實IC!BC15</f>
        <v>3.5543890350732554</v>
      </c>
      <c r="BD15" s="2">
        <f>BC15+真實IC!BD15</f>
        <v>3.5335550217362708</v>
      </c>
      <c r="BE15" s="2">
        <f>BD15+真實IC!BE15</f>
        <v>3.5968878605817083</v>
      </c>
      <c r="BF15" s="2">
        <f>BE15+真實IC!BF15</f>
        <v>3.8239882640690044</v>
      </c>
      <c r="BG15" s="2">
        <f>BF15+真實IC!BG15</f>
        <v>3.9303826347332014</v>
      </c>
      <c r="BH15" s="2">
        <f>BG15+真實IC!BH15</f>
        <v>4.0255447624352518</v>
      </c>
      <c r="BI15" s="2">
        <f>BH15+真實IC!BI15</f>
        <v>4.0696307402268257</v>
      </c>
      <c r="BJ15" s="2">
        <f>BI15+真實IC!BJ15</f>
        <v>4.1762075091380622</v>
      </c>
      <c r="BK15" s="2">
        <f>BJ15+真實IC!BK15</f>
        <v>4.1536229025937601</v>
      </c>
      <c r="BL15" s="2">
        <f>BK15+真實IC!BL15</f>
        <v>4.229514618528504</v>
      </c>
      <c r="BM15" s="2">
        <f>BL15+真實IC!BM15</f>
        <v>4.2840074504423322</v>
      </c>
      <c r="BN15" s="2">
        <f>BM15+真實IC!BN15</f>
        <v>4.2483368306961253</v>
      </c>
      <c r="BO15" s="2">
        <f>BN15+真實IC!BO15</f>
        <v>4.27973220417074</v>
      </c>
      <c r="BP15" s="2">
        <f>BO15+真實IC!BP15</f>
        <v>4.1812887487639561</v>
      </c>
      <c r="BQ15" s="2">
        <f>BP15+真實IC!BQ15</f>
        <v>4.1969839019111017</v>
      </c>
      <c r="BR15" s="2">
        <f>BQ15+真實IC!BR15</f>
        <v>4.3070267458057225</v>
      </c>
      <c r="BS15" s="2">
        <f>BR15+真實IC!BS15</f>
        <v>4.311005523805421</v>
      </c>
      <c r="BT15" s="2">
        <f>BS15+真實IC!BT15</f>
        <v>4.3230652001862087</v>
      </c>
      <c r="BU15" s="2">
        <f>BT15+真實IC!BU15</f>
        <v>4.3764165511574786</v>
      </c>
      <c r="BV15" s="2">
        <f>BU15+真實IC!BV15</f>
        <v>4.4402649739278859</v>
      </c>
      <c r="BW15" s="2">
        <f>BV15+真實IC!BW15</f>
        <v>4.7557005362064544</v>
      </c>
      <c r="BX15" s="2">
        <f>BW15+真實IC!BX15</f>
        <v>4.7988560199905015</v>
      </c>
      <c r="BY15" s="2">
        <f>BX15+真實IC!BY15</f>
        <v>4.9158775236375867</v>
      </c>
      <c r="BZ15" s="2">
        <f>BY15+真實IC!BZ15</f>
        <v>4.9928332433072926</v>
      </c>
      <c r="CA15" s="2">
        <f>BZ15+真實IC!CA15</f>
        <v>4.9989183928754768</v>
      </c>
      <c r="CB15" s="2">
        <f>CA15+真實IC!CB15</f>
        <v>5.0633701601641663</v>
      </c>
      <c r="CC15" s="2">
        <f>CB15+真實IC!CC15</f>
        <v>5.1711974170273809</v>
      </c>
      <c r="CD15" s="2">
        <f>CC15+真實IC!CD15</f>
        <v>5.2907201214497688</v>
      </c>
      <c r="CE15" s="2">
        <f>CD15+真實IC!CE15</f>
        <v>5.411283492104956</v>
      </c>
      <c r="CF15" s="2">
        <f>CE15+真實IC!CF15</f>
        <v>5.4902039537997309</v>
      </c>
      <c r="CG15" s="2">
        <f>CF15+真實IC!CG15</f>
        <v>5.5941132740563697</v>
      </c>
      <c r="CH15" s="2">
        <f>CG15+真實IC!CH15</f>
        <v>5.6616330532043078</v>
      </c>
      <c r="CI15" s="2">
        <f>CH15+真實IC!CI15</f>
        <v>5.6987779985246627</v>
      </c>
      <c r="CJ15" s="2">
        <f>CI15+真實IC!CJ15</f>
        <v>5.7536524486551643</v>
      </c>
      <c r="CK15" s="2">
        <f>CJ15+真實IC!CK15</f>
        <v>5.8970742753619056</v>
      </c>
      <c r="CL15" s="2">
        <f>CK15+真實IC!CL15</f>
        <v>6.1876753673464098</v>
      </c>
      <c r="CM15" s="2">
        <f>CL15+真實IC!CM15</f>
        <v>6.2409565321979859</v>
      </c>
      <c r="CN15" s="2">
        <f>CM15+真實IC!CN15</f>
        <v>6.4095991451057763</v>
      </c>
      <c r="CO15" s="2">
        <f>CN15+真實IC!CO15</f>
        <v>6.5742959499980316</v>
      </c>
      <c r="CP15" s="2">
        <f>CO15+真實IC!CP15</f>
        <v>6.6772987780306554</v>
      </c>
      <c r="CQ15" s="2">
        <f>CP15+真實IC!CQ15</f>
        <v>6.6837470674605663</v>
      </c>
      <c r="CR15" s="2">
        <f>CQ15+真實IC!CR15</f>
        <v>6.718135351100563</v>
      </c>
      <c r="CS15" s="2">
        <f>CR15+真實IC!CS15</f>
        <v>6.7271366111336466</v>
      </c>
      <c r="CT15" s="2">
        <f>CS15+真實IC!CT15</f>
        <v>6.7470146652768053</v>
      </c>
      <c r="CU15" s="2">
        <f>CT15+真實IC!CU15</f>
        <v>6.9074107198228907</v>
      </c>
      <c r="CV15" s="2">
        <f>CU15+真實IC!CV15</f>
        <v>7.066246995112528</v>
      </c>
      <c r="CW15" s="2">
        <f>CV15+真實IC!CW15</f>
        <v>7.097416205736601</v>
      </c>
      <c r="CX15" s="2">
        <f>CW15+真實IC!CX15</f>
        <v>7.1600173061309924</v>
      </c>
      <c r="CY15" s="2">
        <f>CX15+真實IC!CY15</f>
        <v>7.2281749960115569</v>
      </c>
      <c r="CZ15" s="2">
        <f>CY15+真實IC!CZ15</f>
        <v>7.3190987888055394</v>
      </c>
      <c r="DA15" s="2">
        <f>CZ15+真實IC!DA15</f>
        <v>7.3876968565401899</v>
      </c>
      <c r="DB15" s="2">
        <f>DA15+真實IC!DB15</f>
        <v>7.4276292494886311</v>
      </c>
      <c r="DC15" s="2">
        <f>DB15+真實IC!DC15</f>
        <v>7.4452276259026364</v>
      </c>
      <c r="DD15" s="2">
        <f>DC15+真實IC!DD15</f>
        <v>7.5122244300122984</v>
      </c>
      <c r="DE15" s="2">
        <f>DD15+真實IC!DE15</f>
        <v>7.5896010504046068</v>
      </c>
      <c r="DF15" s="2">
        <f>DE15+真實IC!DF15</f>
        <v>7.8890366793718139</v>
      </c>
      <c r="DG15" s="2">
        <f>DF15+真實IC!DG15</f>
        <v>7.9292083126274502</v>
      </c>
      <c r="DH15" s="2">
        <f>DG15+真實IC!DH15</f>
        <v>8.0613958665771541</v>
      </c>
      <c r="DI15" s="2">
        <f>DH15+真實IC!DI15</f>
        <v>8.081586791004117</v>
      </c>
      <c r="DJ15" s="2">
        <f>DI15+真實IC!DJ15</f>
        <v>8.1104503862009274</v>
      </c>
      <c r="DK15" s="2">
        <f>DJ15+真實IC!DK15</f>
        <v>8.1941281873241429</v>
      </c>
      <c r="DL15" s="2">
        <f>DK15+真實IC!DL15</f>
        <v>8.2393025812252425</v>
      </c>
      <c r="DM15" s="2">
        <f>DL15+真實IC!DM15</f>
        <v>8.2522858783808832</v>
      </c>
      <c r="DN15" s="2">
        <f>DM15+真實IC!DN15</f>
        <v>8.2642727025945124</v>
      </c>
      <c r="DO15" s="2">
        <f>DN15+真實IC!DO15</f>
        <v>8.3063084349325766</v>
      </c>
      <c r="DP15" s="2">
        <f>DO15+真實IC!DP15</f>
        <v>8.4561764846200695</v>
      </c>
      <c r="DQ15" s="2">
        <f>DP15+真實IC!DQ15</f>
        <v>8.4821682550895954</v>
      </c>
      <c r="DR15" s="2">
        <f>DQ15+真實IC!DR15</f>
        <v>8.507866430144416</v>
      </c>
      <c r="DS15" s="2">
        <f>DR15+真實IC!DS15</f>
        <v>8.560059333041691</v>
      </c>
      <c r="DT15" s="2">
        <f>DS15+真實IC!DT15</f>
        <v>8.5825147896862628</v>
      </c>
      <c r="DU15" s="2">
        <f>DT15+真實IC!DU15</f>
        <v>8.6662492459905298</v>
      </c>
      <c r="DV15" s="2">
        <f>DU15+真實IC!DV15</f>
        <v>8.8148720072572164</v>
      </c>
      <c r="DW15" s="2">
        <f>DV15+真實IC!DW15</f>
        <v>8.8230983414696222</v>
      </c>
      <c r="DX15" s="2">
        <f>DW15+真實IC!DX15</f>
        <v>8.9078985185570865</v>
      </c>
      <c r="DY15" s="2">
        <f>DX15+真實IC!DY15</f>
        <v>9.1466538337694168</v>
      </c>
      <c r="DZ15" s="2">
        <f>DY15+真實IC!DZ15</f>
        <v>9.1807361146044943</v>
      </c>
      <c r="EA15" s="2">
        <f>DZ15+真實IC!EA15</f>
        <v>9.143266438729011</v>
      </c>
      <c r="EB15" s="2">
        <f>EA15+真實IC!EB15</f>
        <v>9.2566316922501013</v>
      </c>
      <c r="EC15" s="2">
        <f>EB15+真實IC!EC15</f>
        <v>9.3395907763343295</v>
      </c>
      <c r="ED15" s="2">
        <f>EC15+真實IC!ED15</f>
        <v>9.4817521706393162</v>
      </c>
      <c r="EE15" s="2">
        <f>ED15+真實IC!EE15</f>
        <v>9.4913697299362347</v>
      </c>
      <c r="EF15" s="2">
        <f>EE15+真實IC!EF15</f>
        <v>9.5362826791149562</v>
      </c>
      <c r="EG15" s="2">
        <f>EF15+真實IC!EG15</f>
        <v>9.8809974824812628</v>
      </c>
      <c r="EH15" s="2">
        <f>EG15+真實IC!EH15</f>
        <v>9.866042417286577</v>
      </c>
      <c r="EI15" s="2">
        <f>EH15+真實IC!EI15</f>
        <v>9.8944979160843385</v>
      </c>
      <c r="EJ15" s="2">
        <f>EI15+真實IC!EJ15</f>
        <v>9.9775625985882552</v>
      </c>
      <c r="EK15" s="2">
        <f>EJ15+真實IC!EK15</f>
        <v>10.012469309086855</v>
      </c>
      <c r="EL15" s="2">
        <f>EK15+真實IC!EL15</f>
        <v>10.110232989903682</v>
      </c>
    </row>
    <row r="16" spans="1:142" x14ac:dyDescent="0.3">
      <c r="A16" s="18"/>
      <c r="B16" s="18">
        <v>120</v>
      </c>
      <c r="C16" s="2">
        <v>0.26072770983563209</v>
      </c>
      <c r="D16" s="2">
        <f>C16+真實IC!D16</f>
        <v>0.44498621824521212</v>
      </c>
      <c r="E16" s="2">
        <f>D16+真實IC!E16</f>
        <v>0.51947187960749064</v>
      </c>
      <c r="F16" s="2">
        <f>E16+真實IC!F16</f>
        <v>0.57252907664089714</v>
      </c>
      <c r="G16" s="2">
        <f>F16+真實IC!G16</f>
        <v>0.66087745875641479</v>
      </c>
      <c r="H16" s="2">
        <f>G16+真實IC!H16</f>
        <v>0.74345874768040532</v>
      </c>
      <c r="I16" s="2">
        <f>H16+真實IC!I16</f>
        <v>0.88208709571169674</v>
      </c>
      <c r="J16" s="2">
        <f>I16+真實IC!J16</f>
        <v>1.0319478725848146</v>
      </c>
      <c r="K16" s="2">
        <f>J16+真實IC!K16</f>
        <v>1.0617867840883091</v>
      </c>
      <c r="L16" s="2">
        <f>K16+真實IC!L16</f>
        <v>1.0371496088197265</v>
      </c>
      <c r="M16" s="2">
        <f>L16+真實IC!M16</f>
        <v>1.0910757008186935</v>
      </c>
      <c r="N16" s="2">
        <f>M16+真實IC!N16</f>
        <v>1.3739915111574916</v>
      </c>
      <c r="O16" s="2">
        <f>N16+真實IC!O16</f>
        <v>1.3446195630953519</v>
      </c>
      <c r="P16" s="2">
        <f>O16+真實IC!P16</f>
        <v>1.4163362711891059</v>
      </c>
      <c r="Q16" s="2">
        <f>P16+真實IC!Q16</f>
        <v>1.4136600032580755</v>
      </c>
      <c r="R16" s="2">
        <f>Q16+真實IC!R16</f>
        <v>1.3513661006952693</v>
      </c>
      <c r="S16" s="2">
        <f>R16+真實IC!S16</f>
        <v>1.5475955632364387</v>
      </c>
      <c r="T16" s="2">
        <f>S16+真實IC!T16</f>
        <v>1.6418222893900314</v>
      </c>
      <c r="U16" s="2">
        <f>T16+真實IC!U16</f>
        <v>1.5698350585024581</v>
      </c>
      <c r="V16" s="2">
        <f>U16+真實IC!V16</f>
        <v>1.5693129747704193</v>
      </c>
      <c r="W16" s="2">
        <f>V16+真實IC!W16</f>
        <v>1.6175407205618704</v>
      </c>
      <c r="X16" s="2">
        <f>W16+真實IC!X16</f>
        <v>1.8009522831537617</v>
      </c>
      <c r="Y16" s="2">
        <f>X16+真實IC!Y16</f>
        <v>1.8278241863854869</v>
      </c>
      <c r="Z16" s="2">
        <f>Y16+真實IC!Z16</f>
        <v>1.854069738877437</v>
      </c>
      <c r="AA16" s="2">
        <f>Z16+真實IC!AA16</f>
        <v>1.9832212600188031</v>
      </c>
      <c r="AB16" s="2">
        <f>AA16+真實IC!AB16</f>
        <v>2.066900603552265</v>
      </c>
      <c r="AC16" s="2">
        <f>AB16+真實IC!AC16</f>
        <v>2.1268167655172761</v>
      </c>
      <c r="AD16" s="2">
        <f>AC16+真實IC!AD16</f>
        <v>2.1457005897681727</v>
      </c>
      <c r="AE16" s="2">
        <f>AD16+真實IC!AE16</f>
        <v>2.34007076331247</v>
      </c>
      <c r="AF16" s="2">
        <f>AE16+真實IC!AF16</f>
        <v>2.4827719469246001</v>
      </c>
      <c r="AG16" s="2">
        <f>AF16+真實IC!AG16</f>
        <v>2.5137567098313598</v>
      </c>
      <c r="AH16" s="2">
        <f>AG16+真實IC!AH16</f>
        <v>2.481991309381919</v>
      </c>
      <c r="AI16" s="2">
        <f>AH16+真實IC!AI16</f>
        <v>2.456840094932387</v>
      </c>
      <c r="AJ16" s="2">
        <f>AI16+真實IC!AJ16</f>
        <v>2.4263516859916572</v>
      </c>
      <c r="AK16" s="2">
        <f>AJ16+真實IC!AK16</f>
        <v>2.4907730868240292</v>
      </c>
      <c r="AL16" s="2">
        <f>AK16+真實IC!AL16</f>
        <v>2.5155509848194892</v>
      </c>
      <c r="AM16" s="2">
        <f>AL16+真實IC!AM16</f>
        <v>2.5441422113017595</v>
      </c>
      <c r="AN16" s="2">
        <f>AM16+真實IC!AN16</f>
        <v>2.6815451252092424</v>
      </c>
      <c r="AO16" s="2">
        <f>AN16+真實IC!AO16</f>
        <v>2.7454738282644842</v>
      </c>
      <c r="AP16" s="2">
        <f>AO16+真實IC!AP16</f>
        <v>2.8084293042674267</v>
      </c>
      <c r="AQ16" s="2">
        <f>AP16+真實IC!AQ16</f>
        <v>2.7567742871186329</v>
      </c>
      <c r="AR16" s="2">
        <f>AQ16+真實IC!AR16</f>
        <v>2.859544528817505</v>
      </c>
      <c r="AS16" s="2">
        <f>AR16+真實IC!AS16</f>
        <v>2.7938244369691274</v>
      </c>
      <c r="AT16" s="2">
        <f>AS16+真實IC!AT16</f>
        <v>3.0151452740132179</v>
      </c>
      <c r="AU16" s="2">
        <f>AT16+真實IC!AU16</f>
        <v>3.1538459230358162</v>
      </c>
      <c r="AV16" s="2">
        <f>AU16+真實IC!AV16</f>
        <v>3.2433052077758222</v>
      </c>
      <c r="AW16" s="2">
        <f>AV16+真實IC!AW16</f>
        <v>3.3564849090460243</v>
      </c>
      <c r="AX16" s="2">
        <f>AW16+真實IC!AX16</f>
        <v>3.4700805059579722</v>
      </c>
      <c r="AY16" s="2">
        <f>AX16+真實IC!AY16</f>
        <v>3.5103880070931934</v>
      </c>
      <c r="AZ16" s="2">
        <f>AY16+真實IC!AZ16</f>
        <v>3.537008006169803</v>
      </c>
      <c r="BA16" s="2">
        <f>AZ16+真實IC!BA16</f>
        <v>3.6953182344197941</v>
      </c>
      <c r="BB16" s="2">
        <f>BA16+真實IC!BB16</f>
        <v>3.8766828404616192</v>
      </c>
      <c r="BC16" s="2">
        <f>BB16+真實IC!BC16</f>
        <v>3.9420751709979189</v>
      </c>
      <c r="BD16" s="2">
        <f>BC16+真實IC!BD16</f>
        <v>3.9170274339787019</v>
      </c>
      <c r="BE16" s="2">
        <f>BD16+真實IC!BE16</f>
        <v>3.9727770187384817</v>
      </c>
      <c r="BF16" s="2">
        <f>BE16+真實IC!BF16</f>
        <v>4.1086811237618246</v>
      </c>
      <c r="BG16" s="2">
        <f>BF16+真實IC!BG16</f>
        <v>4.2123610393780142</v>
      </c>
      <c r="BH16" s="2">
        <f>BG16+真實IC!BH16</f>
        <v>4.3338337914854845</v>
      </c>
      <c r="BI16" s="2">
        <f>BH16+真實IC!BI16</f>
        <v>4.3741822260151704</v>
      </c>
      <c r="BJ16" s="2">
        <f>BI16+真實IC!BJ16</f>
        <v>4.4905246456773229</v>
      </c>
      <c r="BK16" s="2">
        <f>BJ16+真實IC!BK16</f>
        <v>4.4540362944757304</v>
      </c>
      <c r="BL16" s="2">
        <f>BK16+真實IC!BL16</f>
        <v>4.5234326930130742</v>
      </c>
      <c r="BM16" s="2">
        <f>BL16+真實IC!BM16</f>
        <v>4.5678942871969683</v>
      </c>
      <c r="BN16" s="2">
        <f>BM16+真實IC!BN16</f>
        <v>4.5462404497500604</v>
      </c>
      <c r="BO16" s="2">
        <f>BN16+真實IC!BO16</f>
        <v>4.5719415286363159</v>
      </c>
      <c r="BP16" s="2">
        <f>BO16+真實IC!BP16</f>
        <v>4.527806133505722</v>
      </c>
      <c r="BQ16" s="2">
        <f>BP16+真實IC!BQ16</f>
        <v>4.5443321670914463</v>
      </c>
      <c r="BR16" s="2">
        <f>BQ16+真實IC!BR16</f>
        <v>4.657475805093676</v>
      </c>
      <c r="BS16" s="2">
        <f>BR16+真實IC!BS16</f>
        <v>4.6495745659166188</v>
      </c>
      <c r="BT16" s="2">
        <f>BS16+真實IC!BT16</f>
        <v>4.662372267122743</v>
      </c>
      <c r="BU16" s="2">
        <f>BT16+真實IC!BU16</f>
        <v>4.7048575068405096</v>
      </c>
      <c r="BV16" s="2">
        <f>BU16+真實IC!BV16</f>
        <v>4.7424358809370997</v>
      </c>
      <c r="BW16" s="2">
        <f>BV16+真實IC!BW16</f>
        <v>5.0790798223368965</v>
      </c>
      <c r="BX16" s="2">
        <f>BW16+真實IC!BX16</f>
        <v>5.1257577317868144</v>
      </c>
      <c r="BY16" s="2">
        <f>BX16+真實IC!BY16</f>
        <v>5.2573837447039429</v>
      </c>
      <c r="BZ16" s="2">
        <f>BY16+真實IC!BZ16</f>
        <v>5.3623874211008644</v>
      </c>
      <c r="CA16" s="2">
        <f>BZ16+真實IC!CA16</f>
        <v>5.3845301206922729</v>
      </c>
      <c r="CB16" s="2">
        <f>CA16+真實IC!CB16</f>
        <v>5.4497948171863042</v>
      </c>
      <c r="CC16" s="2">
        <f>CB16+真實IC!CC16</f>
        <v>5.5680449768092135</v>
      </c>
      <c r="CD16" s="2">
        <f>CC16+真實IC!CD16</f>
        <v>5.6837541915475933</v>
      </c>
      <c r="CE16" s="2">
        <f>CD16+真實IC!CE16</f>
        <v>5.7535174327790068</v>
      </c>
      <c r="CF16" s="2">
        <f>CE16+真實IC!CF16</f>
        <v>5.836457768975758</v>
      </c>
      <c r="CG16" s="2">
        <f>CF16+真實IC!CG16</f>
        <v>5.9524345882487033</v>
      </c>
      <c r="CH16" s="2">
        <f>CG16+真實IC!CH16</f>
        <v>6.0004890927944121</v>
      </c>
      <c r="CI16" s="2">
        <f>CH16+真實IC!CI16</f>
        <v>6.0495788340444454</v>
      </c>
      <c r="CJ16" s="2">
        <f>CI16+真實IC!CJ16</f>
        <v>6.0805342506299507</v>
      </c>
      <c r="CK16" s="2">
        <f>CJ16+真實IC!CK16</f>
        <v>6.2220041531813015</v>
      </c>
      <c r="CL16" s="2">
        <f>CK16+真實IC!CL16</f>
        <v>6.5335469484557374</v>
      </c>
      <c r="CM16" s="2">
        <f>CL16+真實IC!CM16</f>
        <v>6.5856710192233932</v>
      </c>
      <c r="CN16" s="2">
        <f>CM16+真實IC!CN16</f>
        <v>6.7574348330095182</v>
      </c>
      <c r="CO16" s="2">
        <f>CN16+真實IC!CO16</f>
        <v>6.9404388061045648</v>
      </c>
      <c r="CP16" s="2">
        <f>CO16+真實IC!CP16</f>
        <v>7.0531784377902893</v>
      </c>
      <c r="CQ16" s="2">
        <f>CP16+真實IC!CQ16</f>
        <v>7.1288384064144941</v>
      </c>
      <c r="CR16" s="2">
        <f>CQ16+真實IC!CR16</f>
        <v>7.1595625980591215</v>
      </c>
      <c r="CS16" s="2">
        <f>CR16+真實IC!CS16</f>
        <v>7.1695639980958807</v>
      </c>
      <c r="CT16" s="2">
        <f>CS16+真實IC!CT16</f>
        <v>7.1984732841172221</v>
      </c>
      <c r="CU16" s="2">
        <f>CT16+真實IC!CU16</f>
        <v>7.3577595972332874</v>
      </c>
      <c r="CV16" s="2">
        <f>CU16+真實IC!CV16</f>
        <v>7.4902019291327235</v>
      </c>
      <c r="CW16" s="2">
        <f>CV16+真實IC!CW16</f>
        <v>7.5460024501787393</v>
      </c>
      <c r="CX16" s="2">
        <f>CW16+真實IC!CX16</f>
        <v>7.6040861783094869</v>
      </c>
      <c r="CY16" s="2">
        <f>CX16+真實IC!CY16</f>
        <v>7.6830222953254088</v>
      </c>
      <c r="CZ16" s="2">
        <f>CY16+真實IC!CZ16</f>
        <v>7.8017336731390419</v>
      </c>
      <c r="DA16" s="2">
        <f>CZ16+真實IC!DA16</f>
        <v>7.8976222216798986</v>
      </c>
      <c r="DB16" s="2">
        <f>DA16+真實IC!DB16</f>
        <v>7.9549826662355061</v>
      </c>
      <c r="DC16" s="2">
        <f>DB16+真實IC!DC16</f>
        <v>7.9705778425129399</v>
      </c>
      <c r="DD16" s="2">
        <f>DC16+真實IC!DD16</f>
        <v>8.0523411149198303</v>
      </c>
      <c r="DE16" s="2">
        <f>DD16+真實IC!DE16</f>
        <v>8.1047912255979551</v>
      </c>
      <c r="DF16" s="2">
        <f>DE16+真實IC!DF16</f>
        <v>8.4267209757644697</v>
      </c>
      <c r="DG16" s="2">
        <f>DF16+真實IC!DG16</f>
        <v>8.4711703687067992</v>
      </c>
      <c r="DH16" s="2">
        <f>DG16+真實IC!DH16</f>
        <v>8.623876693308631</v>
      </c>
      <c r="DI16" s="2">
        <f>DH16+真實IC!DI16</f>
        <v>8.6671798245765181</v>
      </c>
      <c r="DJ16" s="2">
        <f>DI16+真實IC!DJ16</f>
        <v>8.7054802880128044</v>
      </c>
      <c r="DK16" s="2">
        <f>DJ16+真實IC!DK16</f>
        <v>8.7887408819118615</v>
      </c>
      <c r="DL16" s="2">
        <f>DK16+真實IC!DL16</f>
        <v>8.7983678127843383</v>
      </c>
      <c r="DM16" s="2">
        <f>DL16+真實IC!DM16</f>
        <v>8.7616080656653565</v>
      </c>
      <c r="DN16" s="2">
        <f>DM16+真實IC!DN16</f>
        <v>8.7838420324455324</v>
      </c>
      <c r="DO16" s="2">
        <f>DN16+真實IC!DO16</f>
        <v>8.8392184729130516</v>
      </c>
      <c r="DP16" s="2">
        <f>DO16+真實IC!DP16</f>
        <v>8.9855864706640602</v>
      </c>
      <c r="DQ16" s="2">
        <f>DP16+真實IC!DQ16</f>
        <v>9.0104253662778806</v>
      </c>
      <c r="DR16" s="2">
        <f>DQ16+真實IC!DR16</f>
        <v>9.0482568632104954</v>
      </c>
      <c r="DS16" s="2">
        <f>DR16+真實IC!DS16</f>
        <v>9.1003704460078048</v>
      </c>
      <c r="DT16" s="2">
        <f>DS16+真實IC!DT16</f>
        <v>9.159303781501773</v>
      </c>
      <c r="DU16" s="2">
        <f>DT16+真實IC!DU16</f>
        <v>9.2446449966587849</v>
      </c>
      <c r="DV16" s="2">
        <f>DU16+真實IC!DV16</f>
        <v>9.3960331263825001</v>
      </c>
      <c r="DW16" s="2">
        <f>DV16+真實IC!DW16</f>
        <v>9.4337761238380615</v>
      </c>
      <c r="DX16" s="2">
        <f>DW16+真實IC!DX16</f>
        <v>9.4980611244566653</v>
      </c>
      <c r="DY16" s="2">
        <f>DX16+真實IC!DY16</f>
        <v>9.7431602883651447</v>
      </c>
      <c r="DZ16" s="2">
        <f>DY16+真實IC!DZ16</f>
        <v>9.7893392292001025</v>
      </c>
      <c r="EA16" s="2">
        <f>DZ16+真實IC!EA16</f>
        <v>9.8046441722032007</v>
      </c>
      <c r="EB16" s="2">
        <f>EA16+真實IC!EB16</f>
        <v>9.9157427076427194</v>
      </c>
      <c r="EC16" s="2">
        <f>EB16+真實IC!EC16</f>
        <v>9.9980272498731591</v>
      </c>
      <c r="ED16" s="2">
        <f>EC16+真實IC!ED16</f>
        <v>10.145448817782832</v>
      </c>
      <c r="EE16" s="2">
        <f>ED16+真實IC!EE16</f>
        <v>10.156986425084471</v>
      </c>
      <c r="EF16" s="2">
        <f>EE16+真實IC!EF16</f>
        <v>10.217229065057401</v>
      </c>
      <c r="EG16" s="2">
        <f>EF16+真實IC!EG16</f>
        <v>10.613016023429886</v>
      </c>
      <c r="EH16" s="2">
        <f>EG16+真實IC!EH16</f>
        <v>10.589740633521123</v>
      </c>
      <c r="EI16" s="2">
        <f>EH16+真實IC!EI16</f>
        <v>10.61555236362692</v>
      </c>
      <c r="EJ16" s="2">
        <f>EI16+真實IC!EJ16</f>
        <v>10.693163498688827</v>
      </c>
      <c r="EK16" s="2">
        <f>EJ16+真實IC!EK16</f>
        <v>10.729437028775976</v>
      </c>
      <c r="EL16" s="2">
        <f>EK16+真實IC!EL16</f>
        <v>10.823964413188543</v>
      </c>
    </row>
    <row r="17" spans="1:142" x14ac:dyDescent="0.3">
      <c r="A17" s="18"/>
      <c r="B17" s="18">
        <v>130</v>
      </c>
      <c r="C17" s="2">
        <v>0.2378970514581851</v>
      </c>
      <c r="D17" s="2">
        <f>C17+真實IC!D17</f>
        <v>0.41922834405136811</v>
      </c>
      <c r="E17" s="2">
        <f>D17+真實IC!E17</f>
        <v>0.4959309704750563</v>
      </c>
      <c r="F17" s="2">
        <f>E17+真實IC!F17</f>
        <v>0.55242199730652064</v>
      </c>
      <c r="G17" s="2">
        <f>F17+真實IC!G17</f>
        <v>0.64120367914719223</v>
      </c>
      <c r="H17" s="2">
        <f>G17+真實IC!H17</f>
        <v>0.68115697437170986</v>
      </c>
      <c r="I17" s="2">
        <f>H17+真實IC!I17</f>
        <v>0.83492538909393155</v>
      </c>
      <c r="J17" s="2">
        <f>I17+真實IC!J17</f>
        <v>0.99456640007736219</v>
      </c>
      <c r="K17" s="2">
        <f>J17+真實IC!K17</f>
        <v>1.0111910078050759</v>
      </c>
      <c r="L17" s="2">
        <f>K17+真實IC!L17</f>
        <v>1.0037395013721433</v>
      </c>
      <c r="M17" s="2">
        <f>L17+真實IC!M17</f>
        <v>1.0589766066054265</v>
      </c>
      <c r="N17" s="2">
        <f>M17+真實IC!N17</f>
        <v>1.3782555669907592</v>
      </c>
      <c r="O17" s="2">
        <f>N17+真實IC!O17</f>
        <v>1.3541882726718264</v>
      </c>
      <c r="P17" s="2">
        <f>O17+真實IC!P17</f>
        <v>1.4320197049066989</v>
      </c>
      <c r="Q17" s="2">
        <f>P17+真實IC!Q17</f>
        <v>1.4399219694030874</v>
      </c>
      <c r="R17" s="2">
        <f>Q17+真實IC!R17</f>
        <v>1.3714501931645784</v>
      </c>
      <c r="S17" s="2">
        <f>R17+真實IC!S17</f>
        <v>1.6174157917108036</v>
      </c>
      <c r="T17" s="2">
        <f>S17+真實IC!T17</f>
        <v>1.711292519167297</v>
      </c>
      <c r="U17" s="2">
        <f>T17+真實IC!U17</f>
        <v>1.6376868371441637</v>
      </c>
      <c r="V17" s="2">
        <f>U17+真實IC!V17</f>
        <v>1.6478855962749051</v>
      </c>
      <c r="W17" s="2">
        <f>V17+真實IC!W17</f>
        <v>1.6932650841551469</v>
      </c>
      <c r="X17" s="2">
        <f>W17+真實IC!X17</f>
        <v>1.8695175395178292</v>
      </c>
      <c r="Y17" s="2">
        <f>X17+真實IC!Y17</f>
        <v>1.9027904033013645</v>
      </c>
      <c r="Z17" s="2">
        <f>Y17+真實IC!Z17</f>
        <v>1.9376401890238872</v>
      </c>
      <c r="AA17" s="2">
        <f>Z17+真實IC!AA17</f>
        <v>2.0973231329151267</v>
      </c>
      <c r="AB17" s="2">
        <f>AA17+真實IC!AB17</f>
        <v>2.1832083639543991</v>
      </c>
      <c r="AC17" s="2">
        <f>AB17+真實IC!AC17</f>
        <v>2.2397096253851512</v>
      </c>
      <c r="AD17" s="2">
        <f>AC17+真實IC!AD17</f>
        <v>2.2101111273512539</v>
      </c>
      <c r="AE17" s="2">
        <f>AD17+真實IC!AE17</f>
        <v>2.3849503769630269</v>
      </c>
      <c r="AF17" s="2">
        <f>AE17+真實IC!AF17</f>
        <v>2.5665675137227471</v>
      </c>
      <c r="AG17" s="2">
        <f>AF17+真實IC!AG17</f>
        <v>2.6330026127658952</v>
      </c>
      <c r="AH17" s="2">
        <f>AG17+真實IC!AH17</f>
        <v>2.5835650704853541</v>
      </c>
      <c r="AI17" s="2">
        <f>AH17+真實IC!AI17</f>
        <v>2.582380174356993</v>
      </c>
      <c r="AJ17" s="2">
        <f>AI17+真實IC!AJ17</f>
        <v>2.5401301473707618</v>
      </c>
      <c r="AK17" s="2">
        <f>AJ17+真實IC!AK17</f>
        <v>2.5719426333705817</v>
      </c>
      <c r="AL17" s="2">
        <f>AK17+真實IC!AL17</f>
        <v>2.6061156107376164</v>
      </c>
      <c r="AM17" s="2">
        <f>AL17+真實IC!AM17</f>
        <v>2.6506432546726257</v>
      </c>
      <c r="AN17" s="2">
        <f>AM17+真實IC!AN17</f>
        <v>2.7656749622042049</v>
      </c>
      <c r="AO17" s="2">
        <f>AN17+真實IC!AO17</f>
        <v>2.7948250457176007</v>
      </c>
      <c r="AP17" s="2">
        <f>AO17+真實IC!AP17</f>
        <v>2.8800278163396213</v>
      </c>
      <c r="AQ17" s="2">
        <f>AP17+真實IC!AQ17</f>
        <v>2.8469305191839394</v>
      </c>
      <c r="AR17" s="2">
        <f>AQ17+真實IC!AR17</f>
        <v>2.9018816811515942</v>
      </c>
      <c r="AS17" s="2">
        <f>AR17+真實IC!AS17</f>
        <v>2.815782008095304</v>
      </c>
      <c r="AT17" s="2">
        <f>AS17+真實IC!AT17</f>
        <v>3.0832837399087056</v>
      </c>
      <c r="AU17" s="2">
        <f>AT17+真實IC!AU17</f>
        <v>3.2210569457945462</v>
      </c>
      <c r="AV17" s="2">
        <f>AU17+真實IC!AV17</f>
        <v>3.277763250652467</v>
      </c>
      <c r="AW17" s="2">
        <f>AV17+真實IC!AW17</f>
        <v>3.4045637156547035</v>
      </c>
      <c r="AX17" s="2">
        <f>AW17+真實IC!AX17</f>
        <v>3.500574798463246</v>
      </c>
      <c r="AY17" s="2">
        <f>AX17+真實IC!AY17</f>
        <v>3.5392006487581305</v>
      </c>
      <c r="AZ17" s="2">
        <f>AY17+真實IC!AZ17</f>
        <v>3.5653134013802621</v>
      </c>
      <c r="BA17" s="2">
        <f>AZ17+真實IC!BA17</f>
        <v>3.7336611028940627</v>
      </c>
      <c r="BB17" s="2">
        <f>BA17+真實IC!BB17</f>
        <v>3.9358045745456738</v>
      </c>
      <c r="BC17" s="2">
        <f>BB17+真實IC!BC17</f>
        <v>4.0177224922056718</v>
      </c>
      <c r="BD17" s="2">
        <f>BC17+真實IC!BD17</f>
        <v>4.0018882024739355</v>
      </c>
      <c r="BE17" s="2">
        <f>BD17+真實IC!BE17</f>
        <v>4.0810346311485954</v>
      </c>
      <c r="BF17" s="2">
        <f>BE17+真實IC!BF17</f>
        <v>4.2305131018787039</v>
      </c>
      <c r="BG17" s="2">
        <f>BF17+真實IC!BG17</f>
        <v>4.3196177170677705</v>
      </c>
      <c r="BH17" s="2">
        <f>BG17+真實IC!BH17</f>
        <v>4.4437444318697201</v>
      </c>
      <c r="BI17" s="2">
        <f>BH17+真實IC!BI17</f>
        <v>4.4681926407814112</v>
      </c>
      <c r="BJ17" s="2">
        <f>BI17+真實IC!BJ17</f>
        <v>4.5934669008390543</v>
      </c>
      <c r="BK17" s="2">
        <f>BJ17+真實IC!BK17</f>
        <v>4.5526963465619188</v>
      </c>
      <c r="BL17" s="2">
        <f>BK17+真實IC!BL17</f>
        <v>4.5960994428206963</v>
      </c>
      <c r="BM17" s="2">
        <f>BL17+真實IC!BM17</f>
        <v>4.6197852162242841</v>
      </c>
      <c r="BN17" s="2">
        <f>BM17+真實IC!BN17</f>
        <v>4.6019999238393838</v>
      </c>
      <c r="BO17" s="2">
        <f>BN17+真實IC!BO17</f>
        <v>4.6122685536187804</v>
      </c>
      <c r="BP17" s="2">
        <f>BO17+真實IC!BP17</f>
        <v>4.560581492443136</v>
      </c>
      <c r="BQ17" s="2">
        <f>BP17+真實IC!BQ17</f>
        <v>4.6000950183044642</v>
      </c>
      <c r="BR17" s="2">
        <f>BQ17+真實IC!BR17</f>
        <v>4.7261363591912664</v>
      </c>
      <c r="BS17" s="2">
        <f>BR17+真實IC!BS17</f>
        <v>4.7169038618010735</v>
      </c>
      <c r="BT17" s="2">
        <f>BS17+真實IC!BT17</f>
        <v>4.7181305609397199</v>
      </c>
      <c r="BU17" s="2">
        <f>BT17+真實IC!BU17</f>
        <v>4.7900215024044028</v>
      </c>
      <c r="BV17" s="2">
        <f>BU17+真實IC!BV17</f>
        <v>4.8559224361325652</v>
      </c>
      <c r="BW17" s="2">
        <f>BV17+真實IC!BW17</f>
        <v>5.24495176822</v>
      </c>
      <c r="BX17" s="2">
        <f>BW17+真實IC!BX17</f>
        <v>5.2967967614594613</v>
      </c>
      <c r="BY17" s="2">
        <f>BX17+真實IC!BY17</f>
        <v>5.3922575811960121</v>
      </c>
      <c r="BZ17" s="2">
        <f>BY17+真實IC!BZ17</f>
        <v>5.5104344969736712</v>
      </c>
      <c r="CA17" s="2">
        <f>BZ17+真實IC!CA17</f>
        <v>5.5298511778974868</v>
      </c>
      <c r="CB17" s="2">
        <f>CA17+真實IC!CB17</f>
        <v>5.5961847912211606</v>
      </c>
      <c r="CC17" s="2">
        <f>CB17+真實IC!CC17</f>
        <v>5.7805048577787765</v>
      </c>
      <c r="CD17" s="2">
        <f>CC17+真實IC!CD17</f>
        <v>5.9267361118845443</v>
      </c>
      <c r="CE17" s="2">
        <f>CD17+真實IC!CE17</f>
        <v>6.0156196262517563</v>
      </c>
      <c r="CF17" s="2">
        <f>CE17+真實IC!CF17</f>
        <v>6.0910123103360885</v>
      </c>
      <c r="CG17" s="2">
        <f>CF17+真實IC!CG17</f>
        <v>6.2142825929135723</v>
      </c>
      <c r="CH17" s="2">
        <f>CG17+真實IC!CH17</f>
        <v>6.2971549727132414</v>
      </c>
      <c r="CI17" s="2">
        <f>CH17+真實IC!CI17</f>
        <v>6.3530682615192688</v>
      </c>
      <c r="CJ17" s="2">
        <f>CI17+真實IC!CJ17</f>
        <v>6.3708083067595025</v>
      </c>
      <c r="CK17" s="2">
        <f>CJ17+真實IC!CK17</f>
        <v>6.5138517767981163</v>
      </c>
      <c r="CL17" s="2">
        <f>CK17+真實IC!CL17</f>
        <v>6.8541399721197136</v>
      </c>
      <c r="CM17" s="2">
        <f>CL17+真實IC!CM17</f>
        <v>6.8928260634008565</v>
      </c>
      <c r="CN17" s="2">
        <f>CM17+真實IC!CN17</f>
        <v>7.0274378396916823</v>
      </c>
      <c r="CO17" s="2">
        <f>CN17+真實IC!CO17</f>
        <v>7.1645570668511933</v>
      </c>
      <c r="CP17" s="2">
        <f>CO17+真實IC!CP17</f>
        <v>7.2847328786630134</v>
      </c>
      <c r="CQ17" s="2">
        <f>CP17+真實IC!CQ17</f>
        <v>7.35088582990051</v>
      </c>
      <c r="CR17" s="2">
        <f>CQ17+真實IC!CR17</f>
        <v>7.3801695106179261</v>
      </c>
      <c r="CS17" s="2">
        <f>CR17+真實IC!CS17</f>
        <v>7.4128395079070524</v>
      </c>
      <c r="CT17" s="2">
        <f>CS17+真實IC!CT17</f>
        <v>7.45265844105203</v>
      </c>
      <c r="CU17" s="2">
        <f>CT17+真實IC!CU17</f>
        <v>7.6073499883370816</v>
      </c>
      <c r="CV17" s="2">
        <f>CU17+真實IC!CV17</f>
        <v>7.7301451518763367</v>
      </c>
      <c r="CW17" s="2">
        <f>CV17+真實IC!CW17</f>
        <v>7.7997073913837207</v>
      </c>
      <c r="CX17" s="2">
        <f>CW17+真實IC!CX17</f>
        <v>7.848772397062679</v>
      </c>
      <c r="CY17" s="2">
        <f>CX17+真實IC!CY17</f>
        <v>7.8949626079570772</v>
      </c>
      <c r="CZ17" s="2">
        <f>CY17+真實IC!CZ17</f>
        <v>8.0612013877673601</v>
      </c>
      <c r="DA17" s="2">
        <f>CZ17+真實IC!DA17</f>
        <v>8.1456750654640917</v>
      </c>
      <c r="DB17" s="2">
        <f>DA17+真實IC!DB17</f>
        <v>8.204207748245711</v>
      </c>
      <c r="DC17" s="2">
        <f>DB17+真實IC!DC17</f>
        <v>8.2300100805482064</v>
      </c>
      <c r="DD17" s="2">
        <f>DC17+真實IC!DD17</f>
        <v>8.3260152668407841</v>
      </c>
      <c r="DE17" s="2">
        <f>DD17+真實IC!DE17</f>
        <v>8.3466315837766789</v>
      </c>
      <c r="DF17" s="2">
        <f>DE17+真實IC!DF17</f>
        <v>8.6947511122036829</v>
      </c>
      <c r="DG17" s="2">
        <f>DF17+真實IC!DG17</f>
        <v>8.7456789898128999</v>
      </c>
      <c r="DH17" s="2">
        <f>DG17+真實IC!DH17</f>
        <v>8.9226881624351506</v>
      </c>
      <c r="DI17" s="2">
        <f>DH17+真實IC!DI17</f>
        <v>8.9817181224234321</v>
      </c>
      <c r="DJ17" s="2">
        <f>DI17+真實IC!DJ17</f>
        <v>9.0221042402448273</v>
      </c>
      <c r="DK17" s="2">
        <f>DJ17+真實IC!DK17</f>
        <v>9.1178810255597735</v>
      </c>
      <c r="DL17" s="2">
        <f>DK17+真實IC!DL17</f>
        <v>9.121258677723036</v>
      </c>
      <c r="DM17" s="2">
        <f>DL17+真實IC!DM17</f>
        <v>9.0778160807003285</v>
      </c>
      <c r="DN17" s="2">
        <f>DM17+真實IC!DN17</f>
        <v>9.1323572887591009</v>
      </c>
      <c r="DO17" s="2">
        <f>DN17+真實IC!DO17</f>
        <v>9.2075219788467635</v>
      </c>
      <c r="DP17" s="2">
        <f>DO17+真實IC!DP17</f>
        <v>9.3867790893415997</v>
      </c>
      <c r="DQ17" s="2">
        <f>DP17+真實IC!DQ17</f>
        <v>9.4344229265080735</v>
      </c>
      <c r="DR17" s="2">
        <f>DQ17+真實IC!DR17</f>
        <v>9.488151046898885</v>
      </c>
      <c r="DS17" s="2">
        <f>DR17+真實IC!DS17</f>
        <v>9.5283990242451377</v>
      </c>
      <c r="DT17" s="2">
        <f>DS17+真實IC!DT17</f>
        <v>9.6051273773830737</v>
      </c>
      <c r="DU17" s="2">
        <f>DT17+真實IC!DU17</f>
        <v>9.7000700885876547</v>
      </c>
      <c r="DV17" s="2">
        <f>DU17+真實IC!DV17</f>
        <v>9.8678681337524186</v>
      </c>
      <c r="DW17" s="2">
        <f>DV17+真實IC!DW17</f>
        <v>9.8928703349440266</v>
      </c>
      <c r="DX17" s="2">
        <f>DW17+真實IC!DX17</f>
        <v>9.9652308562733172</v>
      </c>
      <c r="DY17" s="2">
        <f>DX17+真實IC!DY17</f>
        <v>10.215911416497057</v>
      </c>
      <c r="DZ17" s="2">
        <f>DY17+真實IC!DZ17</f>
        <v>10.249761150017378</v>
      </c>
      <c r="EA17" s="2">
        <f>DZ17+真實IC!EA17</f>
        <v>10.259157285977947</v>
      </c>
      <c r="EB17" s="2">
        <f>EA17+真實IC!EB17</f>
        <v>10.380117106047614</v>
      </c>
      <c r="EC17" s="2">
        <f>EB17+真實IC!EC17</f>
        <v>10.436820554908165</v>
      </c>
      <c r="ED17" s="2">
        <f>EC17+真實IC!ED17</f>
        <v>10.601150421799172</v>
      </c>
      <c r="EE17" s="2">
        <f>ED17+真實IC!EE17</f>
        <v>10.627263361393213</v>
      </c>
      <c r="EF17" s="2">
        <f>EE17+真實IC!EF17</f>
        <v>10.698983481081532</v>
      </c>
      <c r="EG17" s="2">
        <f>EF17+真實IC!EG17</f>
        <v>11.141150194190335</v>
      </c>
      <c r="EH17" s="2">
        <f>EG17+真實IC!EH17</f>
        <v>11.120911387607228</v>
      </c>
      <c r="EI17" s="2">
        <f>EH17+真實IC!EI17</f>
        <v>11.143740655975451</v>
      </c>
      <c r="EJ17" s="2">
        <f>EI17+真實IC!EJ17</f>
        <v>11.220613061413864</v>
      </c>
      <c r="EK17" s="2">
        <f>EJ17+真實IC!EK17</f>
        <v>11.264938056146821</v>
      </c>
      <c r="EL17" s="2">
        <f>EK17+真實IC!EL17</f>
        <v>11.358464258727048</v>
      </c>
    </row>
    <row r="18" spans="1:142" x14ac:dyDescent="0.3">
      <c r="A18" s="18"/>
      <c r="B18" s="18">
        <v>150</v>
      </c>
      <c r="C18" s="2">
        <v>0.24368728540115189</v>
      </c>
      <c r="D18" s="2">
        <f>C18+真實IC!D18</f>
        <v>0.4429700382430396</v>
      </c>
      <c r="E18" s="2">
        <f>D18+真實IC!E18</f>
        <v>0.54315502512688896</v>
      </c>
      <c r="F18" s="2">
        <f>E18+真實IC!F18</f>
        <v>0.57282098234143231</v>
      </c>
      <c r="G18" s="2">
        <f>F18+真實IC!G18</f>
        <v>0.64831164989470058</v>
      </c>
      <c r="H18" s="2">
        <f>G18+真實IC!H18</f>
        <v>0.7103643339442437</v>
      </c>
      <c r="I18" s="2">
        <f>H18+真實IC!I18</f>
        <v>0.85857590435560616</v>
      </c>
      <c r="J18" s="2">
        <f>I18+真實IC!J18</f>
        <v>1.0517755314820951</v>
      </c>
      <c r="K18" s="2">
        <f>J18+真實IC!K18</f>
        <v>1.0973524171561231</v>
      </c>
      <c r="L18" s="2">
        <f>K18+真實IC!L18</f>
        <v>1.0499545169293059</v>
      </c>
      <c r="M18" s="2">
        <f>L18+真實IC!M18</f>
        <v>1.1038934028718581</v>
      </c>
      <c r="N18" s="2">
        <f>M18+真實IC!N18</f>
        <v>1.4676972719714927</v>
      </c>
      <c r="O18" s="2">
        <f>N18+真實IC!O18</f>
        <v>1.4671846828181616</v>
      </c>
      <c r="P18" s="2">
        <f>O18+真實IC!P18</f>
        <v>1.5321698035120856</v>
      </c>
      <c r="Q18" s="2">
        <f>P18+真實IC!Q18</f>
        <v>1.5125452798845322</v>
      </c>
      <c r="R18" s="2">
        <f>Q18+真實IC!R18</f>
        <v>1.4360077996314047</v>
      </c>
      <c r="S18" s="2">
        <f>R18+真實IC!S18</f>
        <v>1.7171510178563298</v>
      </c>
      <c r="T18" s="2">
        <f>S18+真實IC!T18</f>
        <v>1.8056470170833248</v>
      </c>
      <c r="U18" s="2">
        <f>T18+真實IC!U18</f>
        <v>1.7419319967822555</v>
      </c>
      <c r="V18" s="2">
        <f>U18+真實IC!V18</f>
        <v>1.7590829044785024</v>
      </c>
      <c r="W18" s="2">
        <f>V18+真實IC!W18</f>
        <v>1.809694795731545</v>
      </c>
      <c r="X18" s="2">
        <f>W18+真實IC!X18</f>
        <v>2.0333451482171192</v>
      </c>
      <c r="Y18" s="2">
        <f>X18+真實IC!Y18</f>
        <v>2.0746088745542908</v>
      </c>
      <c r="Z18" s="2">
        <f>Y18+真實IC!Z18</f>
        <v>2.153702349217737</v>
      </c>
      <c r="AA18" s="2">
        <f>Z18+真實IC!AA18</f>
        <v>2.2964592173560789</v>
      </c>
      <c r="AB18" s="2">
        <f>AA18+真實IC!AB18</f>
        <v>2.391280638738928</v>
      </c>
      <c r="AC18" s="2">
        <f>AB18+真實IC!AC18</f>
        <v>2.4598726829285913</v>
      </c>
      <c r="AD18" s="2">
        <f>AC18+真實IC!AD18</f>
        <v>2.4330063164361571</v>
      </c>
      <c r="AE18" s="2">
        <f>AD18+真實IC!AE18</f>
        <v>2.6353389783612271</v>
      </c>
      <c r="AF18" s="2">
        <f>AE18+真實IC!AF18</f>
        <v>2.8688722648508951</v>
      </c>
      <c r="AG18" s="2">
        <f>AF18+真實IC!AG18</f>
        <v>2.9241148222104876</v>
      </c>
      <c r="AH18" s="2">
        <f>AG18+真實IC!AH18</f>
        <v>2.8839173612419731</v>
      </c>
      <c r="AI18" s="2">
        <f>AH18+真實IC!AI18</f>
        <v>2.8980443423412434</v>
      </c>
      <c r="AJ18" s="2">
        <f>AI18+真實IC!AJ18</f>
        <v>2.8553711795453278</v>
      </c>
      <c r="AK18" s="2">
        <f>AJ18+真實IC!AK18</f>
        <v>2.8531836985766539</v>
      </c>
      <c r="AL18" s="2">
        <f>AK18+真實IC!AL18</f>
        <v>2.904555133761868</v>
      </c>
      <c r="AM18" s="2">
        <f>AL18+真實IC!AM18</f>
        <v>2.9369197716389048</v>
      </c>
      <c r="AN18" s="2">
        <f>AM18+真實IC!AN18</f>
        <v>3.0642082679401135</v>
      </c>
      <c r="AO18" s="2">
        <f>AN18+真實IC!AO18</f>
        <v>3.0772804682889388</v>
      </c>
      <c r="AP18" s="2">
        <f>AO18+真實IC!AP18</f>
        <v>3.1641735896218188</v>
      </c>
      <c r="AQ18" s="2">
        <f>AP18+真實IC!AQ18</f>
        <v>3.1711422644564271</v>
      </c>
      <c r="AR18" s="2">
        <f>AQ18+真實IC!AR18</f>
        <v>3.2312098737605046</v>
      </c>
      <c r="AS18" s="2">
        <f>AR18+真實IC!AS18</f>
        <v>3.1962290172584531</v>
      </c>
      <c r="AT18" s="2">
        <f>AS18+真實IC!AT18</f>
        <v>3.4937826131726171</v>
      </c>
      <c r="AU18" s="2">
        <f>AT18+真實IC!AU18</f>
        <v>3.6320363492455936</v>
      </c>
      <c r="AV18" s="2">
        <f>AU18+真實IC!AV18</f>
        <v>3.6683246777728544</v>
      </c>
      <c r="AW18" s="2">
        <f>AV18+真實IC!AW18</f>
        <v>3.8526824399720123</v>
      </c>
      <c r="AX18" s="2">
        <f>AW18+真實IC!AX18</f>
        <v>3.991166300038802</v>
      </c>
      <c r="AY18" s="2">
        <f>AX18+真實IC!AY18</f>
        <v>4.0784963413897417</v>
      </c>
      <c r="AZ18" s="2">
        <f>AY18+真實IC!AZ18</f>
        <v>4.1198459814848301</v>
      </c>
      <c r="BA18" s="2">
        <f>AZ18+真實IC!BA18</f>
        <v>4.2981865610859478</v>
      </c>
      <c r="BB18" s="2">
        <f>BA18+真實IC!BB18</f>
        <v>4.5272158038204822</v>
      </c>
      <c r="BC18" s="2">
        <f>BB18+真實IC!BC18</f>
        <v>4.6095046291180166</v>
      </c>
      <c r="BD18" s="2">
        <f>BC18+真實IC!BD18</f>
        <v>4.5992725970390671</v>
      </c>
      <c r="BE18" s="2">
        <f>BD18+真實IC!BE18</f>
        <v>4.675250567034503</v>
      </c>
      <c r="BF18" s="2">
        <f>BE18+真實IC!BF18</f>
        <v>4.8191235517208719</v>
      </c>
      <c r="BG18" s="2">
        <f>BF18+真實IC!BG18</f>
        <v>4.8824531008627474</v>
      </c>
      <c r="BH18" s="2">
        <f>BG18+真實IC!BH18</f>
        <v>5.0068398577321815</v>
      </c>
      <c r="BI18" s="2">
        <f>BH18+真實IC!BI18</f>
        <v>5.0450796828319575</v>
      </c>
      <c r="BJ18" s="2">
        <f>BI18+真實IC!BJ18</f>
        <v>5.0678449831468333</v>
      </c>
      <c r="BK18" s="2">
        <f>BJ18+真實IC!BK18</f>
        <v>5.0276678110486044</v>
      </c>
      <c r="BL18" s="2">
        <f>BK18+真實IC!BL18</f>
        <v>5.0868486074772967</v>
      </c>
      <c r="BM18" s="2">
        <f>BL18+真實IC!BM18</f>
        <v>5.1339133405619028</v>
      </c>
      <c r="BN18" s="2">
        <f>BM18+真實IC!BN18</f>
        <v>5.1134643513718672</v>
      </c>
      <c r="BO18" s="2">
        <f>BN18+真實IC!BO18</f>
        <v>5.1339808189232334</v>
      </c>
      <c r="BP18" s="2">
        <f>BO18+真實IC!BP18</f>
        <v>5.0755417978820239</v>
      </c>
      <c r="BQ18" s="2">
        <f>BP18+真實IC!BQ18</f>
        <v>5.0917711812941944</v>
      </c>
      <c r="BR18" s="2">
        <f>BQ18+真實IC!BR18</f>
        <v>5.2016087259885309</v>
      </c>
      <c r="BS18" s="2">
        <f>BR18+真實IC!BS18</f>
        <v>5.1928575671693569</v>
      </c>
      <c r="BT18" s="2">
        <f>BS18+真實IC!BT18</f>
        <v>5.1893266825463202</v>
      </c>
      <c r="BU18" s="2">
        <f>BT18+真實IC!BU18</f>
        <v>5.2787104878475235</v>
      </c>
      <c r="BV18" s="2">
        <f>BU18+真實IC!BV18</f>
        <v>5.2691720276068619</v>
      </c>
      <c r="BW18" s="2">
        <f>BV18+真實IC!BW18</f>
        <v>5.6998558559238015</v>
      </c>
      <c r="BX18" s="2">
        <f>BW18+真實IC!BX18</f>
        <v>5.7350656953597641</v>
      </c>
      <c r="BY18" s="2">
        <f>BX18+真實IC!BY18</f>
        <v>5.8229842422975437</v>
      </c>
      <c r="BZ18" s="2">
        <f>BY18+真實IC!BZ18</f>
        <v>5.9737813361073151</v>
      </c>
      <c r="CA18" s="2">
        <f>BZ18+真實IC!CA18</f>
        <v>5.9970053200255391</v>
      </c>
      <c r="CB18" s="2">
        <f>CA18+真實IC!CB18</f>
        <v>6.0757296104726075</v>
      </c>
      <c r="CC18" s="2">
        <f>CB18+真實IC!CC18</f>
        <v>6.2956948579036744</v>
      </c>
      <c r="CD18" s="2">
        <f>CC18+真實IC!CD18</f>
        <v>6.4613690516996662</v>
      </c>
      <c r="CE18" s="2">
        <f>CD18+真實IC!CE18</f>
        <v>6.5308299502415661</v>
      </c>
      <c r="CF18" s="2">
        <f>CE18+真實IC!CF18</f>
        <v>6.6231443734037239</v>
      </c>
      <c r="CG18" s="2">
        <f>CF18+真實IC!CG18</f>
        <v>6.7938328509226347</v>
      </c>
      <c r="CH18" s="2">
        <f>CG18+真實IC!CH18</f>
        <v>6.9019462621978498</v>
      </c>
      <c r="CI18" s="2">
        <f>CH18+真實IC!CI18</f>
        <v>6.9322006718549094</v>
      </c>
      <c r="CJ18" s="2">
        <f>CI18+真實IC!CJ18</f>
        <v>6.9330280061886906</v>
      </c>
      <c r="CK18" s="2">
        <f>CJ18+真實IC!CK18</f>
        <v>7.0821342234886808</v>
      </c>
      <c r="CL18" s="2">
        <f>CK18+真實IC!CL18</f>
        <v>7.4498843400339592</v>
      </c>
      <c r="CM18" s="2">
        <f>CL18+真實IC!CM18</f>
        <v>7.4736764431425602</v>
      </c>
      <c r="CN18" s="2">
        <f>CM18+真實IC!CN18</f>
        <v>7.6423876433746782</v>
      </c>
      <c r="CO18" s="2">
        <f>CN18+真實IC!CO18</f>
        <v>7.8098840012197028</v>
      </c>
      <c r="CP18" s="2">
        <f>CO18+真實IC!CP18</f>
        <v>7.9407420160128295</v>
      </c>
      <c r="CQ18" s="2">
        <f>CP18+真實IC!CQ18</f>
        <v>7.9886329209114084</v>
      </c>
      <c r="CR18" s="2">
        <f>CQ18+真實IC!CR18</f>
        <v>8.0268069765421135</v>
      </c>
      <c r="CS18" s="2">
        <f>CR18+真實IC!CS18</f>
        <v>8.0700317316410963</v>
      </c>
      <c r="CT18" s="2">
        <f>CS18+真實IC!CT18</f>
        <v>8.100820043600228</v>
      </c>
      <c r="CU18" s="2">
        <f>CT18+真實IC!CU18</f>
        <v>8.268054607605297</v>
      </c>
      <c r="CV18" s="2">
        <f>CU18+真實IC!CV18</f>
        <v>8.3738861804470641</v>
      </c>
      <c r="CW18" s="2">
        <f>CV18+真實IC!CW18</f>
        <v>8.4555996661891939</v>
      </c>
      <c r="CX18" s="2">
        <f>CW18+真實IC!CX18</f>
        <v>8.508247757451338</v>
      </c>
      <c r="CY18" s="2">
        <f>CX18+真實IC!CY18</f>
        <v>8.5734178038834177</v>
      </c>
      <c r="CZ18" s="2">
        <f>CY18+真實IC!CZ18</f>
        <v>8.7734466051205651</v>
      </c>
      <c r="DA18" s="2">
        <f>CZ18+真實IC!DA18</f>
        <v>8.8494940221704557</v>
      </c>
      <c r="DB18" s="2">
        <f>DA18+真實IC!DB18</f>
        <v>8.905040552627586</v>
      </c>
      <c r="DC18" s="2">
        <f>DB18+真實IC!DC18</f>
        <v>8.9213794636373738</v>
      </c>
      <c r="DD18" s="2">
        <f>DC18+真實IC!DD18</f>
        <v>8.9845136347656744</v>
      </c>
      <c r="DE18" s="2">
        <f>DD18+真實IC!DE18</f>
        <v>9.0246475415476191</v>
      </c>
      <c r="DF18" s="2">
        <f>DE18+真實IC!DF18</f>
        <v>9.3866469501965266</v>
      </c>
      <c r="DG18" s="2">
        <f>DF18+真實IC!DG18</f>
        <v>9.4477116127988019</v>
      </c>
      <c r="DH18" s="2">
        <f>DG18+真實IC!DH18</f>
        <v>9.6535774954224642</v>
      </c>
      <c r="DI18" s="2">
        <f>DH18+真實IC!DI18</f>
        <v>9.7110149094610048</v>
      </c>
      <c r="DJ18" s="2">
        <f>DI18+真實IC!DJ18</f>
        <v>9.758681176224572</v>
      </c>
      <c r="DK18" s="2">
        <f>DJ18+真實IC!DK18</f>
        <v>9.826449908823669</v>
      </c>
      <c r="DL18" s="2">
        <f>DK18+真實IC!DL18</f>
        <v>9.8300693409524342</v>
      </c>
      <c r="DM18" s="2">
        <f>DL18+真實IC!DM18</f>
        <v>9.7920418789376615</v>
      </c>
      <c r="DN18" s="2">
        <f>DM18+真實IC!DN18</f>
        <v>9.8147113835958333</v>
      </c>
      <c r="DO18" s="2">
        <f>DN18+真實IC!DO18</f>
        <v>9.8562408533273764</v>
      </c>
      <c r="DP18" s="2">
        <f>DO18+真實IC!DP18</f>
        <v>10.04932235764554</v>
      </c>
      <c r="DQ18" s="2">
        <f>DP18+真實IC!DQ18</f>
        <v>10.086488766755666</v>
      </c>
      <c r="DR18" s="2">
        <f>DQ18+真實IC!DR18</f>
        <v>10.138587094718112</v>
      </c>
      <c r="DS18" s="2">
        <f>DR18+真實IC!DS18</f>
        <v>10.153172378220823</v>
      </c>
      <c r="DT18" s="2">
        <f>DS18+真實IC!DT18</f>
        <v>10.248680944853312</v>
      </c>
      <c r="DU18" s="2">
        <f>DT18+真實IC!DU18</f>
        <v>10.3678523655991</v>
      </c>
      <c r="DV18" s="2">
        <f>DU18+真實IC!DV18</f>
        <v>10.56051604138036</v>
      </c>
      <c r="DW18" s="2">
        <f>DV18+真實IC!DW18</f>
        <v>10.618328601516639</v>
      </c>
      <c r="DX18" s="2">
        <f>DW18+真實IC!DX18</f>
        <v>10.680923679634704</v>
      </c>
      <c r="DY18" s="2">
        <f>DX18+真實IC!DY18</f>
        <v>10.959522272873796</v>
      </c>
      <c r="DZ18" s="2">
        <f>DY18+真實IC!DZ18</f>
        <v>10.960693748154728</v>
      </c>
      <c r="EA18" s="2">
        <f>DZ18+真實IC!EA18</f>
        <v>10.942748081788578</v>
      </c>
      <c r="EB18" s="2">
        <f>EA18+真實IC!EB18</f>
        <v>11.051825969216402</v>
      </c>
      <c r="EC18" s="2">
        <f>EB18+真實IC!EC18</f>
        <v>11.103691209605046</v>
      </c>
      <c r="ED18" s="2">
        <f>EC18+真實IC!ED18</f>
        <v>11.264917696695209</v>
      </c>
      <c r="EE18" s="2">
        <f>ED18+真實IC!EE18</f>
        <v>11.28532508230453</v>
      </c>
      <c r="EF18" s="2">
        <f>EE18+真實IC!EF18</f>
        <v>11.367364074018319</v>
      </c>
      <c r="EG18" s="2">
        <f>EF18+真實IC!EG18</f>
        <v>11.859106095092912</v>
      </c>
      <c r="EH18" s="2">
        <f>EG18+真實IC!EH18</f>
        <v>11.835631334387596</v>
      </c>
      <c r="EI18" s="2">
        <f>EH18+真實IC!EI18</f>
        <v>11.850582901655088</v>
      </c>
      <c r="EJ18" s="2">
        <f>EI18+真實IC!EJ18</f>
        <v>11.903200370457299</v>
      </c>
      <c r="EK18" s="2">
        <f>EJ18+真實IC!EK18</f>
        <v>11.948767655399848</v>
      </c>
      <c r="EL18" s="2">
        <f>EK18+真實IC!EL18</f>
        <v>11.993490296703516</v>
      </c>
    </row>
    <row r="19" spans="1:142" x14ac:dyDescent="0.3">
      <c r="A19" s="18"/>
      <c r="B19" s="18">
        <v>180</v>
      </c>
      <c r="C19" s="2">
        <v>0.25825037374733928</v>
      </c>
      <c r="D19" s="2">
        <f>C19+真實IC!D19</f>
        <v>0.46641809621953412</v>
      </c>
      <c r="E19" s="2">
        <f>D19+真實IC!E19</f>
        <v>0.54023695025082674</v>
      </c>
      <c r="F19" s="2">
        <f>E19+真實IC!F19</f>
        <v>0.55877621964473667</v>
      </c>
      <c r="G19" s="2">
        <f>F19+真實IC!G19</f>
        <v>0.67159004637179442</v>
      </c>
      <c r="H19" s="2">
        <f>G19+真實IC!H19</f>
        <v>0.75812383678397122</v>
      </c>
      <c r="I19" s="2">
        <f>H19+真實IC!I19</f>
        <v>0.94125682353303519</v>
      </c>
      <c r="J19" s="2">
        <f>I19+真實IC!J19</f>
        <v>1.1473121285267858</v>
      </c>
      <c r="K19" s="2">
        <f>J19+真實IC!K19</f>
        <v>1.1901933690218738</v>
      </c>
      <c r="L19" s="2">
        <f>K19+真實IC!L19</f>
        <v>1.1370135939687729</v>
      </c>
      <c r="M19" s="2">
        <f>L19+真實IC!M19</f>
        <v>1.1936007456707545</v>
      </c>
      <c r="N19" s="2">
        <f>M19+真實IC!N19</f>
        <v>1.6063696261834852</v>
      </c>
      <c r="O19" s="2">
        <f>N19+真實IC!O19</f>
        <v>1.6575595413252304</v>
      </c>
      <c r="P19" s="2">
        <f>O19+真實IC!P19</f>
        <v>1.738459571425965</v>
      </c>
      <c r="Q19" s="2">
        <f>P19+真實IC!Q19</f>
        <v>1.6878566623486737</v>
      </c>
      <c r="R19" s="2">
        <f>Q19+真實IC!R19</f>
        <v>1.5975575717178174</v>
      </c>
      <c r="S19" s="2">
        <f>R19+真實IC!S19</f>
        <v>1.9221083802197756</v>
      </c>
      <c r="T19" s="2">
        <f>S19+真實IC!T19</f>
        <v>1.9928147433952723</v>
      </c>
      <c r="U19" s="2">
        <f>T19+真實IC!U19</f>
        <v>1.9280566158975185</v>
      </c>
      <c r="V19" s="2">
        <f>U19+真實IC!V19</f>
        <v>1.9335285943746929</v>
      </c>
      <c r="W19" s="2">
        <f>V19+真實IC!W19</f>
        <v>1.9487156856395047</v>
      </c>
      <c r="X19" s="2">
        <f>W19+真實IC!X19</f>
        <v>2.1767397142404312</v>
      </c>
      <c r="Y19" s="2">
        <f>X19+真實IC!Y19</f>
        <v>2.217851216171272</v>
      </c>
      <c r="Z19" s="2">
        <f>Y19+真實IC!Z19</f>
        <v>2.2976392898407059</v>
      </c>
      <c r="AA19" s="2">
        <f>Z19+真實IC!AA19</f>
        <v>2.4000590619880731</v>
      </c>
      <c r="AB19" s="2">
        <f>AA19+真實IC!AB19</f>
        <v>2.4790636483225987</v>
      </c>
      <c r="AC19" s="2">
        <f>AB19+真實IC!AC19</f>
        <v>2.5280256326566932</v>
      </c>
      <c r="AD19" s="2">
        <f>AC19+真實IC!AD19</f>
        <v>2.4866450617500107</v>
      </c>
      <c r="AE19" s="2">
        <f>AD19+真實IC!AE19</f>
        <v>2.7233992401350373</v>
      </c>
      <c r="AF19" s="2">
        <f>AE19+真實IC!AF19</f>
        <v>2.9690991905976016</v>
      </c>
      <c r="AG19" s="2">
        <f>AF19+真實IC!AG19</f>
        <v>3.0177764244754854</v>
      </c>
      <c r="AH19" s="2">
        <f>AG19+真實IC!AH19</f>
        <v>2.9612187092537821</v>
      </c>
      <c r="AI19" s="2">
        <f>AH19+真實IC!AI19</f>
        <v>2.9927731455368289</v>
      </c>
      <c r="AJ19" s="2">
        <f>AI19+真實IC!AJ19</f>
        <v>2.945937059109851</v>
      </c>
      <c r="AK19" s="2">
        <f>AJ19+真實IC!AK19</f>
        <v>2.9534891016158036</v>
      </c>
      <c r="AL19" s="2">
        <f>AK19+真實IC!AL19</f>
        <v>3.0128881028048542</v>
      </c>
      <c r="AM19" s="2">
        <f>AL19+真實IC!AM19</f>
        <v>3.0454731195621245</v>
      </c>
      <c r="AN19" s="2">
        <f>AM19+真實IC!AN19</f>
        <v>3.1627954579463857</v>
      </c>
      <c r="AO19" s="2">
        <f>AN19+真實IC!AO19</f>
        <v>3.1863166099327622</v>
      </c>
      <c r="AP19" s="2">
        <f>AO19+真實IC!AP19</f>
        <v>3.282037260580601</v>
      </c>
      <c r="AQ19" s="2">
        <f>AP19+真實IC!AQ19</f>
        <v>3.283841615686486</v>
      </c>
      <c r="AR19" s="2">
        <f>AQ19+真實IC!AR19</f>
        <v>3.3451826047864857</v>
      </c>
      <c r="AS19" s="2">
        <f>AR19+真實IC!AS19</f>
        <v>3.2881573726416091</v>
      </c>
      <c r="AT19" s="2">
        <f>AS19+真實IC!AT19</f>
        <v>3.6181595975129985</v>
      </c>
      <c r="AU19" s="2">
        <f>AT19+真實IC!AU19</f>
        <v>3.770273279213209</v>
      </c>
      <c r="AV19" s="2">
        <f>AU19+真實IC!AV19</f>
        <v>3.8111731978684613</v>
      </c>
      <c r="AW19" s="2">
        <f>AV19+真實IC!AW19</f>
        <v>4.0143345685762943</v>
      </c>
      <c r="AX19" s="2">
        <f>AW19+真實IC!AX19</f>
        <v>4.1949547746223859</v>
      </c>
      <c r="AY19" s="2">
        <f>AX19+真實IC!AY19</f>
        <v>4.2857883015105234</v>
      </c>
      <c r="AZ19" s="2">
        <f>AY19+真實IC!AZ19</f>
        <v>4.3406638655347747</v>
      </c>
      <c r="BA19" s="2">
        <f>AZ19+真實IC!BA19</f>
        <v>4.5251649271763892</v>
      </c>
      <c r="BB19" s="2">
        <f>BA19+真實IC!BB19</f>
        <v>4.8127216020992201</v>
      </c>
      <c r="BC19" s="2">
        <f>BB19+真實IC!BC19</f>
        <v>4.8954472233141555</v>
      </c>
      <c r="BD19" s="2">
        <f>BC19+真實IC!BD19</f>
        <v>4.8750748605766567</v>
      </c>
      <c r="BE19" s="2">
        <f>BD19+真實IC!BE19</f>
        <v>4.9561337494229241</v>
      </c>
      <c r="BF19" s="2">
        <f>BE19+真實IC!BF19</f>
        <v>5.0864000605412425</v>
      </c>
      <c r="BG19" s="2">
        <f>BF19+真實IC!BG19</f>
        <v>5.0712560458459972</v>
      </c>
      <c r="BH19" s="2">
        <f>BG19+真實IC!BH19</f>
        <v>5.2009247733763084</v>
      </c>
      <c r="BI19" s="2">
        <f>BH19+真實IC!BI19</f>
        <v>5.263508737453698</v>
      </c>
      <c r="BJ19" s="2">
        <f>BI19+真實IC!BJ19</f>
        <v>5.2875268553660435</v>
      </c>
      <c r="BK19" s="2">
        <f>BJ19+真實IC!BK19</f>
        <v>5.1977599959386973</v>
      </c>
      <c r="BL19" s="2">
        <f>BK19+真實IC!BL19</f>
        <v>5.2648829311804484</v>
      </c>
      <c r="BM19" s="2">
        <f>BL19+真實IC!BM19</f>
        <v>5.31399371252233</v>
      </c>
      <c r="BN19" s="2">
        <f>BM19+真實IC!BN19</f>
        <v>5.3006024475047386</v>
      </c>
      <c r="BO19" s="2">
        <f>BN19+真實IC!BO19</f>
        <v>5.3216222974935876</v>
      </c>
      <c r="BP19" s="2">
        <f>BO19+真實IC!BP19</f>
        <v>5.2532312605043767</v>
      </c>
      <c r="BQ19" s="2">
        <f>BP19+真實IC!BQ19</f>
        <v>5.2866888754742236</v>
      </c>
      <c r="BR19" s="2">
        <f>BQ19+真實IC!BR19</f>
        <v>5.4099284100986482</v>
      </c>
      <c r="BS19" s="2">
        <f>BR19+真實IC!BS19</f>
        <v>5.4009613485184635</v>
      </c>
      <c r="BT19" s="2">
        <f>BS19+真實IC!BT19</f>
        <v>5.3653981093917382</v>
      </c>
      <c r="BU19" s="2">
        <f>BT19+真實IC!BU19</f>
        <v>5.4637418290638413</v>
      </c>
      <c r="BV19" s="2">
        <f>BU19+真實IC!BV19</f>
        <v>5.4141025686898585</v>
      </c>
      <c r="BW19" s="2">
        <f>BV19+真實IC!BW19</f>
        <v>5.7706128133866628</v>
      </c>
      <c r="BX19" s="2">
        <f>BW19+真實IC!BX19</f>
        <v>5.7833145393187504</v>
      </c>
      <c r="BY19" s="2">
        <f>BX19+真實IC!BY19</f>
        <v>5.8779597586785446</v>
      </c>
      <c r="BZ19" s="2">
        <f>BY19+真實IC!BZ19</f>
        <v>5.9388317761207929</v>
      </c>
      <c r="CA19" s="2">
        <f>BZ19+真實IC!CA19</f>
        <v>5.9612146850356789</v>
      </c>
      <c r="CB19" s="2">
        <f>CA19+真實IC!CB19</f>
        <v>5.9750043558365524</v>
      </c>
      <c r="CC19" s="2">
        <f>CB19+真實IC!CC19</f>
        <v>6.2167676469171109</v>
      </c>
      <c r="CD19" s="2">
        <f>CC19+真實IC!CD19</f>
        <v>6.3801910443088108</v>
      </c>
      <c r="CE19" s="2">
        <f>CD19+真實IC!CE19</f>
        <v>6.4174001677444421</v>
      </c>
      <c r="CF19" s="2">
        <f>CE19+真實IC!CF19</f>
        <v>6.474449440851358</v>
      </c>
      <c r="CG19" s="2">
        <f>CF19+真實IC!CG19</f>
        <v>6.6157458608352764</v>
      </c>
      <c r="CH19" s="2">
        <f>CG19+真實IC!CH19</f>
        <v>6.7454166731422145</v>
      </c>
      <c r="CI19" s="2">
        <f>CH19+真實IC!CI19</f>
        <v>6.7717798054269593</v>
      </c>
      <c r="CJ19" s="2">
        <f>CI19+真實IC!CJ19</f>
        <v>6.7736526551013849</v>
      </c>
      <c r="CK19" s="2">
        <f>CJ19+真實IC!CK19</f>
        <v>6.9258906250327605</v>
      </c>
      <c r="CL19" s="2">
        <f>CK19+真實IC!CL19</f>
        <v>7.3176281686137576</v>
      </c>
      <c r="CM19" s="2">
        <f>CL19+真實IC!CM19</f>
        <v>7.3418654640127885</v>
      </c>
      <c r="CN19" s="2">
        <f>CM19+真實IC!CN19</f>
        <v>7.5454409112104734</v>
      </c>
      <c r="CO19" s="2">
        <f>CN19+真實IC!CO19</f>
        <v>7.7315708898093387</v>
      </c>
      <c r="CP19" s="2">
        <f>CO19+真實IC!CP19</f>
        <v>7.8944001323946349</v>
      </c>
      <c r="CQ19" s="2">
        <f>CP19+真實IC!CQ19</f>
        <v>7.9405291584634572</v>
      </c>
      <c r="CR19" s="2">
        <f>CQ19+真實IC!CR19</f>
        <v>7.9767769112829798</v>
      </c>
      <c r="CS19" s="2">
        <f>CR19+真實IC!CS19</f>
        <v>8.0318373761074575</v>
      </c>
      <c r="CT19" s="2">
        <f>CS19+真實IC!CT19</f>
        <v>8.0682791719840967</v>
      </c>
      <c r="CU19" s="2">
        <f>CT19+真實IC!CU19</f>
        <v>8.2390519609554271</v>
      </c>
      <c r="CV19" s="2">
        <f>CU19+真實IC!CV19</f>
        <v>8.3736091317857184</v>
      </c>
      <c r="CW19" s="2">
        <f>CV19+真實IC!CW19</f>
        <v>8.441340198243811</v>
      </c>
      <c r="CX19" s="2">
        <f>CW19+真實IC!CX19</f>
        <v>8.5602199954904563</v>
      </c>
      <c r="CY19" s="2">
        <f>CX19+真實IC!CY19</f>
        <v>8.6332112107804502</v>
      </c>
      <c r="CZ19" s="2">
        <f>CY19+真實IC!CZ19</f>
        <v>8.8558963689456949</v>
      </c>
      <c r="DA19" s="2">
        <f>CZ19+真實IC!DA19</f>
        <v>8.9007946881219553</v>
      </c>
      <c r="DB19" s="2">
        <f>DA19+真實IC!DB19</f>
        <v>8.9594473062529332</v>
      </c>
      <c r="DC19" s="2">
        <f>DB19+真實IC!DC19</f>
        <v>8.9008530574508349</v>
      </c>
      <c r="DD19" s="2">
        <f>DC19+真實IC!DD19</f>
        <v>8.9328608304827917</v>
      </c>
      <c r="DE19" s="2">
        <f>DD19+真實IC!DE19</f>
        <v>9.0193450577792831</v>
      </c>
      <c r="DF19" s="2">
        <f>DE19+真實IC!DF19</f>
        <v>9.2193721022476218</v>
      </c>
      <c r="DG19" s="2">
        <f>DF19+真實IC!DG19</f>
        <v>9.2861635556117452</v>
      </c>
      <c r="DH19" s="2">
        <f>DG19+真實IC!DH19</f>
        <v>9.5324981035135625</v>
      </c>
      <c r="DI19" s="2">
        <f>DH19+真實IC!DI19</f>
        <v>9.608521117796446</v>
      </c>
      <c r="DJ19" s="2">
        <f>DI19+真實IC!DJ19</f>
        <v>9.659133776051414</v>
      </c>
      <c r="DK19" s="2">
        <f>DJ19+真實IC!DK19</f>
        <v>9.7216399431607297</v>
      </c>
      <c r="DL19" s="2">
        <f>DK19+真實IC!DL19</f>
        <v>9.7164502855574941</v>
      </c>
      <c r="DM19" s="2">
        <f>DL19+真實IC!DM19</f>
        <v>9.6508854715819208</v>
      </c>
      <c r="DN19" s="2">
        <f>DM19+真實IC!DN19</f>
        <v>9.6838091898609076</v>
      </c>
      <c r="DO19" s="2">
        <f>DN19+真實IC!DO19</f>
        <v>9.7228198413847906</v>
      </c>
      <c r="DP19" s="2">
        <f>DO19+真實IC!DP19</f>
        <v>9.9100415497116359</v>
      </c>
      <c r="DQ19" s="2">
        <f>DP19+真實IC!DQ19</f>
        <v>9.9604893430487564</v>
      </c>
      <c r="DR19" s="2">
        <f>DQ19+真實IC!DR19</f>
        <v>10.010735589036804</v>
      </c>
      <c r="DS19" s="2">
        <f>DR19+真實IC!DS19</f>
        <v>10.011176715270285</v>
      </c>
      <c r="DT19" s="2">
        <f>DS19+真實IC!DT19</f>
        <v>10.085098034086242</v>
      </c>
      <c r="DU19" s="2">
        <f>DT19+真實IC!DU19</f>
        <v>10.201076764141659</v>
      </c>
      <c r="DV19" s="2">
        <f>DU19+真實IC!DV19</f>
        <v>10.378788737335453</v>
      </c>
      <c r="DW19" s="2">
        <f>DV19+真實IC!DW19</f>
        <v>10.454688683120462</v>
      </c>
      <c r="DX19" s="2">
        <f>DW19+真實IC!DX19</f>
        <v>10.522057343784477</v>
      </c>
      <c r="DY19" s="2">
        <f>DX19+真實IC!DY19</f>
        <v>10.790351199998376</v>
      </c>
      <c r="DZ19" s="2">
        <f>DY19+真實IC!DZ19</f>
        <v>10.81758343501931</v>
      </c>
      <c r="EA19" s="2">
        <f>DZ19+真實IC!EA19</f>
        <v>10.825358175583194</v>
      </c>
      <c r="EB19" s="2">
        <f>EA19+真實IC!EB19</f>
        <v>10.945676274932794</v>
      </c>
      <c r="EC19" s="2">
        <f>EB19+真實IC!EC19</f>
        <v>10.981610266862356</v>
      </c>
      <c r="ED19" s="2">
        <f>EC19+真實IC!ED19</f>
        <v>11.180552814468639</v>
      </c>
      <c r="EE19" s="2">
        <f>ED19+真實IC!EE19</f>
        <v>11.210961169137182</v>
      </c>
      <c r="EF19" s="2">
        <f>EE19+真實IC!EF19</f>
        <v>11.283863800656498</v>
      </c>
      <c r="EG19" s="2">
        <f>EF19+真實IC!EG19</f>
        <v>11.866072416670606</v>
      </c>
      <c r="EH19" s="2">
        <f>EG19+真實IC!EH19</f>
        <v>11.794733153032832</v>
      </c>
      <c r="EI19" s="2">
        <f>EH19+真實IC!EI19</f>
        <v>11.774039471012628</v>
      </c>
      <c r="EJ19" s="2">
        <f>EI19+真實IC!EJ19</f>
        <v>11.831583246065636</v>
      </c>
      <c r="EK19" s="2">
        <f>EJ19+真實IC!EK19</f>
        <v>11.873206833663618</v>
      </c>
      <c r="EL19" s="2">
        <f>EK19+真實IC!EL19</f>
        <v>11.917240175418662</v>
      </c>
    </row>
    <row r="20" spans="1:142" x14ac:dyDescent="0.3">
      <c r="A20" s="18"/>
      <c r="B20" s="18">
        <v>200</v>
      </c>
      <c r="C20" s="2">
        <v>0.241035745977561</v>
      </c>
      <c r="D20" s="2">
        <f>C20+真實IC!D20</f>
        <v>0.46498850341496101</v>
      </c>
      <c r="E20" s="2">
        <f>D20+真實IC!E20</f>
        <v>0.51380356977856012</v>
      </c>
      <c r="F20" s="2">
        <f>E20+真實IC!F20</f>
        <v>0.48639172126093216</v>
      </c>
      <c r="G20" s="2">
        <f>F20+真實IC!G20</f>
        <v>0.61965889293451415</v>
      </c>
      <c r="H20" s="2">
        <f>G20+真實IC!H20</f>
        <v>0.74699175021553144</v>
      </c>
      <c r="I20" s="2">
        <f>H20+真實IC!I20</f>
        <v>0.96122024727866251</v>
      </c>
      <c r="J20" s="2">
        <f>I20+真實IC!J20</f>
        <v>1.1902259926430943</v>
      </c>
      <c r="K20" s="2">
        <f>J20+真實IC!K20</f>
        <v>1.2709245663405091</v>
      </c>
      <c r="L20" s="2">
        <f>K20+真實IC!L20</f>
        <v>1.2131791676884902</v>
      </c>
      <c r="M20" s="2">
        <f>L20+真實IC!M20</f>
        <v>1.2569864969946949</v>
      </c>
      <c r="N20" s="2">
        <f>M20+真實IC!N20</f>
        <v>1.736347897328455</v>
      </c>
      <c r="O20" s="2">
        <f>N20+真實IC!O20</f>
        <v>1.7790819220862455</v>
      </c>
      <c r="P20" s="2">
        <f>O20+真實IC!P20</f>
        <v>1.87389967070217</v>
      </c>
      <c r="Q20" s="2">
        <f>P20+真實IC!Q20</f>
        <v>1.8470687255718736</v>
      </c>
      <c r="R20" s="2">
        <f>Q20+真實IC!R20</f>
        <v>1.7378156699344047</v>
      </c>
      <c r="S20" s="2">
        <f>R20+真實IC!S20</f>
        <v>2.0152833768061233</v>
      </c>
      <c r="T20" s="2">
        <f>S20+真實IC!T20</f>
        <v>2.1077716187840645</v>
      </c>
      <c r="U20" s="2">
        <f>T20+真實IC!U20</f>
        <v>2.062910619744482</v>
      </c>
      <c r="V20" s="2">
        <f>U20+真實IC!V20</f>
        <v>2.0959141757100657</v>
      </c>
      <c r="W20" s="2">
        <f>V20+真實IC!W20</f>
        <v>2.0907311606240082</v>
      </c>
      <c r="X20" s="2">
        <f>W20+真實IC!X20</f>
        <v>2.2836334710654937</v>
      </c>
      <c r="Y20" s="2">
        <f>X20+真實IC!Y20</f>
        <v>2.3262604664993463</v>
      </c>
      <c r="Z20" s="2">
        <f>Y20+真實IC!Z20</f>
        <v>2.417680182695098</v>
      </c>
      <c r="AA20" s="2">
        <f>Z20+真實IC!AA20</f>
        <v>2.5130957116081256</v>
      </c>
      <c r="AB20" s="2">
        <f>AA20+真實IC!AB20</f>
        <v>2.6283165574931941</v>
      </c>
      <c r="AC20" s="2">
        <f>AB20+真實IC!AC20</f>
        <v>2.6936692217751208</v>
      </c>
      <c r="AD20" s="2">
        <f>AC20+真實IC!AD20</f>
        <v>2.7011174923175725</v>
      </c>
      <c r="AE20" s="2">
        <f>AD20+真實IC!AE20</f>
        <v>2.8430531548477349</v>
      </c>
      <c r="AF20" s="2">
        <f>AE20+真實IC!AF20</f>
        <v>3.0817371981888533</v>
      </c>
      <c r="AG20" s="2">
        <f>AF20+真實IC!AG20</f>
        <v>3.1093964167287456</v>
      </c>
      <c r="AH20" s="2">
        <f>AG20+真實IC!AH20</f>
        <v>3.0192182160139631</v>
      </c>
      <c r="AI20" s="2">
        <f>AH20+真實IC!AI20</f>
        <v>3.049856964985084</v>
      </c>
      <c r="AJ20" s="2">
        <f>AI20+真實IC!AJ20</f>
        <v>2.9878669304375363</v>
      </c>
      <c r="AK20" s="2">
        <f>AJ20+真實IC!AK20</f>
        <v>2.9742718149415333</v>
      </c>
      <c r="AL20" s="2">
        <f>AK20+真實IC!AL20</f>
        <v>3.0416002546610632</v>
      </c>
      <c r="AM20" s="2">
        <f>AL20+真實IC!AM20</f>
        <v>3.0769514917628307</v>
      </c>
      <c r="AN20" s="2">
        <f>AM20+真實IC!AN20</f>
        <v>3.1977929582360298</v>
      </c>
      <c r="AO20" s="2">
        <f>AN20+真實IC!AO20</f>
        <v>3.2311024603704359</v>
      </c>
      <c r="AP20" s="2">
        <f>AO20+真實IC!AP20</f>
        <v>3.3178476984633312</v>
      </c>
      <c r="AQ20" s="2">
        <f>AP20+真實IC!AQ20</f>
        <v>3.2951296549540681</v>
      </c>
      <c r="AR20" s="2">
        <f>AQ20+真實IC!AR20</f>
        <v>3.3580353402876817</v>
      </c>
      <c r="AS20" s="2">
        <f>AR20+真實IC!AS20</f>
        <v>3.2847889845993636</v>
      </c>
      <c r="AT20" s="2">
        <f>AS20+真實IC!AT20</f>
        <v>3.4878515752431358</v>
      </c>
      <c r="AU20" s="2">
        <f>AT20+真實IC!AU20</f>
        <v>3.6618259240857096</v>
      </c>
      <c r="AV20" s="2">
        <f>AU20+真實IC!AV20</f>
        <v>3.6879122472163552</v>
      </c>
      <c r="AW20" s="2">
        <f>AV20+真實IC!AW20</f>
        <v>3.9544088696076649</v>
      </c>
      <c r="AX20" s="2">
        <f>AW20+真實IC!AX20</f>
        <v>4.1334228176283334</v>
      </c>
      <c r="AY20" s="2">
        <f>AX20+真實IC!AY20</f>
        <v>4.2456629838649516</v>
      </c>
      <c r="AZ20" s="2">
        <f>AY20+真實IC!AZ20</f>
        <v>4.2962390649371383</v>
      </c>
      <c r="BA20" s="2">
        <f>AZ20+真實IC!BA20</f>
        <v>4.5107856110360096</v>
      </c>
      <c r="BB20" s="2">
        <f>BA20+真實IC!BB20</f>
        <v>4.8089119197109511</v>
      </c>
      <c r="BC20" s="2">
        <f>BB20+真實IC!BC20</f>
        <v>4.8484343198355964</v>
      </c>
      <c r="BD20" s="2">
        <f>BC20+真實IC!BD20</f>
        <v>4.8324361062785819</v>
      </c>
      <c r="BE20" s="2">
        <f>BD20+真實IC!BE20</f>
        <v>4.8866437865181647</v>
      </c>
      <c r="BF20" s="2">
        <f>BE20+真實IC!BF20</f>
        <v>5.0462169543530209</v>
      </c>
      <c r="BG20" s="2">
        <f>BF20+真實IC!BG20</f>
        <v>5.0475124368436628</v>
      </c>
      <c r="BH20" s="2">
        <f>BG20+真實IC!BH20</f>
        <v>5.1385312970265264</v>
      </c>
      <c r="BI20" s="2">
        <f>BH20+真實IC!BI20</f>
        <v>5.2275792548563738</v>
      </c>
      <c r="BJ20" s="2">
        <f>BI20+真實IC!BJ20</f>
        <v>5.2469974913382957</v>
      </c>
      <c r="BK20" s="2">
        <f>BJ20+真實IC!BK20</f>
        <v>5.202289632401695</v>
      </c>
      <c r="BL20" s="2">
        <f>BK20+真實IC!BL20</f>
        <v>5.2768991561325933</v>
      </c>
      <c r="BM20" s="2">
        <f>BL20+真實IC!BM20</f>
        <v>5.3333800188655074</v>
      </c>
      <c r="BN20" s="2">
        <f>BM20+真實IC!BN20</f>
        <v>5.2968591078189045</v>
      </c>
      <c r="BO20" s="2">
        <f>BN20+真實IC!BO20</f>
        <v>5.3204716706927293</v>
      </c>
      <c r="BP20" s="2">
        <f>BO20+真實IC!BP20</f>
        <v>5.3197658084205637</v>
      </c>
      <c r="BQ20" s="2">
        <f>BP20+真實IC!BQ20</f>
        <v>5.3626707550060626</v>
      </c>
      <c r="BR20" s="2">
        <f>BQ20+真實IC!BR20</f>
        <v>5.5207480327119764</v>
      </c>
      <c r="BS20" s="2">
        <f>BR20+真實IC!BS20</f>
        <v>5.4963834025681955</v>
      </c>
      <c r="BT20" s="2">
        <f>BS20+真實IC!BT20</f>
        <v>5.4384535450668725</v>
      </c>
      <c r="BU20" s="2">
        <f>BT20+真實IC!BU20</f>
        <v>5.5451103324132198</v>
      </c>
      <c r="BV20" s="2">
        <f>BU20+真實IC!BV20</f>
        <v>5.487662777150347</v>
      </c>
      <c r="BW20" s="2">
        <f>BV20+真實IC!BW20</f>
        <v>5.910088594255904</v>
      </c>
      <c r="BX20" s="2">
        <f>BW20+真實IC!BX20</f>
        <v>5.8940147975369319</v>
      </c>
      <c r="BY20" s="2">
        <f>BX20+真實IC!BY20</f>
        <v>5.9867704680214189</v>
      </c>
      <c r="BZ20" s="2">
        <f>BY20+真實IC!BZ20</f>
        <v>6.0735098206917444</v>
      </c>
      <c r="CA20" s="2">
        <f>BZ20+真實IC!CA20</f>
        <v>6.0908518086228085</v>
      </c>
      <c r="CB20" s="2">
        <f>CA20+真實IC!CB20</f>
        <v>6.113216233191757</v>
      </c>
      <c r="CC20" s="2">
        <f>CB20+真實IC!CC20</f>
        <v>6.3803119670956221</v>
      </c>
      <c r="CD20" s="2">
        <f>CC20+真實IC!CD20</f>
        <v>6.5586725946025597</v>
      </c>
      <c r="CE20" s="2">
        <f>CD20+真實IC!CE20</f>
        <v>6.5915302190346017</v>
      </c>
      <c r="CF20" s="2">
        <f>CE20+真實IC!CF20</f>
        <v>6.6574610850894578</v>
      </c>
      <c r="CG20" s="2">
        <f>CF20+真實IC!CG20</f>
        <v>6.7891748388767352</v>
      </c>
      <c r="CH20" s="2">
        <f>CG20+真實IC!CH20</f>
        <v>6.9283262396236855</v>
      </c>
      <c r="CI20" s="2">
        <f>CH20+真實IC!CI20</f>
        <v>6.9241487663175443</v>
      </c>
      <c r="CJ20" s="2">
        <f>CI20+真實IC!CJ20</f>
        <v>6.8725928211293841</v>
      </c>
      <c r="CK20" s="2">
        <f>CJ20+真實IC!CK20</f>
        <v>6.9859857544275163</v>
      </c>
      <c r="CL20" s="2">
        <f>CK20+真實IC!CL20</f>
        <v>7.3767389412273392</v>
      </c>
      <c r="CM20" s="2">
        <f>CL20+真實IC!CM20</f>
        <v>7.3850771991049369</v>
      </c>
      <c r="CN20" s="2">
        <f>CM20+真實IC!CN20</f>
        <v>7.4891571091646032</v>
      </c>
      <c r="CO20" s="2">
        <f>CN20+真實IC!CO20</f>
        <v>7.7069977746656742</v>
      </c>
      <c r="CP20" s="2">
        <f>CO20+真實IC!CP20</f>
        <v>7.8593670185889568</v>
      </c>
      <c r="CQ20" s="2">
        <f>CP20+真實IC!CQ20</f>
        <v>7.9045436627679742</v>
      </c>
      <c r="CR20" s="2">
        <f>CQ20+真實IC!CR20</f>
        <v>7.9496474004908535</v>
      </c>
      <c r="CS20" s="2">
        <f>CR20+真實IC!CS20</f>
        <v>7.9846881484043708</v>
      </c>
      <c r="CT20" s="2">
        <f>CS20+真實IC!CT20</f>
        <v>8.0425950617761508</v>
      </c>
      <c r="CU20" s="2">
        <f>CT20+真實IC!CU20</f>
        <v>8.2045392290467127</v>
      </c>
      <c r="CV20" s="2">
        <f>CU20+真實IC!CV20</f>
        <v>8.3562288365950064</v>
      </c>
      <c r="CW20" s="2">
        <f>CV20+真實IC!CW20</f>
        <v>8.409816028454868</v>
      </c>
      <c r="CX20" s="2">
        <f>CW20+真實IC!CX20</f>
        <v>8.5305106741072994</v>
      </c>
      <c r="CY20" s="2">
        <f>CX20+真實IC!CY20</f>
        <v>8.6206359672971509</v>
      </c>
      <c r="CZ20" s="2">
        <f>CY20+真實IC!CZ20</f>
        <v>8.8224358304435757</v>
      </c>
      <c r="DA20" s="2">
        <f>CZ20+真實IC!DA20</f>
        <v>8.8444778078086355</v>
      </c>
      <c r="DB20" s="2">
        <f>DA20+真實IC!DB20</f>
        <v>8.9214458775794192</v>
      </c>
      <c r="DC20" s="2">
        <f>DB20+真實IC!DC20</f>
        <v>8.8868847469191845</v>
      </c>
      <c r="DD20" s="2">
        <f>DC20+真實IC!DD20</f>
        <v>8.9214499090086878</v>
      </c>
      <c r="DE20" s="2">
        <f>DD20+真實IC!DE20</f>
        <v>8.988987413100201</v>
      </c>
      <c r="DF20" s="2">
        <f>DE20+真實IC!DF20</f>
        <v>9.218815226082004</v>
      </c>
      <c r="DG20" s="2">
        <f>DF20+真實IC!DG20</f>
        <v>9.2931867982639194</v>
      </c>
      <c r="DH20" s="2">
        <f>DG20+真實IC!DH20</f>
        <v>9.5975793720516567</v>
      </c>
      <c r="DI20" s="2">
        <f>DH20+真實IC!DI20</f>
        <v>9.721740095924881</v>
      </c>
      <c r="DJ20" s="2">
        <f>DI20+真實IC!DJ20</f>
        <v>9.8394597463954661</v>
      </c>
      <c r="DK20" s="2">
        <f>DJ20+真實IC!DK20</f>
        <v>9.9127695263292264</v>
      </c>
      <c r="DL20" s="2">
        <f>DK20+真實IC!DL20</f>
        <v>9.9182344759041765</v>
      </c>
      <c r="DM20" s="2">
        <f>DL20+真實IC!DM20</f>
        <v>9.9107078716291799</v>
      </c>
      <c r="DN20" s="2">
        <f>DM20+真實IC!DN20</f>
        <v>9.9557611963714816</v>
      </c>
      <c r="DO20" s="2">
        <f>DN20+真實IC!DO20</f>
        <v>9.9379060762770148</v>
      </c>
      <c r="DP20" s="2">
        <f>DO20+真實IC!DP20</f>
        <v>10.108004796252782</v>
      </c>
      <c r="DQ20" s="2">
        <f>DP20+真實IC!DQ20</f>
        <v>10.149622918443194</v>
      </c>
      <c r="DR20" s="2">
        <f>DQ20+真實IC!DR20</f>
        <v>10.208227481402334</v>
      </c>
      <c r="DS20" s="2">
        <f>DR20+真實IC!DS20</f>
        <v>10.17952884451647</v>
      </c>
      <c r="DT20" s="2">
        <f>DS20+真實IC!DT20</f>
        <v>10.247571231643835</v>
      </c>
      <c r="DU20" s="2">
        <f>DT20+真實IC!DU20</f>
        <v>10.363612829551117</v>
      </c>
      <c r="DV20" s="2">
        <f>DU20+真實IC!DV20</f>
        <v>10.565413315825491</v>
      </c>
      <c r="DW20" s="2">
        <f>DV20+真實IC!DW20</f>
        <v>10.640315077737636</v>
      </c>
      <c r="DX20" s="2">
        <f>DW20+真實IC!DX20</f>
        <v>10.708985639054955</v>
      </c>
      <c r="DY20" s="2">
        <f>DX20+真實IC!DY20</f>
        <v>11.041048710124217</v>
      </c>
      <c r="DZ20" s="2">
        <f>DY20+真實IC!DZ20</f>
        <v>11.070111022201898</v>
      </c>
      <c r="EA20" s="2">
        <f>DZ20+真實IC!EA20</f>
        <v>11.072171204877202</v>
      </c>
      <c r="EB20" s="2">
        <f>EA20+真實IC!EB20</f>
        <v>11.205764846067574</v>
      </c>
      <c r="EC20" s="2">
        <f>EB20+真實IC!EC20</f>
        <v>11.257325970334431</v>
      </c>
      <c r="ED20" s="2">
        <f>EC20+真實IC!ED20</f>
        <v>11.464332564538362</v>
      </c>
      <c r="EE20" s="2">
        <f>ED20+真實IC!EE20</f>
        <v>11.498640383262044</v>
      </c>
      <c r="EF20" s="2">
        <f>EE20+真實IC!EF20</f>
        <v>11.583099098650466</v>
      </c>
      <c r="EG20" s="2">
        <f>EF20+真實IC!EG20</f>
        <v>12.225965600024663</v>
      </c>
      <c r="EH20" s="2">
        <f>EG20+真實IC!EH20</f>
        <v>12.139803390324925</v>
      </c>
      <c r="EI20" s="2">
        <f>EH20+真實IC!EI20</f>
        <v>12.123480605463929</v>
      </c>
      <c r="EJ20" s="2">
        <f>EI20+真實IC!EJ20</f>
        <v>12.160870462116794</v>
      </c>
      <c r="EK20" s="2">
        <f>EJ20+真實IC!EK20</f>
        <v>12.210047083802104</v>
      </c>
      <c r="EL20" s="2">
        <f>EK20+真實IC!EL20</f>
        <v>12.193604499857097</v>
      </c>
    </row>
    <row r="21" spans="1:142" x14ac:dyDescent="0.3">
      <c r="A21" s="18"/>
      <c r="B21" s="18">
        <v>256</v>
      </c>
      <c r="C21" s="2">
        <v>0.2490064650579937</v>
      </c>
      <c r="D21" s="2">
        <f>C21+真實IC!D21</f>
        <v>0.43625478893186398</v>
      </c>
      <c r="E21" s="2">
        <f>D21+真實IC!E21</f>
        <v>0.50653706282631072</v>
      </c>
      <c r="F21" s="2">
        <f>E21+真實IC!F21</f>
        <v>0.57594633991726718</v>
      </c>
      <c r="G21" s="2">
        <f>F21+真實IC!G21</f>
        <v>0.63840194292503449</v>
      </c>
      <c r="H21" s="2">
        <f>G21+真實IC!H21</f>
        <v>0.72191114212814422</v>
      </c>
      <c r="I21" s="2">
        <f>H21+真實IC!I21</f>
        <v>0.93926541833315402</v>
      </c>
      <c r="J21" s="2">
        <f>I21+真實IC!J21</f>
        <v>1.22430082065456</v>
      </c>
      <c r="K21" s="2">
        <f>J21+真實IC!K21</f>
        <v>1.2886358013240644</v>
      </c>
      <c r="L21" s="2">
        <f>K21+真實IC!L21</f>
        <v>1.2469130616077322</v>
      </c>
      <c r="M21" s="2">
        <f>L21+真實IC!M21</f>
        <v>1.2175629435622799</v>
      </c>
      <c r="N21" s="2">
        <f>M21+真實IC!N21</f>
        <v>1.8024542081830051</v>
      </c>
      <c r="O21" s="2">
        <f>N21+真實IC!O21</f>
        <v>1.8613093482954428</v>
      </c>
      <c r="P21" s="2">
        <f>O21+真實IC!P21</f>
        <v>1.971704251788678</v>
      </c>
      <c r="Q21" s="2">
        <f>P21+真實IC!Q21</f>
        <v>1.9894482553932391</v>
      </c>
      <c r="R21" s="2">
        <f>Q21+真實IC!R21</f>
        <v>1.8938729442866089</v>
      </c>
      <c r="S21" s="2">
        <f>R21+真實IC!S21</f>
        <v>2.1485557467924892</v>
      </c>
      <c r="T21" s="2">
        <f>S21+真實IC!T21</f>
        <v>2.2642747044261937</v>
      </c>
      <c r="U21" s="2">
        <f>T21+真實IC!U21</f>
        <v>2.2484826925634849</v>
      </c>
      <c r="V21" s="2">
        <f>U21+真實IC!V21</f>
        <v>2.2675881291509214</v>
      </c>
      <c r="W21" s="2">
        <f>V21+真實IC!W21</f>
        <v>2.2356281141834105</v>
      </c>
      <c r="X21" s="2">
        <f>W21+真實IC!X21</f>
        <v>2.4294651293055538</v>
      </c>
      <c r="Y21" s="2">
        <f>X21+真實IC!Y21</f>
        <v>2.5234771251157295</v>
      </c>
      <c r="Z21" s="2">
        <f>Y21+真實IC!Z21</f>
        <v>2.6199345569785697</v>
      </c>
      <c r="AA21" s="2">
        <f>Z21+真實IC!AA21</f>
        <v>2.7120427385784933</v>
      </c>
      <c r="AB21" s="2">
        <f>AA21+真實IC!AB21</f>
        <v>2.8287527104949328</v>
      </c>
      <c r="AC21" s="2">
        <f>AB21+真實IC!AC21</f>
        <v>2.8948675700133024</v>
      </c>
      <c r="AD21" s="2">
        <f>AC21+真實IC!AD21</f>
        <v>2.9118470898073912</v>
      </c>
      <c r="AE21" s="2">
        <f>AD21+真實IC!AE21</f>
        <v>3.0622810234144233</v>
      </c>
      <c r="AF21" s="2">
        <f>AE21+真實IC!AF21</f>
        <v>3.3050425204745606</v>
      </c>
      <c r="AG21" s="2">
        <f>AF21+真實IC!AG21</f>
        <v>3.3493452982643546</v>
      </c>
      <c r="AH21" s="2">
        <f>AG21+真實IC!AH21</f>
        <v>3.2417639356995562</v>
      </c>
      <c r="AI21" s="2">
        <f>AH21+真實IC!AI21</f>
        <v>3.2190450215743796</v>
      </c>
      <c r="AJ21" s="2">
        <f>AI21+真實IC!AJ21</f>
        <v>3.148639679627911</v>
      </c>
      <c r="AK21" s="2">
        <f>AJ21+真實IC!AK21</f>
        <v>3.1179962458904797</v>
      </c>
      <c r="AL21" s="2">
        <f>AK21+真實IC!AL21</f>
        <v>3.2289583920519198</v>
      </c>
      <c r="AM21" s="2">
        <f>AL21+真實IC!AM21</f>
        <v>3.2802603311678218</v>
      </c>
      <c r="AN21" s="2">
        <f>AM21+真實IC!AN21</f>
        <v>3.3866914691376238</v>
      </c>
      <c r="AO21" s="2">
        <f>AN21+真實IC!AO21</f>
        <v>3.5670519569977066</v>
      </c>
      <c r="AP21" s="2">
        <f>AO21+真實IC!AP21</f>
        <v>3.6718601298993025</v>
      </c>
      <c r="AQ21" s="2">
        <f>AP21+真實IC!AQ21</f>
        <v>3.6252825637930055</v>
      </c>
      <c r="AR21" s="2">
        <f>AQ21+真實IC!AR21</f>
        <v>3.7130641610057808</v>
      </c>
      <c r="AS21" s="2">
        <f>AR21+真實IC!AS21</f>
        <v>3.5956468403471868</v>
      </c>
      <c r="AT21" s="2">
        <f>AS21+真實IC!AT21</f>
        <v>3.8068309100773403</v>
      </c>
      <c r="AU21" s="2">
        <f>AT21+真實IC!AU21</f>
        <v>4.0032278093142546</v>
      </c>
      <c r="AV21" s="2">
        <f>AU21+真實IC!AV21</f>
        <v>4.0171180714516259</v>
      </c>
      <c r="AW21" s="2">
        <f>AV21+真實IC!AW21</f>
        <v>4.2998913231143492</v>
      </c>
      <c r="AX21" s="2">
        <f>AW21+真實IC!AX21</f>
        <v>4.457202687532912</v>
      </c>
      <c r="AY21" s="2">
        <f>AX21+真實IC!AY21</f>
        <v>4.5961808132530857</v>
      </c>
      <c r="AZ21" s="2">
        <f>AY21+真實IC!AZ21</f>
        <v>4.6576492900028486</v>
      </c>
      <c r="BA21" s="2">
        <f>AZ21+真實IC!BA21</f>
        <v>4.8239577585497653</v>
      </c>
      <c r="BB21" s="2">
        <f>BA21+真實IC!BB21</f>
        <v>5.2372695858407976</v>
      </c>
      <c r="BC21" s="2">
        <f>BB21+真實IC!BC21</f>
        <v>5.2971657866351958</v>
      </c>
      <c r="BD21" s="2">
        <f>BC21+真實IC!BD21</f>
        <v>5.3049369502486918</v>
      </c>
      <c r="BE21" s="2">
        <f>BD21+真實IC!BE21</f>
        <v>5.4416823061566566</v>
      </c>
      <c r="BF21" s="2">
        <f>BE21+真實IC!BF21</f>
        <v>5.64079952258726</v>
      </c>
      <c r="BG21" s="2">
        <f>BF21+真實IC!BG21</f>
        <v>5.5471604137785739</v>
      </c>
      <c r="BH21" s="2">
        <f>BG21+真實IC!BH21</f>
        <v>5.7219396087887748</v>
      </c>
      <c r="BI21" s="2">
        <f>BH21+真實IC!BI21</f>
        <v>5.7809947221862661</v>
      </c>
      <c r="BJ21" s="2">
        <f>BI21+真實IC!BJ21</f>
        <v>5.8025171973805163</v>
      </c>
      <c r="BK21" s="2">
        <f>BJ21+真實IC!BK21</f>
        <v>5.7297940826318019</v>
      </c>
      <c r="BL21" s="2">
        <f>BK21+真實IC!BL21</f>
        <v>5.8243023652140424</v>
      </c>
      <c r="BM21" s="2">
        <f>BL21+真實IC!BM21</f>
        <v>5.8650976512427633</v>
      </c>
      <c r="BN21" s="2">
        <f>BM21+真實IC!BN21</f>
        <v>5.826000472967233</v>
      </c>
      <c r="BO21" s="2">
        <f>BN21+真實IC!BO21</f>
        <v>5.7193834324253494</v>
      </c>
      <c r="BP21" s="2">
        <f>BO21+真實IC!BP21</f>
        <v>5.7266391355408075</v>
      </c>
      <c r="BQ21" s="2">
        <f>BP21+真實IC!BQ21</f>
        <v>5.7846494804727753</v>
      </c>
      <c r="BR21" s="2">
        <f>BQ21+真實IC!BR21</f>
        <v>5.9220127127896953</v>
      </c>
      <c r="BS21" s="2">
        <f>BR21+真實IC!BS21</f>
        <v>5.8922541200512013</v>
      </c>
      <c r="BT21" s="2">
        <f>BS21+真實IC!BT21</f>
        <v>5.8022506284184798</v>
      </c>
      <c r="BU21" s="2">
        <f>BT21+真實IC!BU21</f>
        <v>5.9297165827327944</v>
      </c>
      <c r="BV21" s="2">
        <f>BU21+真實IC!BV21</f>
        <v>5.8476176205308263</v>
      </c>
      <c r="BW21" s="2">
        <f>BV21+真實IC!BW21</f>
        <v>6.3902273480240206</v>
      </c>
      <c r="BX21" s="2">
        <f>BW21+真實IC!BX21</f>
        <v>6.3570676217523152</v>
      </c>
      <c r="BY21" s="2">
        <f>BX21+真實IC!BY21</f>
        <v>6.4339492354157164</v>
      </c>
      <c r="BZ21" s="2">
        <f>BY21+真實IC!BZ21</f>
        <v>6.5276908813681676</v>
      </c>
      <c r="CA21" s="2">
        <f>BZ21+真實IC!CA21</f>
        <v>6.5920290356838542</v>
      </c>
      <c r="CB21" s="2">
        <f>CA21+真實IC!CB21</f>
        <v>6.6287548182914717</v>
      </c>
      <c r="CC21" s="2">
        <f>CB21+真實IC!CC21</f>
        <v>6.8080735643218366</v>
      </c>
      <c r="CD21" s="2">
        <f>CC21+真實IC!CD21</f>
        <v>7.0521503896070064</v>
      </c>
      <c r="CE21" s="2">
        <f>CD21+真實IC!CE21</f>
        <v>7.0832803513981046</v>
      </c>
      <c r="CF21" s="2">
        <f>CE21+真實IC!CF21</f>
        <v>7.1374627967468554</v>
      </c>
      <c r="CG21" s="2">
        <f>CF21+真實IC!CG21</f>
        <v>7.2903355928188267</v>
      </c>
      <c r="CH21" s="2">
        <f>CG21+真實IC!CH21</f>
        <v>7.2906316708872678</v>
      </c>
      <c r="CI21" s="2">
        <f>CH21+真實IC!CI21</f>
        <v>7.287627867554999</v>
      </c>
      <c r="CJ21" s="2">
        <f>CI21+真實IC!CJ21</f>
        <v>7.2679660933893064</v>
      </c>
      <c r="CK21" s="2">
        <f>CJ21+真實IC!CK21</f>
        <v>7.5045974257451027</v>
      </c>
      <c r="CL21" s="2">
        <f>CK21+真實IC!CL21</f>
        <v>7.9713790474875639</v>
      </c>
      <c r="CM21" s="2">
        <f>CL21+真實IC!CM21</f>
        <v>7.9330862561216069</v>
      </c>
      <c r="CN21" s="2">
        <f>CM21+真實IC!CN21</f>
        <v>8.0969375724744115</v>
      </c>
      <c r="CO21" s="2">
        <f>CN21+真實IC!CO21</f>
        <v>8.3383316699199952</v>
      </c>
      <c r="CP21" s="2">
        <f>CO21+真實IC!CP21</f>
        <v>8.5214012961457293</v>
      </c>
      <c r="CQ21" s="2">
        <f>CP21+真實IC!CQ21</f>
        <v>8.5684737166215612</v>
      </c>
      <c r="CR21" s="2">
        <f>CQ21+真實IC!CR21</f>
        <v>8.6097936053874928</v>
      </c>
      <c r="CS21" s="2">
        <f>CR21+真實IC!CS21</f>
        <v>8.5779302222837845</v>
      </c>
      <c r="CT21" s="2">
        <f>CS21+真實IC!CT21</f>
        <v>8.6453370288558524</v>
      </c>
      <c r="CU21" s="2">
        <f>CT21+真實IC!CU21</f>
        <v>8.8232738489219713</v>
      </c>
      <c r="CV21" s="2">
        <f>CU21+真實IC!CV21</f>
        <v>9.0236704075402496</v>
      </c>
      <c r="CW21" s="2">
        <f>CV21+真實IC!CW21</f>
        <v>9.067511996852339</v>
      </c>
      <c r="CX21" s="2">
        <f>CW21+真實IC!CX21</f>
        <v>9.2076292909905799</v>
      </c>
      <c r="CY21" s="2">
        <f>CX21+真實IC!CY21</f>
        <v>9.3182795978048816</v>
      </c>
      <c r="CZ21" s="2">
        <f>CY21+真實IC!CZ21</f>
        <v>9.6137843807111452</v>
      </c>
      <c r="DA21" s="2">
        <f>CZ21+真實IC!DA21</f>
        <v>9.6321200325555889</v>
      </c>
      <c r="DB21" s="2">
        <f>DA21+真實IC!DB21</f>
        <v>9.7035812463295876</v>
      </c>
      <c r="DC21" s="2">
        <f>DB21+真實IC!DC21</f>
        <v>9.6511325963129906</v>
      </c>
      <c r="DD21" s="2">
        <f>DC21+真實IC!DD21</f>
        <v>9.6848037921108681</v>
      </c>
      <c r="DE21" s="2">
        <f>DD21+真實IC!DE21</f>
        <v>9.7169355695458961</v>
      </c>
      <c r="DF21" s="2">
        <f>DE21+真實IC!DF21</f>
        <v>10.00306643286884</v>
      </c>
      <c r="DG21" s="2">
        <f>DF21+真實IC!DG21</f>
        <v>10.053108557088652</v>
      </c>
      <c r="DH21" s="2">
        <f>DG21+真實IC!DH21</f>
        <v>10.411320226342861</v>
      </c>
      <c r="DI21" s="2">
        <f>DH21+真實IC!DI21</f>
        <v>10.563186795152319</v>
      </c>
      <c r="DJ21" s="2">
        <f>DI21+真實IC!DJ21</f>
        <v>10.682042874542871</v>
      </c>
      <c r="DK21" s="2">
        <f>DJ21+真實IC!DK21</f>
        <v>10.758889260033106</v>
      </c>
      <c r="DL21" s="2">
        <f>DK21+真實IC!DL21</f>
        <v>10.780809448621833</v>
      </c>
      <c r="DM21" s="2">
        <f>DL21+真實IC!DM21</f>
        <v>10.756608146094058</v>
      </c>
      <c r="DN21" s="2">
        <f>DM21+真實IC!DN21</f>
        <v>10.786036516728153</v>
      </c>
      <c r="DO21" s="2">
        <f>DN21+真實IC!DO21</f>
        <v>10.800102926883444</v>
      </c>
      <c r="DP21" s="2">
        <f>DO21+真實IC!DP21</f>
        <v>10.915002035961779</v>
      </c>
      <c r="DQ21" s="2">
        <f>DP21+真實IC!DQ21</f>
        <v>11.024210319439334</v>
      </c>
      <c r="DR21" s="2">
        <f>DQ21+真實IC!DR21</f>
        <v>11.04272574963969</v>
      </c>
      <c r="DS21" s="2">
        <f>DR21+真實IC!DS21</f>
        <v>11.031043306369192</v>
      </c>
      <c r="DT21" s="2">
        <f>DS21+真實IC!DT21</f>
        <v>11.023149373355345</v>
      </c>
      <c r="DU21" s="2">
        <f>DT21+真實IC!DU21</f>
        <v>11.110185535215106</v>
      </c>
      <c r="DV21" s="2">
        <f>DU21+真實IC!DV21</f>
        <v>11.374504385815269</v>
      </c>
      <c r="DW21" s="2">
        <f>DV21+真實IC!DW21</f>
        <v>11.483487704820625</v>
      </c>
      <c r="DX21" s="2">
        <f>DW21+真實IC!DX21</f>
        <v>11.562959208490565</v>
      </c>
      <c r="DY21" s="2">
        <f>DX21+真實IC!DY21</f>
        <v>11.899444571836611</v>
      </c>
      <c r="DZ21" s="2">
        <f>DY21+真實IC!DZ21</f>
        <v>11.914192745560474</v>
      </c>
      <c r="EA21" s="2">
        <f>DZ21+真實IC!EA21</f>
        <v>11.860568889109574</v>
      </c>
      <c r="EB21" s="2">
        <f>EA21+真實IC!EB21</f>
        <v>11.949641282014612</v>
      </c>
      <c r="EC21" s="2">
        <f>EB21+真實IC!EC21</f>
        <v>12.00418748905453</v>
      </c>
      <c r="ED21" s="2">
        <f>EC21+真實IC!ED21</f>
        <v>12.096296011823862</v>
      </c>
      <c r="EE21" s="2">
        <f>ED21+真實IC!EE21</f>
        <v>12.128203548719224</v>
      </c>
      <c r="EF21" s="2">
        <f>EE21+真實IC!EF21</f>
        <v>12.212620788660089</v>
      </c>
      <c r="EG21" s="2">
        <f>EF21+真實IC!EG21</f>
        <v>12.978119042939287</v>
      </c>
      <c r="EH21" s="2">
        <f>EG21+真實IC!EH21</f>
        <v>12.924329248684037</v>
      </c>
      <c r="EI21" s="2">
        <f>EH21+真實IC!EI21</f>
        <v>12.922057378624856</v>
      </c>
      <c r="EJ21" s="2">
        <f>EI21+真實IC!EJ21</f>
        <v>12.946419273762</v>
      </c>
      <c r="EK21" s="2">
        <f>EJ21+真實IC!EK21</f>
        <v>13.014915374224682</v>
      </c>
      <c r="EL21" s="2">
        <f>EK21+真實IC!EL21</f>
        <v>13.040921905977665</v>
      </c>
    </row>
    <row r="22" spans="1:142" x14ac:dyDescent="0.3">
      <c r="A22" s="18"/>
      <c r="B22" s="18">
        <v>400</v>
      </c>
      <c r="C22" s="2">
        <v>0.28886619116808843</v>
      </c>
      <c r="D22" s="2">
        <f>C22+真實IC!D22</f>
        <v>0.32543991357641755</v>
      </c>
      <c r="E22" s="2">
        <f>D22+真實IC!E22</f>
        <v>0.30808481465995857</v>
      </c>
      <c r="F22" s="2">
        <f>E22+真實IC!F22</f>
        <v>0.44795226496934559</v>
      </c>
      <c r="G22" s="2">
        <f>F22+真實IC!G22</f>
        <v>0.55183662825967972</v>
      </c>
      <c r="H22" s="2">
        <f>G22+真實IC!H22</f>
        <v>0.62034732180017893</v>
      </c>
      <c r="I22" s="2">
        <f>H22+真實IC!I22</f>
        <v>0.83730538190829784</v>
      </c>
      <c r="J22" s="2">
        <f>I22+真實IC!J22</f>
        <v>1.2133988532510178</v>
      </c>
      <c r="K22" s="2">
        <f>J22+真實IC!K22</f>
        <v>1.2420556333674118</v>
      </c>
      <c r="L22" s="2">
        <f>K22+真實IC!L22</f>
        <v>1.2460093047754506</v>
      </c>
      <c r="M22" s="2">
        <f>L22+真實IC!M22</f>
        <v>1.229912918240194</v>
      </c>
      <c r="N22" s="2">
        <f>M22+真實IC!N22</f>
        <v>1.9860563613575328</v>
      </c>
      <c r="O22" s="2">
        <f>N22+真實IC!O22</f>
        <v>2.0702228099511895</v>
      </c>
      <c r="P22" s="2">
        <f>O22+真實IC!P22</f>
        <v>2.0971687642180736</v>
      </c>
      <c r="Q22" s="2">
        <f>P22+真實IC!Q22</f>
        <v>2.1318259052395123</v>
      </c>
      <c r="R22" s="2">
        <f>Q22+真實IC!R22</f>
        <v>2.0951974709679244</v>
      </c>
      <c r="S22" s="2">
        <f>R22+真實IC!S22</f>
        <v>2.1680382974829282</v>
      </c>
      <c r="T22" s="2">
        <f>S22+真實IC!T22</f>
        <v>2.3038954470505395</v>
      </c>
      <c r="U22" s="2">
        <f>T22+真實IC!U22</f>
        <v>2.2592119150408609</v>
      </c>
      <c r="V22" s="2">
        <f>U22+真實IC!V22</f>
        <v>2.3110090071870477</v>
      </c>
      <c r="W22" s="2">
        <f>V22+真實IC!W22</f>
        <v>2.278163828639737</v>
      </c>
      <c r="X22" s="2">
        <f>W22+真實IC!X22</f>
        <v>2.4360138803006062</v>
      </c>
      <c r="Y22" s="2">
        <f>X22+真實IC!Y22</f>
        <v>2.5855223269589898</v>
      </c>
      <c r="Z22" s="2">
        <f>Y22+真實IC!Z22</f>
        <v>2.6601238985479481</v>
      </c>
      <c r="AA22" s="2">
        <f>Z22+真實IC!AA22</f>
        <v>2.7126318703935075</v>
      </c>
      <c r="AB22" s="2">
        <f>AA22+真實IC!AB22</f>
        <v>2.8301334461550729</v>
      </c>
      <c r="AC22" s="2">
        <f>AB22+真實IC!AC22</f>
        <v>2.9235298255387936</v>
      </c>
      <c r="AD22" s="2">
        <f>AC22+真實IC!AD22</f>
        <v>2.9324689859881508</v>
      </c>
      <c r="AE22" s="2">
        <f>AD22+真實IC!AE22</f>
        <v>3.0657232376518522</v>
      </c>
      <c r="AF22" s="2">
        <f>AE22+真實IC!AF22</f>
        <v>3.3380954875732818</v>
      </c>
      <c r="AG22" s="2">
        <f>AF22+真實IC!AG22</f>
        <v>3.3909370277490156</v>
      </c>
      <c r="AH22" s="2">
        <f>AG22+真實IC!AH22</f>
        <v>3.2850710683285431</v>
      </c>
      <c r="AI22" s="2">
        <f>AH22+真實IC!AI22</f>
        <v>3.3055706763036414</v>
      </c>
      <c r="AJ22" s="2">
        <f>AI22+真實IC!AJ22</f>
        <v>3.273870826977233</v>
      </c>
      <c r="AK22" s="2">
        <f>AJ22+真實IC!AK22</f>
        <v>3.3751593877176287</v>
      </c>
      <c r="AL22" s="2">
        <f>AK22+真實IC!AL22</f>
        <v>3.4120001940043441</v>
      </c>
      <c r="AM22" s="2">
        <f>AL22+真實IC!AM22</f>
        <v>3.4960890974720478</v>
      </c>
      <c r="AN22" s="2">
        <f>AM22+真實IC!AN22</f>
        <v>3.6732963012063014</v>
      </c>
      <c r="AO22" s="2">
        <f>AN22+真實IC!AO22</f>
        <v>3.9093984548114791</v>
      </c>
      <c r="AP22" s="2">
        <f>AO22+真實IC!AP22</f>
        <v>4.093959044165306</v>
      </c>
      <c r="AQ22" s="2">
        <f>AP22+真實IC!AQ22</f>
        <v>3.9148966500823228</v>
      </c>
      <c r="AR22" s="2">
        <f>AQ22+真實IC!AR22</f>
        <v>3.9974433749683116</v>
      </c>
      <c r="AS22" s="2">
        <f>AR22+真實IC!AS22</f>
        <v>3.9752728928560308</v>
      </c>
      <c r="AT22" s="2">
        <f>AS22+真實IC!AT22</f>
        <v>4.0888772377155398</v>
      </c>
      <c r="AU22" s="2">
        <f>AT22+真實IC!AU22</f>
        <v>4.3687133835426657</v>
      </c>
      <c r="AV22" s="2">
        <f>AU22+真實IC!AV22</f>
        <v>4.4479166122134215</v>
      </c>
      <c r="AW22" s="2">
        <f>AV22+真實IC!AW22</f>
        <v>4.8648111809328967</v>
      </c>
      <c r="AX22" s="2">
        <f>AW22+真實IC!AX22</f>
        <v>4.8170733399614161</v>
      </c>
      <c r="AY22" s="2">
        <f>AX22+真實IC!AY22</f>
        <v>5.0114158382851608</v>
      </c>
      <c r="AZ22" s="2">
        <f>AY22+真實IC!AZ22</f>
        <v>5.0753722988363474</v>
      </c>
      <c r="BA22" s="2">
        <f>AZ22+真實IC!BA22</f>
        <v>5.2539612244466198</v>
      </c>
      <c r="BB22" s="2">
        <f>BA22+真實IC!BB22</f>
        <v>5.7441284978377816</v>
      </c>
      <c r="BC22" s="2">
        <f>BB22+真實IC!BC22</f>
        <v>5.6285867720250948</v>
      </c>
      <c r="BD22" s="2">
        <f>BC22+真實IC!BD22</f>
        <v>5.6672490054053082</v>
      </c>
      <c r="BE22" s="2">
        <f>BD22+真實IC!BE22</f>
        <v>5.7953168893709686</v>
      </c>
      <c r="BF22" s="2">
        <f>BE22+真實IC!BF22</f>
        <v>5.9944193379194068</v>
      </c>
      <c r="BG22" s="2">
        <f>BF22+真實IC!BG22</f>
        <v>5.8514489865455408</v>
      </c>
      <c r="BH22" s="2">
        <f>BG22+真實IC!BH22</f>
        <v>5.9791559959419569</v>
      </c>
      <c r="BI22" s="2">
        <f>BH22+真實IC!BI22</f>
        <v>5.9616152009093639</v>
      </c>
      <c r="BJ22" s="2">
        <f>BI22+真實IC!BJ22</f>
        <v>5.9431136010881715</v>
      </c>
      <c r="BK22" s="2">
        <f>BJ22+真實IC!BK22</f>
        <v>5.894798360036507</v>
      </c>
      <c r="BL22" s="2">
        <f>BK22+真實IC!BL22</f>
        <v>6.0124553093999342</v>
      </c>
      <c r="BM22" s="2">
        <f>BL22+真實IC!BM22</f>
        <v>6.0148857926454671</v>
      </c>
      <c r="BN22" s="2">
        <f>BM22+真實IC!BN22</f>
        <v>5.9690700881149992</v>
      </c>
      <c r="BO22" s="2">
        <f>BN22+真實IC!BO22</f>
        <v>5.8767923745148662</v>
      </c>
      <c r="BP22" s="2">
        <f>BO22+真實IC!BP22</f>
        <v>5.8791300647056861</v>
      </c>
      <c r="BQ22" s="2">
        <f>BP22+真實IC!BQ22</f>
        <v>5.9564820429774326</v>
      </c>
      <c r="BR22" s="2">
        <f>BQ22+真實IC!BR22</f>
        <v>6.1034387467981759</v>
      </c>
      <c r="BS22" s="2">
        <f>BR22+真實IC!BS22</f>
        <v>6.1475171697968607</v>
      </c>
      <c r="BT22" s="2">
        <f>BS22+真實IC!BT22</f>
        <v>6.0423162538858133</v>
      </c>
      <c r="BU22" s="2">
        <f>BT22+真實IC!BU22</f>
        <v>6.1949836589337863</v>
      </c>
      <c r="BV22" s="2">
        <f>BU22+真實IC!BV22</f>
        <v>6.1477171944218805</v>
      </c>
      <c r="BW22" s="2">
        <f>BV22+真實IC!BW22</f>
        <v>6.4582828577432219</v>
      </c>
      <c r="BX22" s="2">
        <f>BW22+真實IC!BX22</f>
        <v>6.4263714083594321</v>
      </c>
      <c r="BY22" s="2">
        <f>BX22+真實IC!BY22</f>
        <v>6.4766388458343513</v>
      </c>
      <c r="BZ22" s="2">
        <f>BY22+真實IC!BZ22</f>
        <v>6.5180098290473136</v>
      </c>
      <c r="CA22" s="2">
        <f>BZ22+真實IC!CA22</f>
        <v>6.5640256914407873</v>
      </c>
      <c r="CB22" s="2">
        <f>CA22+真實IC!CB22</f>
        <v>6.6078298655526906</v>
      </c>
      <c r="CC22" s="2">
        <f>CB22+真實IC!CC22</f>
        <v>6.8832746849761204</v>
      </c>
      <c r="CD22" s="2">
        <f>CC22+真實IC!CD22</f>
        <v>7.2389477816568215</v>
      </c>
      <c r="CE22" s="2">
        <f>CD22+真實IC!CE22</f>
        <v>7.2524512305892941</v>
      </c>
      <c r="CF22" s="2">
        <f>CE22+真實IC!CF22</f>
        <v>7.3549593339382557</v>
      </c>
      <c r="CG22" s="2">
        <f>CF22+真實IC!CG22</f>
        <v>7.6788824173840293</v>
      </c>
      <c r="CH22" s="2">
        <f>CG22+真實IC!CH22</f>
        <v>7.6524552548801994</v>
      </c>
      <c r="CI22" s="2">
        <f>CH22+真實IC!CI22</f>
        <v>7.6365948367966618</v>
      </c>
      <c r="CJ22" s="2">
        <f>CI22+真實IC!CJ22</f>
        <v>7.6260541174573602</v>
      </c>
      <c r="CK22" s="2">
        <f>CJ22+真實IC!CK22</f>
        <v>7.8024933256072053</v>
      </c>
      <c r="CL22" s="2">
        <f>CK22+真實IC!CL22</f>
        <v>8.2979072104402238</v>
      </c>
      <c r="CM22" s="2">
        <f>CL22+真實IC!CM22</f>
        <v>8.2505348428590626</v>
      </c>
      <c r="CN22" s="2">
        <f>CM22+真實IC!CN22</f>
        <v>8.4326919679691787</v>
      </c>
      <c r="CO22" s="2">
        <f>CN22+真實IC!CO22</f>
        <v>8.6042216635833828</v>
      </c>
      <c r="CP22" s="2">
        <f>CO22+真實IC!CP22</f>
        <v>8.810789641016548</v>
      </c>
      <c r="CQ22" s="2">
        <f>CP22+真實IC!CQ22</f>
        <v>8.902955549424842</v>
      </c>
      <c r="CR22" s="2">
        <f>CQ22+真實IC!CR22</f>
        <v>8.9476951497480801</v>
      </c>
      <c r="CS22" s="2">
        <f>CR22+真實IC!CS22</f>
        <v>8.8794590827566076</v>
      </c>
      <c r="CT22" s="2">
        <f>CS22+真實IC!CT22</f>
        <v>8.9745799518638876</v>
      </c>
      <c r="CU22" s="2">
        <f>CT22+真實IC!CU22</f>
        <v>9.1672941267151469</v>
      </c>
      <c r="CV22" s="2">
        <f>CU22+真實IC!CV22</f>
        <v>9.4035749395446668</v>
      </c>
      <c r="CW22" s="2">
        <f>CV22+真實IC!CW22</f>
        <v>9.3933483932482194</v>
      </c>
      <c r="CX22" s="2">
        <f>CW22+真實IC!CX22</f>
        <v>9.5201339199388268</v>
      </c>
      <c r="CY22" s="2">
        <f>CX22+真實IC!CY22</f>
        <v>9.6556233535932421</v>
      </c>
      <c r="CZ22" s="2">
        <f>CY22+真實IC!CZ22</f>
        <v>10.007774923562135</v>
      </c>
      <c r="DA22" s="2">
        <f>CZ22+真實IC!DA22</f>
        <v>10.030248021728376</v>
      </c>
      <c r="DB22" s="2">
        <f>DA22+真實IC!DB22</f>
        <v>10.084289643438899</v>
      </c>
      <c r="DC22" s="2">
        <f>DB22+真實IC!DC22</f>
        <v>10.060206183548894</v>
      </c>
      <c r="DD22" s="2">
        <f>DC22+真實IC!DD22</f>
        <v>10.198560837093368</v>
      </c>
      <c r="DE22" s="2">
        <f>DD22+真實IC!DE22</f>
        <v>10.180804333591436</v>
      </c>
      <c r="DF22" s="2">
        <f>DE22+真實IC!DF22</f>
        <v>10.57047196728556</v>
      </c>
      <c r="DG22" s="2">
        <f>DF22+真實IC!DG22</f>
        <v>10.645262999068265</v>
      </c>
      <c r="DH22" s="2">
        <f>DG22+真實IC!DH22</f>
        <v>10.771667349236077</v>
      </c>
      <c r="DI22" s="2">
        <f>DH22+真實IC!DI22</f>
        <v>10.996356815850348</v>
      </c>
      <c r="DJ22" s="2">
        <f>DI22+真實IC!DJ22</f>
        <v>11.099871455159663</v>
      </c>
      <c r="DK22" s="2">
        <f>DJ22+真實IC!DK22</f>
        <v>11.172567586330226</v>
      </c>
      <c r="DL22" s="2">
        <f>DK22+真實IC!DL22</f>
        <v>11.205676701422169</v>
      </c>
      <c r="DM22" s="2">
        <f>DL22+真實IC!DM22</f>
        <v>11.182532365652037</v>
      </c>
      <c r="DN22" s="2">
        <f>DM22+真實IC!DN22</f>
        <v>11.192649966294299</v>
      </c>
      <c r="DO22" s="2">
        <f>DN22+真實IC!DO22</f>
        <v>11.131189293009115</v>
      </c>
      <c r="DP22" s="2">
        <f>DO22+真實IC!DP22</f>
        <v>11.219741779446512</v>
      </c>
      <c r="DQ22" s="2">
        <f>DP22+真實IC!DQ22</f>
        <v>11.430802721208284</v>
      </c>
      <c r="DR22" s="2">
        <f>DQ22+真實IC!DR22</f>
        <v>11.373505688547336</v>
      </c>
      <c r="DS22" s="2">
        <f>DR22+真實IC!DS22</f>
        <v>11.333557171165113</v>
      </c>
      <c r="DT22" s="2">
        <f>DS22+真實IC!DT22</f>
        <v>11.372026308776414</v>
      </c>
      <c r="DU22" s="2">
        <f>DT22+真實IC!DU22</f>
        <v>11.474045316794172</v>
      </c>
      <c r="DV22" s="2">
        <f>DU22+真實IC!DV22</f>
        <v>11.765140932779397</v>
      </c>
      <c r="DW22" s="2">
        <f>DV22+真實IC!DW22</f>
        <v>11.683725519399474</v>
      </c>
      <c r="DX22" s="2">
        <f>DW22+真實IC!DX22</f>
        <v>11.766909759425726</v>
      </c>
      <c r="DY22" s="2">
        <f>DX22+真實IC!DY22</f>
        <v>12.010352593426987</v>
      </c>
      <c r="DZ22" s="2">
        <f>DY22+真實IC!DZ22</f>
        <v>12.008172871810867</v>
      </c>
      <c r="EA22" s="2">
        <f>DZ22+真實IC!EA22</f>
        <v>11.95394623167479</v>
      </c>
      <c r="EB22" s="2">
        <f>EA22+真實IC!EB22</f>
        <v>12.158321591890545</v>
      </c>
      <c r="EC22" s="2">
        <f>EB22+真實IC!EC22</f>
        <v>12.203375369788546</v>
      </c>
      <c r="ED22" s="2">
        <f>EC22+真實IC!ED22</f>
        <v>12.330935158741021</v>
      </c>
      <c r="EE22" s="2">
        <f>ED22+真實IC!EE22</f>
        <v>12.332605421543658</v>
      </c>
      <c r="EF22" s="2">
        <f>EE22+真實IC!EF22</f>
        <v>12.366960314919059</v>
      </c>
      <c r="EG22" s="2">
        <f>EF22+真實IC!EG22</f>
        <v>13.30704975348098</v>
      </c>
      <c r="EH22" s="2">
        <f>EG22+真實IC!EH22</f>
        <v>13.216853426160869</v>
      </c>
      <c r="EI22" s="2">
        <f>EH22+真實IC!EI22</f>
        <v>13.226690155907123</v>
      </c>
      <c r="EJ22" s="2">
        <f>EI22+真實IC!EJ22</f>
        <v>13.289424027600052</v>
      </c>
      <c r="EK22" s="2">
        <f>EJ22+真實IC!EK22</f>
        <v>13.397413123379652</v>
      </c>
      <c r="EL22" s="2">
        <f>EK22+真實IC!EL22</f>
        <v>13.445128069544047</v>
      </c>
    </row>
    <row r="23" spans="1:142" x14ac:dyDescent="0.3">
      <c r="A23" s="18"/>
      <c r="B23" s="18">
        <v>512</v>
      </c>
      <c r="C23" s="2">
        <v>0.28298926569632887</v>
      </c>
      <c r="D23" s="2">
        <f>C23+真實IC!D23</f>
        <v>0.30856200429344616</v>
      </c>
      <c r="E23" s="2">
        <f>D23+真實IC!E23</f>
        <v>0.44156719834961716</v>
      </c>
      <c r="F23" s="2">
        <f>E23+真實IC!F23</f>
        <v>0.44530743129152783</v>
      </c>
      <c r="G23" s="2">
        <f>F23+真實IC!G23</f>
        <v>0.41833586276715984</v>
      </c>
      <c r="H23" s="2">
        <f>G23+真實IC!H23</f>
        <v>0.40014739192567517</v>
      </c>
      <c r="I23" s="2">
        <f>H23+真實IC!I23</f>
        <v>0.54829942052596914</v>
      </c>
      <c r="J23" s="2">
        <f>I23+真實IC!J23</f>
        <v>0.66033477149672892</v>
      </c>
      <c r="K23" s="2">
        <f>J23+真實IC!K23</f>
        <v>0.60041688698866602</v>
      </c>
      <c r="L23" s="2">
        <f>K23+真實IC!L23</f>
        <v>0.54964605328348304</v>
      </c>
      <c r="M23" s="2">
        <f>L23+真實IC!M23</f>
        <v>0.4829207294145092</v>
      </c>
      <c r="N23" s="2">
        <f>M23+真實IC!N23</f>
        <v>1.4588221726857893</v>
      </c>
      <c r="O23" s="2">
        <f>N23+真實IC!O23</f>
        <v>1.4565200209335787</v>
      </c>
      <c r="P23" s="2">
        <f>O23+真實IC!P23</f>
        <v>1.4599089404608054</v>
      </c>
      <c r="Q23" s="2">
        <f>P23+真實IC!Q23</f>
        <v>1.5270000777987627</v>
      </c>
      <c r="R23" s="2">
        <f>Q23+真實IC!R23</f>
        <v>1.4707889344855076</v>
      </c>
      <c r="S23" s="2">
        <f>R23+真實IC!S23</f>
        <v>1.5548004176049812</v>
      </c>
      <c r="T23" s="2">
        <f>S23+真實IC!T23</f>
        <v>1.5944146067698088</v>
      </c>
      <c r="U23" s="2">
        <f>T23+真實IC!U23</f>
        <v>1.4004547435194492</v>
      </c>
      <c r="V23" s="2">
        <f>U23+真實IC!V23</f>
        <v>1.4551472060073394</v>
      </c>
      <c r="W23" s="2">
        <f>V23+真實IC!W23</f>
        <v>1.4592817178014033</v>
      </c>
      <c r="X23" s="2">
        <f>W23+真實IC!X23</f>
        <v>1.6410629035992261</v>
      </c>
      <c r="Y23" s="2">
        <f>X23+真實IC!Y23</f>
        <v>1.8752468676540834</v>
      </c>
      <c r="Z23" s="2">
        <f>Y23+真實IC!Z23</f>
        <v>2.0070378732330489</v>
      </c>
      <c r="AA23" s="2">
        <f>Z23+真實IC!AA23</f>
        <v>2.1371431174776099</v>
      </c>
      <c r="AB23" s="2">
        <f>AA23+真實IC!AB23</f>
        <v>2.2873846654449594</v>
      </c>
      <c r="AC23" s="2">
        <f>AB23+真實IC!AC23</f>
        <v>2.3846837606478974</v>
      </c>
      <c r="AD23" s="2">
        <f>AC23+真實IC!AD23</f>
        <v>2.4272547238354334</v>
      </c>
      <c r="AE23" s="2">
        <f>AD23+真實IC!AE23</f>
        <v>2.57969125940323</v>
      </c>
      <c r="AF23" s="2">
        <f>AE23+真實IC!AF23</f>
        <v>2.7714641538471749</v>
      </c>
      <c r="AG23" s="2">
        <f>AF23+真實IC!AG23</f>
        <v>2.8633378114935351</v>
      </c>
      <c r="AH23" s="2">
        <f>AG23+真實IC!AH23</f>
        <v>2.7791662269703519</v>
      </c>
      <c r="AI23" s="2">
        <f>AH23+真實IC!AI23</f>
        <v>2.809409971280763</v>
      </c>
      <c r="AJ23" s="2">
        <f>AI23+真實IC!AJ23</f>
        <v>2.8576055714708919</v>
      </c>
      <c r="AK23" s="2">
        <f>AJ23+真實IC!AK23</f>
        <v>2.9717166708180831</v>
      </c>
      <c r="AL23" s="2">
        <f>AK23+真實IC!AL23</f>
        <v>3.0224766818245139</v>
      </c>
      <c r="AM23" s="2">
        <f>AL23+真實IC!AM23</f>
        <v>3.0302461708293791</v>
      </c>
      <c r="AN23" s="2">
        <f>AM23+真實IC!AN23</f>
        <v>3.27256087018668</v>
      </c>
      <c r="AO23" s="2">
        <f>AN23+真實IC!AO23</f>
        <v>3.5189680349691672</v>
      </c>
      <c r="AP23" s="2">
        <f>AO23+真實IC!AP23</f>
        <v>3.6118858014865212</v>
      </c>
      <c r="AQ23" s="2">
        <f>AP23+真實IC!AQ23</f>
        <v>3.4246930243476341</v>
      </c>
      <c r="AR23" s="2">
        <f>AQ23+真實IC!AR23</f>
        <v>3.5708291886870014</v>
      </c>
      <c r="AS23" s="2">
        <f>AR23+真實IC!AS23</f>
        <v>3.5080453450290765</v>
      </c>
      <c r="AT23" s="2">
        <f>AS23+真實IC!AT23</f>
        <v>3.6175512479939766</v>
      </c>
      <c r="AU23" s="2">
        <f>AT23+真實IC!AU23</f>
        <v>3.9362287784256678</v>
      </c>
      <c r="AV23" s="2">
        <f>AU23+真實IC!AV23</f>
        <v>4.0867052897229366</v>
      </c>
      <c r="AW23" s="2">
        <f>AV23+真實IC!AW23</f>
        <v>4.1781762568954761</v>
      </c>
      <c r="AX23" s="2">
        <f>AW23+真實IC!AX23</f>
        <v>4.1633634778869357</v>
      </c>
      <c r="AY23" s="2">
        <f>AX23+真實IC!AY23</f>
        <v>4.3335974587275174</v>
      </c>
      <c r="AZ23" s="2">
        <f>AY23+真實IC!AZ23</f>
        <v>4.4116690352487247</v>
      </c>
      <c r="BA23" s="2">
        <f>AZ23+真實IC!BA23</f>
        <v>4.4656673738785821</v>
      </c>
      <c r="BB23" s="2">
        <f>BA23+真實IC!BB23</f>
        <v>4.9512465288388361</v>
      </c>
      <c r="BC23" s="2">
        <f>BB23+真實IC!BC23</f>
        <v>4.6504182796657707</v>
      </c>
      <c r="BD23" s="2">
        <f>BC23+真實IC!BD23</f>
        <v>4.7154950968314315</v>
      </c>
      <c r="BE23" s="2">
        <f>BD23+真實IC!BE23</f>
        <v>4.8397872398573307</v>
      </c>
      <c r="BF23" s="2">
        <f>BE23+真實IC!BF23</f>
        <v>5.0497963527177818</v>
      </c>
      <c r="BG23" s="2">
        <f>BF23+真實IC!BG23</f>
        <v>4.777413334714268</v>
      </c>
      <c r="BH23" s="2">
        <f>BG23+真實IC!BH23</f>
        <v>4.8407785304175066</v>
      </c>
      <c r="BI23" s="2">
        <f>BH23+真實IC!BI23</f>
        <v>4.9221954102890653</v>
      </c>
      <c r="BJ23" s="2">
        <f>BI23+真實IC!BJ23</f>
        <v>4.8760022592094625</v>
      </c>
      <c r="BK23" s="2">
        <f>BJ23+真實IC!BK23</f>
        <v>4.8281529359082747</v>
      </c>
      <c r="BL23" s="2">
        <f>BK23+真實IC!BL23</f>
        <v>4.942519226049944</v>
      </c>
      <c r="BM23" s="2">
        <f>BL23+真實IC!BM23</f>
        <v>4.8730237640254934</v>
      </c>
      <c r="BN23" s="2">
        <f>BM23+真實IC!BN23</f>
        <v>4.7183465956695816</v>
      </c>
      <c r="BO23" s="2">
        <f>BN23+真實IC!BO23</f>
        <v>4.5255401647066362</v>
      </c>
      <c r="BP23" s="2">
        <f>BO23+真實IC!BP23</f>
        <v>4.5156771266824238</v>
      </c>
      <c r="BQ23" s="2">
        <f>BP23+真實IC!BQ23</f>
        <v>4.6199365873661469</v>
      </c>
      <c r="BR23" s="2">
        <f>BQ23+真實IC!BR23</f>
        <v>4.7523519187233552</v>
      </c>
      <c r="BS23" s="2">
        <f>BR23+真實IC!BS23</f>
        <v>4.7518608181409858</v>
      </c>
      <c r="BT23" s="2">
        <f>BS23+真實IC!BT23</f>
        <v>4.8599379040818693</v>
      </c>
      <c r="BU23" s="2">
        <f>BT23+真實IC!BU23</f>
        <v>5.0915707742586083</v>
      </c>
      <c r="BV23" s="2">
        <f>BU23+真實IC!BV23</f>
        <v>5.0383017237007195</v>
      </c>
      <c r="BW23" s="2">
        <f>BV23+真實IC!BW23</f>
        <v>5.3569869110975077</v>
      </c>
      <c r="BX23" s="2">
        <f>BW23+真實IC!BX23</f>
        <v>5.2738259849058204</v>
      </c>
      <c r="BY23" s="2">
        <f>BX23+真實IC!BY23</f>
        <v>5.3578170055228185</v>
      </c>
      <c r="BZ23" s="2">
        <f>BY23+真實IC!BZ23</f>
        <v>5.285486507284789</v>
      </c>
      <c r="CA23" s="2">
        <f>BZ23+真實IC!CA23</f>
        <v>5.4013344807396573</v>
      </c>
      <c r="CB23" s="2">
        <f>CA23+真實IC!CB23</f>
        <v>5.4574488102787297</v>
      </c>
      <c r="CC23" s="2">
        <f>CB23+真實IC!CC23</f>
        <v>5.900631679476132</v>
      </c>
      <c r="CD23" s="2">
        <f>CC23+真實IC!CD23</f>
        <v>6.3588462508413226</v>
      </c>
      <c r="CE23" s="2">
        <f>CD23+真實IC!CE23</f>
        <v>6.3439123121418826</v>
      </c>
      <c r="CF23" s="2">
        <f>CE23+真實IC!CF23</f>
        <v>6.5115266934522085</v>
      </c>
      <c r="CG23" s="2">
        <f>CF23+真實IC!CG23</f>
        <v>6.9048034412443169</v>
      </c>
      <c r="CH23" s="2">
        <f>CG23+真實IC!CH23</f>
        <v>6.8317573433139422</v>
      </c>
      <c r="CI23" s="2">
        <f>CH23+真實IC!CI23</f>
        <v>6.8374358355487805</v>
      </c>
      <c r="CJ23" s="2">
        <f>CI23+真實IC!CJ23</f>
        <v>6.8352390509044909</v>
      </c>
      <c r="CK23" s="2">
        <f>CJ23+真實IC!CK23</f>
        <v>7.1500433421123004</v>
      </c>
      <c r="CL23" s="2">
        <f>CK23+真實IC!CL23</f>
        <v>7.4905747754474739</v>
      </c>
      <c r="CM23" s="2">
        <f>CL23+真實IC!CM23</f>
        <v>7.5104942772445948</v>
      </c>
      <c r="CN23" s="2">
        <f>CM23+真實IC!CN23</f>
        <v>7.8068171266660684</v>
      </c>
      <c r="CO23" s="2">
        <f>CN23+真實IC!CO23</f>
        <v>7.9736493784163311</v>
      </c>
      <c r="CP23" s="2">
        <f>CO23+真實IC!CP23</f>
        <v>8.2057492522747317</v>
      </c>
      <c r="CQ23" s="2">
        <f>CP23+真實IC!CQ23</f>
        <v>8.3170813071238676</v>
      </c>
      <c r="CR23" s="2">
        <f>CQ23+真實IC!CR23</f>
        <v>8.3187102048686672</v>
      </c>
      <c r="CS23" s="2">
        <f>CR23+真實IC!CS23</f>
        <v>8.323994271086951</v>
      </c>
      <c r="CT23" s="2">
        <f>CS23+真實IC!CT23</f>
        <v>8.4278792299651748</v>
      </c>
      <c r="CU23" s="2">
        <f>CT23+真實IC!CU23</f>
        <v>8.6680235104496681</v>
      </c>
      <c r="CV23" s="2">
        <f>CU23+真實IC!CV23</f>
        <v>8.9778020152785967</v>
      </c>
      <c r="CW23" s="2">
        <f>CV23+真實IC!CW23</f>
        <v>8.9587484861789246</v>
      </c>
      <c r="CX23" s="2">
        <f>CW23+真實IC!CX23</f>
        <v>8.9158961047743404</v>
      </c>
      <c r="CY23" s="2">
        <f>CX23+真實IC!CY23</f>
        <v>9.0880345127578028</v>
      </c>
      <c r="CZ23" s="2">
        <f>CY23+真實IC!CZ23</f>
        <v>9.5357398529583399</v>
      </c>
      <c r="DA23" s="2">
        <f>CZ23+真實IC!DA23</f>
        <v>9.5607583639524965</v>
      </c>
      <c r="DB23" s="2">
        <f>DA23+真實IC!DB23</f>
        <v>9.5795054303957166</v>
      </c>
      <c r="DC23" s="2">
        <f>DB23+真實IC!DC23</f>
        <v>9.6936579032973622</v>
      </c>
      <c r="DD23" s="2">
        <f>DC23+真實IC!DD23</f>
        <v>9.7864565779745156</v>
      </c>
      <c r="DE23" s="2">
        <f>DD23+真實IC!DE23</f>
        <v>9.7263706304643449</v>
      </c>
      <c r="DF23" s="2">
        <f>DE23+真實IC!DF23</f>
        <v>10.135165551025265</v>
      </c>
      <c r="DG23" s="2">
        <f>DF23+真實IC!DG23</f>
        <v>10.164791051945159</v>
      </c>
      <c r="DH23" s="2">
        <f>DG23+真實IC!DH23</f>
        <v>10.304017945457266</v>
      </c>
      <c r="DI23" s="2">
        <f>DH23+真實IC!DI23</f>
        <v>10.39694225437421</v>
      </c>
      <c r="DJ23" s="2">
        <f>DI23+真實IC!DJ23</f>
        <v>10.454224253855768</v>
      </c>
      <c r="DK23" s="2">
        <f>DJ23+真實IC!DK23</f>
        <v>10.517370831763172</v>
      </c>
      <c r="DL23" s="2">
        <f>DK23+真實IC!DL23</f>
        <v>10.571472108904171</v>
      </c>
      <c r="DM23" s="2">
        <f>DL23+真實IC!DM23</f>
        <v>10.538105353194327</v>
      </c>
      <c r="DN23" s="2">
        <f>DM23+真實IC!DN23</f>
        <v>10.71403116636478</v>
      </c>
      <c r="DO23" s="2">
        <f>DN23+真實IC!DO23</f>
        <v>10.664953839449185</v>
      </c>
      <c r="DP23" s="2">
        <f>DO23+真實IC!DP23</f>
        <v>10.839266847747332</v>
      </c>
      <c r="DQ23" s="2">
        <f>DP23+真實IC!DQ23</f>
        <v>11.122309583487819</v>
      </c>
      <c r="DR23" s="2">
        <f>DQ23+真實IC!DR23</f>
        <v>11.061813426399086</v>
      </c>
      <c r="DS23" s="2">
        <f>DR23+真實IC!DS23</f>
        <v>10.945237434732146</v>
      </c>
      <c r="DT23" s="2">
        <f>DS23+真實IC!DT23</f>
        <v>11.029100312112922</v>
      </c>
      <c r="DU23" s="2">
        <f>DT23+真實IC!DU23</f>
        <v>11.084739790821205</v>
      </c>
      <c r="DV23" s="2">
        <f>DU23+真實IC!DV23</f>
        <v>11.609097146611216</v>
      </c>
      <c r="DW23" s="2">
        <f>DV23+真實IC!DW23</f>
        <v>11.632148967366279</v>
      </c>
      <c r="DX23" s="2">
        <f>DW23+真實IC!DX23</f>
        <v>11.736754621112182</v>
      </c>
      <c r="DY23" s="2">
        <f>DX23+真實IC!DY23</f>
        <v>12.096385606178369</v>
      </c>
      <c r="DZ23" s="2">
        <f>DY23+真實IC!DZ23</f>
        <v>12.15694098125091</v>
      </c>
      <c r="EA23" s="2">
        <f>DZ23+真實IC!EA23</f>
        <v>12.059982659886504</v>
      </c>
      <c r="EB23" s="2">
        <f>EA23+真實IC!EB23</f>
        <v>12.391518038468265</v>
      </c>
      <c r="EC23" s="2">
        <f>EB23+真實IC!EC23</f>
        <v>12.408363975232836</v>
      </c>
      <c r="ED23" s="2">
        <f>EC23+真實IC!ED23</f>
        <v>12.524636342588478</v>
      </c>
      <c r="EE23" s="2">
        <f>ED23+真實IC!EE23</f>
        <v>12.55226727525144</v>
      </c>
      <c r="EF23" s="2">
        <f>EE23+真實IC!EF23</f>
        <v>12.64232226953056</v>
      </c>
      <c r="EG23" s="2">
        <f>EF23+真實IC!EG23</f>
        <v>13.929273288781628</v>
      </c>
      <c r="EH23" s="2">
        <f>EG23+真實IC!EH23</f>
        <v>13.747322338119798</v>
      </c>
      <c r="EI23" s="2">
        <f>EH23+真實IC!EI23</f>
        <v>13.761425187385848</v>
      </c>
      <c r="EJ23" s="2">
        <f>EI23+真實IC!EJ23</f>
        <v>13.69197403614098</v>
      </c>
      <c r="EK23" s="2">
        <f>EJ23+真實IC!EK23</f>
        <v>13.815936744499007</v>
      </c>
      <c r="EL23" s="2">
        <f>EK23+真實IC!EL23</f>
        <v>13.853804221336475</v>
      </c>
    </row>
    <row r="24" spans="1:142" x14ac:dyDescent="0.3">
      <c r="A24" s="18"/>
      <c r="B24" s="18">
        <v>1051</v>
      </c>
      <c r="C24" s="2">
        <v>9.9113364206882743E-2</v>
      </c>
      <c r="D24" s="2">
        <f>C24+真實IC!D24</f>
        <v>0.19972327710611135</v>
      </c>
      <c r="E24" s="2">
        <f>D24+真實IC!E24</f>
        <v>0.48423577479661328</v>
      </c>
      <c r="F24" s="2">
        <f>E24+真實IC!F24</f>
        <v>0.40890928096490659</v>
      </c>
      <c r="G24" s="2">
        <f>F24+真實IC!G24</f>
        <v>0.38628689240228892</v>
      </c>
      <c r="H24" s="2">
        <f>G24+真實IC!H24</f>
        <v>0.42214268905724556</v>
      </c>
      <c r="I24" s="2">
        <f>H24+真實IC!I24</f>
        <v>0.42003075585410204</v>
      </c>
      <c r="J24" s="2">
        <f>I24+真實IC!J24</f>
        <v>0.36572859977715422</v>
      </c>
      <c r="K24" s="2">
        <f>J24+真實IC!K24</f>
        <v>0.41946159644538822</v>
      </c>
      <c r="L24" s="2">
        <f>K24+真實IC!L24</f>
        <v>0.32566190318863786</v>
      </c>
      <c r="M24" s="2">
        <f>L24+真實IC!M24</f>
        <v>0.17884256428912937</v>
      </c>
      <c r="N24" s="2">
        <f>M24+真實IC!N24</f>
        <v>1.9478739334016983</v>
      </c>
      <c r="O24" s="2">
        <f>N24+真實IC!O24</f>
        <v>1.984522724141242</v>
      </c>
      <c r="P24" s="2">
        <f>O24+真實IC!P24</f>
        <v>2.0887711385502414</v>
      </c>
      <c r="Q24" s="2">
        <f>P24+真實IC!Q24</f>
        <v>2.1789160873489042</v>
      </c>
      <c r="R24" s="2">
        <f>Q24+真實IC!R24</f>
        <v>1.9332187165696444</v>
      </c>
      <c r="S24" s="2">
        <f>R24+真實IC!S24</f>
        <v>2.0340275118572917</v>
      </c>
      <c r="T24" s="2">
        <f>S24+真實IC!T24</f>
        <v>1.9560891153594184</v>
      </c>
      <c r="U24" s="2">
        <f>T24+真實IC!U24</f>
        <v>1.6702328253780176</v>
      </c>
      <c r="V24" s="2">
        <f>U24+真實IC!V24</f>
        <v>1.5104065331486298</v>
      </c>
      <c r="W24" s="2">
        <f>V24+真實IC!W24</f>
        <v>1.3458420155617496</v>
      </c>
      <c r="X24" s="2">
        <f>W24+真實IC!X24</f>
        <v>1.3096841192004978</v>
      </c>
      <c r="Y24" s="2">
        <f>X24+真實IC!Y24</f>
        <v>1.3002071042740806</v>
      </c>
      <c r="Z24" s="2">
        <f>Y24+真實IC!Z24</f>
        <v>1.4116032872356847</v>
      </c>
      <c r="AA24" s="2">
        <f>Z24+真實IC!AA24</f>
        <v>1.6966234546333816</v>
      </c>
      <c r="AB24" s="2">
        <f>AA24+真實IC!AB24</f>
        <v>1.8919630773086253</v>
      </c>
      <c r="AC24" s="2">
        <f>AB24+真實IC!AC24</f>
        <v>1.8915353891425597</v>
      </c>
      <c r="AD24" s="2">
        <f>AC24+真實IC!AD24</f>
        <v>1.9927106883992827</v>
      </c>
      <c r="AE24" s="2">
        <f>AD24+真實IC!AE24</f>
        <v>2.1044419698231183</v>
      </c>
      <c r="AF24" s="2">
        <f>AE24+真實IC!AF24</f>
        <v>2.1792758948217892</v>
      </c>
      <c r="AG24" s="2">
        <f>AF24+真實IC!AG24</f>
        <v>2.312410145365388</v>
      </c>
      <c r="AH24" s="2">
        <f>AG24+真實IC!AH24</f>
        <v>2.2557127852975984</v>
      </c>
      <c r="AI24" s="2">
        <f>AH24+真實IC!AI24</f>
        <v>2.4702500069384055</v>
      </c>
      <c r="AJ24" s="2">
        <f>AI24+真實IC!AJ24</f>
        <v>2.3893587629390303</v>
      </c>
      <c r="AK24" s="2">
        <f>AJ24+真實IC!AK24</f>
        <v>2.4742427160072227</v>
      </c>
      <c r="AL24" s="2">
        <f>AK24+真實IC!AL24</f>
        <v>2.5614164174838576</v>
      </c>
      <c r="AM24" s="2">
        <f>AL24+真實IC!AM24</f>
        <v>2.5424971360633308</v>
      </c>
      <c r="AN24" s="2">
        <f>AM24+真實IC!AN24</f>
        <v>2.7636866012087622</v>
      </c>
      <c r="AO24" s="2">
        <f>AN24+真實IC!AO24</f>
        <v>2.8665923037865517</v>
      </c>
      <c r="AP24" s="2">
        <f>AO24+真實IC!AP24</f>
        <v>2.8894440192756483</v>
      </c>
      <c r="AQ24" s="2">
        <f>AP24+真實IC!AQ24</f>
        <v>2.5914406349166805</v>
      </c>
      <c r="AR24" s="2">
        <f>AQ24+真實IC!AR24</f>
        <v>2.762274041087506</v>
      </c>
      <c r="AS24" s="2">
        <f>AR24+真實IC!AS24</f>
        <v>2.7027599135550981</v>
      </c>
      <c r="AT24" s="2">
        <f>AS24+真實IC!AT24</f>
        <v>2.853528893480779</v>
      </c>
      <c r="AU24" s="2">
        <f>AT24+真實IC!AU24</f>
        <v>3.3305830807231813</v>
      </c>
      <c r="AV24" s="2">
        <f>AU24+真實IC!AV24</f>
        <v>3.5782677409535086</v>
      </c>
      <c r="AW24" s="2">
        <f>AV24+真實IC!AW24</f>
        <v>3.7048988806382734</v>
      </c>
      <c r="AX24" s="2">
        <f>AW24+真實IC!AX24</f>
        <v>3.8163902175544888</v>
      </c>
      <c r="AY24" s="2">
        <f>AX24+真實IC!AY24</f>
        <v>3.9845175114393783</v>
      </c>
      <c r="AZ24" s="2">
        <f>AY24+真實IC!AZ24</f>
        <v>4.1031412365105551</v>
      </c>
      <c r="BA24" s="2">
        <f>AZ24+真實IC!BA24</f>
        <v>4.1536325419225673</v>
      </c>
      <c r="BB24" s="2">
        <f>BA24+真實IC!BB24</f>
        <v>5.0263356910290575</v>
      </c>
      <c r="BC24" s="2">
        <f>BB24+真實IC!BC24</f>
        <v>4.2231196779846805</v>
      </c>
      <c r="BD24" s="2">
        <f>BC24+真實IC!BD24</f>
        <v>4.2417507120715445</v>
      </c>
      <c r="BE24" s="2">
        <f>BD24+真實IC!BE24</f>
        <v>4.1843701740864647</v>
      </c>
      <c r="BF24" s="2">
        <f>BE24+真實IC!BF24</f>
        <v>4.1199997531370016</v>
      </c>
      <c r="BG24" s="2">
        <f>BF24+真實IC!BG24</f>
        <v>4.0290155254295659</v>
      </c>
      <c r="BH24" s="2">
        <f>BG24+真實IC!BH24</f>
        <v>4.1766890906812852</v>
      </c>
      <c r="BI24" s="2">
        <f>BH24+真實IC!BI24</f>
        <v>4.3169030194399296</v>
      </c>
      <c r="BJ24" s="2">
        <f>BI24+真實IC!BJ24</f>
        <v>4.2095739992094314</v>
      </c>
      <c r="BK24" s="2">
        <f>BJ24+真實IC!BK24</f>
        <v>4.1747463520366574</v>
      </c>
      <c r="BL24" s="2">
        <f>BK24+真實IC!BL24</f>
        <v>4.2808532721878239</v>
      </c>
      <c r="BM24" s="2">
        <f>BL24+真實IC!BM24</f>
        <v>4.3656362120268124</v>
      </c>
      <c r="BN24" s="2">
        <f>BM24+真實IC!BN24</f>
        <v>4.4745494723433596</v>
      </c>
      <c r="BO24" s="2">
        <f>BN24+真實IC!BO24</f>
        <v>4.3134397812477179</v>
      </c>
      <c r="BP24" s="2">
        <f>BO24+真實IC!BP24</f>
        <v>4.345233885577608</v>
      </c>
      <c r="BQ24" s="2">
        <f>BP24+真實IC!BQ24</f>
        <v>4.2810642522474929</v>
      </c>
      <c r="BR24" s="2">
        <f>BQ24+真實IC!BR24</f>
        <v>4.3799851414327344</v>
      </c>
      <c r="BS24" s="2">
        <f>BR24+真實IC!BS24</f>
        <v>4.2396650274706431</v>
      </c>
      <c r="BT24" s="2">
        <f>BS24+真實IC!BT24</f>
        <v>4.5163840436108513</v>
      </c>
      <c r="BU24" s="2">
        <f>BT24+真實IC!BU24</f>
        <v>4.5251325359256969</v>
      </c>
      <c r="BV24" s="2">
        <f>BU24+真實IC!BV24</f>
        <v>4.4788738301850337</v>
      </c>
      <c r="BW24" s="2">
        <f>BV24+真實IC!BW24</f>
        <v>4.6358662828725032</v>
      </c>
      <c r="BX24" s="2">
        <f>BW24+真實IC!BX24</f>
        <v>4.4036400169839744</v>
      </c>
      <c r="BY24" s="2">
        <f>BX24+真實IC!BY24</f>
        <v>4.6939768919293909</v>
      </c>
      <c r="BZ24" s="2">
        <f>BY24+真實IC!BZ24</f>
        <v>4.4913961048675652</v>
      </c>
      <c r="CA24" s="2">
        <f>BZ24+真實IC!CA24</f>
        <v>4.6001491936145538</v>
      </c>
      <c r="CB24" s="2">
        <f>CA24+真實IC!CB24</f>
        <v>4.653066500666724</v>
      </c>
      <c r="CC24" s="2">
        <f>CB24+真實IC!CC24</f>
        <v>4.4332353074654973</v>
      </c>
      <c r="CD24" s="2">
        <f>CC24+真實IC!CD24</f>
        <v>4.6722819067528727</v>
      </c>
      <c r="CE24" s="2">
        <f>CD24+真實IC!CE24</f>
        <v>4.6172771794505199</v>
      </c>
      <c r="CF24" s="2">
        <f>CE24+真實IC!CF24</f>
        <v>4.734092574083113</v>
      </c>
      <c r="CG24" s="2">
        <f>CF24+真實IC!CG24</f>
        <v>5.374677207955731</v>
      </c>
      <c r="CH24" s="2">
        <f>CG24+真實IC!CH24</f>
        <v>5.2734022801764207</v>
      </c>
      <c r="CI24" s="2">
        <f>CH24+真實IC!CI24</f>
        <v>5.394579869517754</v>
      </c>
      <c r="CJ24" s="2">
        <f>CI24+真實IC!CJ24</f>
        <v>4.9571490727502283</v>
      </c>
      <c r="CK24" s="2">
        <f>CJ24+真實IC!CK24</f>
        <v>4.9483616967532251</v>
      </c>
      <c r="CL24" s="2">
        <f>CK24+真實IC!CL24</f>
        <v>5.6045630074529651</v>
      </c>
      <c r="CM24" s="2">
        <f>CL24+真實IC!CM24</f>
        <v>5.6072824629127469</v>
      </c>
      <c r="CN24" s="2">
        <f>CM24+真實IC!CN24</f>
        <v>6.2148421368899136</v>
      </c>
      <c r="CO24" s="2">
        <f>CN24+真實IC!CO24</f>
        <v>6.3021965670561499</v>
      </c>
      <c r="CP24" s="2">
        <f>CO24+真實IC!CP24</f>
        <v>6.4314905996760734</v>
      </c>
      <c r="CQ24" s="2">
        <f>CP24+真實IC!CQ24</f>
        <v>6.562417797876301</v>
      </c>
      <c r="CR24" s="2">
        <f>CQ24+真實IC!CR24</f>
        <v>6.5845440776702819</v>
      </c>
      <c r="CS24" s="2">
        <f>CR24+真實IC!CS24</f>
        <v>6.7438924369505377</v>
      </c>
      <c r="CT24" s="2">
        <f>CS24+真實IC!CT24</f>
        <v>7.1268386315753789</v>
      </c>
      <c r="CU24" s="2">
        <f>CT24+真實IC!CU24</f>
        <v>7.1795676763890341</v>
      </c>
      <c r="CV24" s="2">
        <f>CU24+真實IC!CV24</f>
        <v>7.4415925150731406</v>
      </c>
      <c r="CW24" s="2">
        <f>CV24+真實IC!CW24</f>
        <v>7.1458694535927485</v>
      </c>
      <c r="CX24" s="2">
        <f>CW24+真實IC!CX24</f>
        <v>7.2928058726853191</v>
      </c>
      <c r="CY24" s="2">
        <f>CX24+真實IC!CY24</f>
        <v>7.6530339194540566</v>
      </c>
      <c r="CZ24" s="2">
        <f>CY24+真實IC!CZ24</f>
        <v>7.9993471336112476</v>
      </c>
      <c r="DA24" s="2">
        <f>CZ24+真實IC!DA24</f>
        <v>8.0333267187037016</v>
      </c>
      <c r="DB24" s="2">
        <f>DA24+真實IC!DB24</f>
        <v>8.0168248528547057</v>
      </c>
      <c r="DC24" s="2">
        <f>DB24+真實IC!DC24</f>
        <v>8.2112784511459243</v>
      </c>
      <c r="DD24" s="2">
        <f>DC24+真實IC!DD24</f>
        <v>8.0154337289634832</v>
      </c>
      <c r="DE24" s="2">
        <f>DD24+真實IC!DE24</f>
        <v>8.147019320259016</v>
      </c>
      <c r="DF24" s="2">
        <f>DE24+真實IC!DF24</f>
        <v>8.6726043264035138</v>
      </c>
      <c r="DG24" s="2">
        <f>DF24+真實IC!DG24</f>
        <v>8.7921496128036463</v>
      </c>
      <c r="DH24" s="2">
        <f>DG24+真實IC!DH24</f>
        <v>9.0579522887961588</v>
      </c>
      <c r="DI24" s="2">
        <f>DH24+真實IC!DI24</f>
        <v>9.1999670306015418</v>
      </c>
      <c r="DJ24" s="2">
        <f>DI24+真實IC!DJ24</f>
        <v>9.2210485017593928</v>
      </c>
      <c r="DK24" s="2">
        <f>DJ24+真實IC!DK24</f>
        <v>9.2845318613007368</v>
      </c>
      <c r="DL24" s="2">
        <f>DK24+真實IC!DL24</f>
        <v>9.3323009473126142</v>
      </c>
      <c r="DM24" s="2">
        <f>DL24+真實IC!DM24</f>
        <v>9.3581086226263412</v>
      </c>
      <c r="DN24" s="2">
        <f>DM24+真實IC!DN24</f>
        <v>9.4950690772634196</v>
      </c>
      <c r="DO24" s="2">
        <f>DN24+真實IC!DO24</f>
        <v>9.4541747878060782</v>
      </c>
      <c r="DP24" s="2">
        <f>DO24+真實IC!DP24</f>
        <v>9.7898066662261201</v>
      </c>
      <c r="DQ24" s="2">
        <f>DP24+真實IC!DQ24</f>
        <v>10.136817767999611</v>
      </c>
      <c r="DR24" s="2">
        <f>DQ24+真實IC!DR24</f>
        <v>10.090180457191281</v>
      </c>
      <c r="DS24" s="2">
        <f>DR24+真實IC!DS24</f>
        <v>10.022817911477336</v>
      </c>
      <c r="DT24" s="2">
        <f>DS24+真實IC!DT24</f>
        <v>10.028481942045119</v>
      </c>
      <c r="DU24" s="2">
        <f>DT24+真實IC!DU24</f>
        <v>10.006700546683888</v>
      </c>
      <c r="DV24" s="2">
        <f>DU24+真實IC!DV24</f>
        <v>10.661096740248844</v>
      </c>
      <c r="DW24" s="2">
        <f>DV24+真實IC!DW24</f>
        <v>10.762279236904089</v>
      </c>
      <c r="DX24" s="2">
        <f>DW24+真實IC!DX24</f>
        <v>10.656097259430467</v>
      </c>
      <c r="DY24" s="2">
        <f>DX24+真實IC!DY24</f>
        <v>10.999901546228676</v>
      </c>
      <c r="DZ24" s="2">
        <f>DY24+真實IC!DZ24</f>
        <v>11.050370728631792</v>
      </c>
      <c r="EA24" s="2">
        <f>DZ24+真實IC!EA24</f>
        <v>11.023141107290739</v>
      </c>
      <c r="EB24" s="2">
        <f>EA24+真實IC!EB24</f>
        <v>11.708342781510028</v>
      </c>
      <c r="EC24" s="2">
        <f>EB24+真實IC!EC24</f>
        <v>11.722026956404031</v>
      </c>
      <c r="ED24" s="2">
        <f>EC24+真實IC!ED24</f>
        <v>11.836776057906633</v>
      </c>
      <c r="EE24" s="2">
        <f>ED24+真實IC!EE24</f>
        <v>11.944256715141051</v>
      </c>
      <c r="EF24" s="2">
        <f>EE24+真實IC!EF24</f>
        <v>12.078343791491266</v>
      </c>
      <c r="EG24" s="2">
        <f>EF24+真實IC!EG24</f>
        <v>14.393705071859952</v>
      </c>
      <c r="EH24" s="2">
        <f>EG24+真實IC!EH24</f>
        <v>14.009474754915802</v>
      </c>
      <c r="EI24" s="2">
        <f>EH24+真實IC!EI24</f>
        <v>14.121219035937235</v>
      </c>
      <c r="EJ24" s="2">
        <f>EI24+真實IC!EJ24</f>
        <v>14.035277300055938</v>
      </c>
      <c r="EK24" s="2">
        <f>EJ24+真實IC!EK24</f>
        <v>14.175189906609299</v>
      </c>
      <c r="EL24" s="2">
        <f>EK24+真實IC!EL24</f>
        <v>14.240266936013407</v>
      </c>
    </row>
    <row r="25" spans="1:142" x14ac:dyDescent="0.3">
      <c r="A25" s="18"/>
      <c r="B25" s="18" t="s">
        <v>154</v>
      </c>
      <c r="C25" s="8">
        <v>-1.7446770539390338E-2</v>
      </c>
      <c r="D25" s="9">
        <f>C25+真實IC!D25</f>
        <v>3.2542899924252917E-3</v>
      </c>
      <c r="E25" s="9">
        <f>D25+真實IC!E25</f>
        <v>2.7236419247192001E-2</v>
      </c>
      <c r="F25" s="9">
        <f>E25+真實IC!F25</f>
        <v>2.0678840274368924E-2</v>
      </c>
      <c r="G25" s="9">
        <f>F25+真實IC!G25</f>
        <v>5.2523970074888612E-2</v>
      </c>
      <c r="H25" s="9">
        <f>G25+真實IC!H25</f>
        <v>8.6872502811879138E-2</v>
      </c>
      <c r="I25" s="9">
        <f>H25+真實IC!I25</f>
        <v>7.8617570030553904E-2</v>
      </c>
      <c r="J25" s="9">
        <f>I25+真實IC!J25</f>
        <v>9.1461094424606662E-2</v>
      </c>
      <c r="K25" s="9">
        <f>J25+真實IC!K25</f>
        <v>4.0442569797815839E-2</v>
      </c>
      <c r="L25" s="9">
        <f>K25+真實IC!L25</f>
        <v>4.1316512538852428E-2</v>
      </c>
      <c r="M25" s="9">
        <f>L25+真實IC!M25</f>
        <v>6.4706088044348353E-2</v>
      </c>
      <c r="N25" s="9">
        <f>M25+真實IC!N25</f>
        <v>7.7695060244681202E-2</v>
      </c>
      <c r="O25" s="9">
        <f>N25+真實IC!O25</f>
        <v>8.3549648970316082E-2</v>
      </c>
      <c r="P25" s="9">
        <f>O25+真實IC!P25</f>
        <v>0.11096285554210664</v>
      </c>
      <c r="Q25" s="9">
        <f>P25+真實IC!Q25</f>
        <v>0.10724991942441378</v>
      </c>
      <c r="R25" s="9">
        <f>Q25+真實IC!R25</f>
        <v>0.13132653347223711</v>
      </c>
      <c r="S25" s="9">
        <f>R25+真實IC!S25</f>
        <v>0.11913650817319715</v>
      </c>
      <c r="T25" s="9">
        <f>S25+真實IC!T25</f>
        <v>7.9386930013607554E-2</v>
      </c>
      <c r="U25" s="9">
        <f>T25+真實IC!U25</f>
        <v>6.2314801819580018E-3</v>
      </c>
      <c r="V25" s="9">
        <f>U25+真實IC!V25</f>
        <v>-5.2028749728156659E-2</v>
      </c>
      <c r="W25" s="9">
        <f>V25+真實IC!W25</f>
        <v>-5.1255952162648284E-2</v>
      </c>
      <c r="X25" s="9">
        <f>W25+真實IC!X25</f>
        <v>-6.6644310274293142E-3</v>
      </c>
      <c r="Y25" s="9">
        <f>X25+真實IC!Y25</f>
        <v>-3.4364111077642409E-2</v>
      </c>
      <c r="Z25" s="9">
        <f>Y25+真實IC!Z25</f>
        <v>-3.226910512789876E-2</v>
      </c>
      <c r="AA25" s="9">
        <f>Z25+真實IC!AA25</f>
        <v>-5.5669656120462874E-2</v>
      </c>
      <c r="AB25" s="9">
        <f>AA25+真實IC!AB25</f>
        <v>-2.3540285023140685E-2</v>
      </c>
      <c r="AC25" s="9">
        <f>AB25+真實IC!AC25</f>
        <v>1.5362988070925745E-2</v>
      </c>
      <c r="AD25" s="9">
        <f>AC25+真實IC!AD25</f>
        <v>-2.7502394100178525E-2</v>
      </c>
      <c r="AE25" s="9">
        <f>AD25+真實IC!AE25</f>
        <v>-8.8551995500263658E-3</v>
      </c>
      <c r="AF25" s="9">
        <f>AE25+真實IC!AF25</f>
        <v>6.3745687725025833E-3</v>
      </c>
      <c r="AG25" s="9">
        <f>AF25+真實IC!AG25</f>
        <v>4.2391172551395004E-2</v>
      </c>
      <c r="AH25" s="9">
        <f>AG25+真實IC!AH25</f>
        <v>5.174578393671117E-2</v>
      </c>
      <c r="AI25" s="9">
        <f>AH25+真實IC!AI25</f>
        <v>6.2494035273549312E-2</v>
      </c>
      <c r="AJ25" s="9">
        <f>AI25+真實IC!AJ25</f>
        <v>7.5851789326630281E-2</v>
      </c>
      <c r="AK25" s="9">
        <f>AJ25+真實IC!AK25</f>
        <v>7.0519041997534893E-2</v>
      </c>
      <c r="AL25" s="9">
        <f>AK25+真實IC!AL25</f>
        <v>7.1902177804796574E-2</v>
      </c>
      <c r="AM25" s="9">
        <f>AL25+真實IC!AM25</f>
        <v>9.2698106224871041E-2</v>
      </c>
      <c r="AN25" s="9">
        <f>AM25+真實IC!AN25</f>
        <v>0.12421580844526167</v>
      </c>
      <c r="AO25" s="9">
        <f>AN25+真實IC!AO25</f>
        <v>0.13045752497859112</v>
      </c>
      <c r="AP25" s="9">
        <f>AO25+真實IC!AP25</f>
        <v>0.13660278663216249</v>
      </c>
      <c r="AQ25" s="9">
        <f>AP25+真實IC!AQ25</f>
        <v>0.15354914430885899</v>
      </c>
      <c r="AR25" s="9">
        <f>AQ25+真實IC!AR25</f>
        <v>0.18823197476316722</v>
      </c>
      <c r="AS25" s="9">
        <f>AR25+真實IC!AS25</f>
        <v>0.19133056338036419</v>
      </c>
      <c r="AT25" s="9">
        <f>AS25+真實IC!AT25</f>
        <v>0.2064119105238503</v>
      </c>
      <c r="AU25" s="9">
        <f>AT25+真實IC!AU25</f>
        <v>0.18716070129398632</v>
      </c>
      <c r="AV25" s="9">
        <f>AU25+真實IC!AV25</f>
        <v>0.22587221468161775</v>
      </c>
      <c r="AW25" s="9">
        <f>AV25+真實IC!AW25</f>
        <v>0.20401526354588115</v>
      </c>
      <c r="AX25" s="9">
        <f>AW25+真實IC!AX25</f>
        <v>0.21178956425567083</v>
      </c>
      <c r="AY25" s="9">
        <f>AX25+真實IC!AY25</f>
        <v>0.25418681095099677</v>
      </c>
      <c r="AZ25" s="9">
        <f>AY25+真實IC!AZ25</f>
        <v>0.22787783608983703</v>
      </c>
      <c r="BA25" s="9">
        <f>AZ25+真實IC!BA25</f>
        <v>0.23744958539855326</v>
      </c>
      <c r="BB25" s="9">
        <f>BA25+真實IC!BB25</f>
        <v>0.21319984413227844</v>
      </c>
      <c r="BC25" s="9">
        <f>BB25+真實IC!BC25</f>
        <v>0.23336321827619427</v>
      </c>
      <c r="BD25" s="9">
        <f>BC25+真實IC!BD25</f>
        <v>0.22985821949407825</v>
      </c>
      <c r="BE25" s="9">
        <f>BD25+真實IC!BE25</f>
        <v>0.25001015459262055</v>
      </c>
      <c r="BF25" s="9">
        <f>BE25+真實IC!BF25</f>
        <v>0.25059149082339083</v>
      </c>
      <c r="BG25" s="9">
        <f>BF25+真實IC!BG25</f>
        <v>0.24537178987013822</v>
      </c>
      <c r="BH25" s="9">
        <f>BG25+真實IC!BH25</f>
        <v>0.12950002846800823</v>
      </c>
      <c r="BI25" s="9">
        <f>BH25+真實IC!BI25</f>
        <v>0.13822525416044559</v>
      </c>
      <c r="BJ25" s="9">
        <f>BI25+真實IC!BJ25</f>
        <v>0.12184799318262345</v>
      </c>
      <c r="BK25" s="9">
        <f>BJ25+真實IC!BK25</f>
        <v>0.14268836478288388</v>
      </c>
      <c r="BL25" s="9">
        <f>BK25+真實IC!BL25</f>
        <v>0.18766423688499859</v>
      </c>
      <c r="BM25" s="9">
        <f>BL25+真實IC!BM25</f>
        <v>0.21161854296686244</v>
      </c>
      <c r="BN25" s="9">
        <f>BM25+真實IC!BN25</f>
        <v>0.24185764435830504</v>
      </c>
      <c r="BO25" s="9">
        <f>BN25+真實IC!BO25</f>
        <v>0.19813175676721753</v>
      </c>
      <c r="BP25" s="9">
        <f>BO25+真實IC!BP25</f>
        <v>0.22002122633541615</v>
      </c>
      <c r="BQ25" s="9">
        <f>BP25+真實IC!BQ25</f>
        <v>0.22864865659892455</v>
      </c>
      <c r="BR25" s="9">
        <f>BQ25+真實IC!BR25</f>
        <v>0.20945570260426577</v>
      </c>
      <c r="BS25" s="9">
        <f>BR25+真實IC!BS25</f>
        <v>0.22919083249239883</v>
      </c>
      <c r="BT25" s="9">
        <f>BS25+真實IC!BT25</f>
        <v>0.27688516997609824</v>
      </c>
      <c r="BU25" s="9">
        <f>BT25+真實IC!BU25</f>
        <v>0.28833998678268163</v>
      </c>
      <c r="BV25" s="9">
        <f>BU25+真實IC!BV25</f>
        <v>0.33156860751789485</v>
      </c>
      <c r="BW25" s="9">
        <f>BV25+真實IC!BW25</f>
        <v>0.28882117708097205</v>
      </c>
      <c r="BX25" s="9">
        <f>BW25+真實IC!BX25</f>
        <v>0.27100988465317749</v>
      </c>
      <c r="BY25" s="9">
        <f>BX25+真實IC!BY25</f>
        <v>0.11985678778410189</v>
      </c>
      <c r="BZ25" s="9">
        <f>BY25+真實IC!BZ25</f>
        <v>0.24408079140367717</v>
      </c>
      <c r="CA25" s="9">
        <f>BZ25+真實IC!CA25</f>
        <v>0.23952353755914751</v>
      </c>
      <c r="CB25" s="9">
        <f>CA25+真實IC!CB25</f>
        <v>0.29973477776405871</v>
      </c>
      <c r="CC25" s="9">
        <f>CB25+真實IC!CC25</f>
        <v>0.385726811246561</v>
      </c>
      <c r="CD25" s="9">
        <f>CC25+真實IC!CD25</f>
        <v>0.37991833166419492</v>
      </c>
      <c r="CE25" s="9">
        <f>CD25+真實IC!CE25</f>
        <v>0.37387698467522684</v>
      </c>
      <c r="CF25" s="9">
        <f>CE25+真實IC!CF25</f>
        <v>0.37632930904747891</v>
      </c>
      <c r="CG25" s="9">
        <f>CF25+真實IC!CG25</f>
        <v>0.46596556098450181</v>
      </c>
      <c r="CH25" s="9">
        <f>CG25+真實IC!CH25</f>
        <v>0.53695829351125968</v>
      </c>
      <c r="CI25" s="9">
        <f>CH25+真實IC!CI25</f>
        <v>0.56412893641304307</v>
      </c>
      <c r="CJ25" s="9">
        <f>CI25+真實IC!CJ25</f>
        <v>0.61659736483837313</v>
      </c>
      <c r="CK25" s="9">
        <f>CJ25+真實IC!CK25</f>
        <v>0.64607802578142259</v>
      </c>
      <c r="CL25" s="9">
        <f>CK25+真實IC!CL25</f>
        <v>0.71290310684162383</v>
      </c>
      <c r="CM25" s="9">
        <f>CL25+真實IC!CM25</f>
        <v>0.68413087782180682</v>
      </c>
      <c r="CN25" s="9">
        <f>CM25+真實IC!CN25</f>
        <v>0.72359339372344467</v>
      </c>
      <c r="CO25" s="9">
        <f>CN25+真實IC!CO25</f>
        <v>0.69456230674608477</v>
      </c>
      <c r="CP25" s="9">
        <f>CO25+真實IC!CP25</f>
        <v>0.70854618926555268</v>
      </c>
      <c r="CQ25" s="9">
        <f>CP25+真實IC!CQ25</f>
        <v>0.67626922430621883</v>
      </c>
      <c r="CR25" s="9">
        <f>CQ25+真實IC!CR25</f>
        <v>0.6793728009191129</v>
      </c>
      <c r="CS25" s="9">
        <f>CR25+真實IC!CS25</f>
        <v>0.70496465668619601</v>
      </c>
      <c r="CT25" s="9">
        <f>CS25+真實IC!CT25</f>
        <v>0.74935654297338927</v>
      </c>
      <c r="CU25" s="9">
        <f>CT25+真實IC!CU25</f>
        <v>0.71901758442381181</v>
      </c>
      <c r="CV25" s="9">
        <f>CU25+真實IC!CV25</f>
        <v>0.7177596079692401</v>
      </c>
      <c r="CW25" s="9">
        <f>CV25+真實IC!CW25</f>
        <v>0.72009596442509805</v>
      </c>
      <c r="CX25" s="9">
        <f>CW25+真實IC!CX25</f>
        <v>0.655831819499192</v>
      </c>
      <c r="CY25" s="9">
        <f>CX25+真實IC!CY25</f>
        <v>0.66874159895818441</v>
      </c>
      <c r="CZ25" s="9">
        <f>CY25+真實IC!CZ25</f>
        <v>0.54326450428732564</v>
      </c>
      <c r="DA25" s="9">
        <f>CZ25+真實IC!DA25</f>
        <v>0.55495518722711823</v>
      </c>
      <c r="DB25" s="9">
        <f>DA25+真實IC!DB25</f>
        <v>0.56129303092785998</v>
      </c>
      <c r="DC25" s="9">
        <f>DB25+真實IC!DC25</f>
        <v>0.44398767445847448</v>
      </c>
      <c r="DD25" s="9">
        <f>DC25+真實IC!DD25</f>
        <v>0.40797680240902789</v>
      </c>
      <c r="DE25" s="9">
        <f>DD25+真實IC!DE25</f>
        <v>0.54688810648129582</v>
      </c>
      <c r="DF25" s="9">
        <f>DE25+真實IC!DF25</f>
        <v>0.49574460025519007</v>
      </c>
      <c r="DG25" s="9">
        <f>DF25+真實IC!DG25</f>
        <v>0.57247604743715907</v>
      </c>
      <c r="DH25" s="9">
        <f>DG25+真實IC!DH25</f>
        <v>0.58798482963416721</v>
      </c>
      <c r="DI25" s="9">
        <f>DH25+真實IC!DI25</f>
        <v>0.61120860330892302</v>
      </c>
      <c r="DJ25" s="9">
        <f>DI25+真實IC!DJ25</f>
        <v>0.59283572694769515</v>
      </c>
      <c r="DK25" s="9">
        <f>DJ25+真實IC!DK25</f>
        <v>0.65503474103279458</v>
      </c>
      <c r="DL25" s="9">
        <f>DK25+真實IC!DL25</f>
        <v>0.67513304551975173</v>
      </c>
      <c r="DM25" s="9">
        <f>DL25+真實IC!DM25</f>
        <v>0.68863198526781977</v>
      </c>
      <c r="DN25" s="9">
        <f>DM25+真實IC!DN25</f>
        <v>0.65837977253939894</v>
      </c>
      <c r="DO25" s="9">
        <f>DN25+真實IC!DO25</f>
        <v>0.64135693683134509</v>
      </c>
      <c r="DP25" s="9">
        <f>DO25+真實IC!DP25</f>
        <v>0.61956841355888315</v>
      </c>
      <c r="DQ25" s="9">
        <f>DP25+真實IC!DQ25</f>
        <v>0.70531403814402038</v>
      </c>
      <c r="DR25" s="9">
        <f>DQ25+真實IC!DR25</f>
        <v>0.73342078174899417</v>
      </c>
      <c r="DS25" s="9">
        <f>DR25+真實IC!DS25</f>
        <v>0.73111762194163477</v>
      </c>
      <c r="DT25" s="9">
        <f>DS25+真實IC!DT25</f>
        <v>0.78958882007312226</v>
      </c>
      <c r="DU25" s="9">
        <f>DT25+真實IC!DU25</f>
        <v>0.85724776912176992</v>
      </c>
      <c r="DV25" s="9">
        <f>DU25+真實IC!DV25</f>
        <v>0.86226853976220219</v>
      </c>
      <c r="DW25" s="9">
        <f>DV25+真實IC!DW25</f>
        <v>0.89968472343740924</v>
      </c>
      <c r="DX25" s="9">
        <f>DW25+真實IC!DX25</f>
        <v>0.98379572718345132</v>
      </c>
      <c r="DY25" s="9">
        <f>DX25+真實IC!DY25</f>
        <v>0.94696332863943844</v>
      </c>
      <c r="DZ25" s="9">
        <f>DY25+真實IC!DZ25</f>
        <v>0.95005503145637549</v>
      </c>
      <c r="EA25" s="9">
        <f>DZ25+真實IC!EA25</f>
        <v>0.94809740324208092</v>
      </c>
      <c r="EB25" s="9">
        <f>EA25+真實IC!EB25</f>
        <v>0.97455650684560069</v>
      </c>
      <c r="EC25" s="9">
        <f>EB25+真實IC!EC25</f>
        <v>0.94980396808491041</v>
      </c>
      <c r="ED25" s="9">
        <f>EC25+真實IC!ED25</f>
        <v>0.98391945906747036</v>
      </c>
      <c r="EE25" s="9">
        <f>ED25+真實IC!EE25</f>
        <v>1.0049814330565034</v>
      </c>
      <c r="EF25" s="9">
        <f>EE25+真實IC!EF25</f>
        <v>0.98470404035049752</v>
      </c>
      <c r="EG25" s="9">
        <f>EF25+真實IC!EG25</f>
        <v>0.87683593248961955</v>
      </c>
      <c r="EH25" s="9">
        <f>EG25+真實IC!EH25</f>
        <v>0.85431558037554889</v>
      </c>
      <c r="EI25" s="9">
        <f>EH25+真實IC!EI25</f>
        <v>0.90782558744632169</v>
      </c>
      <c r="EJ25" s="9">
        <f>EI25+真實IC!EJ25</f>
        <v>0.94951285328388979</v>
      </c>
      <c r="EK25" s="9">
        <f>EJ25+真實IC!EK25</f>
        <v>1.005708467398301</v>
      </c>
      <c r="EL25" s="9">
        <f>EK25+真實IC!EL25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33"/>
  <sheetViews>
    <sheetView workbookViewId="0">
      <selection activeCell="C21" sqref="C21"/>
    </sheetView>
  </sheetViews>
  <sheetFormatPr defaultRowHeight="14.5" x14ac:dyDescent="0.3"/>
  <cols>
    <col min="1" max="1" width="25.3984375" bestFit="1" customWidth="1"/>
    <col min="2" max="2" width="12.796875" bestFit="1" customWidth="1"/>
    <col min="3" max="10" width="22.59765625" bestFit="1" customWidth="1"/>
    <col min="11" max="11" width="21.3984375" bestFit="1" customWidth="1"/>
    <col min="12" max="92" width="22.59765625" bestFit="1" customWidth="1"/>
    <col min="93" max="93" width="21.3984375" bestFit="1" customWidth="1"/>
    <col min="94" max="102" width="22.59765625" bestFit="1" customWidth="1"/>
    <col min="103" max="103" width="21.3984375" bestFit="1" customWidth="1"/>
    <col min="104" max="142" width="22.59765625" bestFit="1" customWidth="1"/>
  </cols>
  <sheetData>
    <row r="1" spans="1:142" ht="25" customHeight="1" x14ac:dyDescent="0.55000000000000004">
      <c r="A1" s="11" t="s">
        <v>284</v>
      </c>
    </row>
    <row r="2" spans="1:142" ht="25" customHeight="1" x14ac:dyDescent="0.55000000000000004">
      <c r="A2" s="11" t="s">
        <v>285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ht="25" customHeight="1" x14ac:dyDescent="0.55000000000000004">
      <c r="B3" s="11" t="s">
        <v>143</v>
      </c>
      <c r="C3" s="13">
        <v>3.4946434776605882E-2</v>
      </c>
      <c r="D3" s="13">
        <v>4.9621152558988732E-2</v>
      </c>
      <c r="E3" s="13">
        <v>3.5213354523381528E-2</v>
      </c>
      <c r="F3" s="13">
        <v>3.528654428743689E-2</v>
      </c>
      <c r="G3" s="13">
        <v>2.6716500308212938E-2</v>
      </c>
      <c r="H3" s="13">
        <v>2.0847254063407979E-2</v>
      </c>
      <c r="I3" s="13">
        <v>2.868829063081851E-2</v>
      </c>
      <c r="J3" s="13">
        <v>3.022480975870807E-2</v>
      </c>
      <c r="K3" s="13">
        <v>3.5784184494395042E-2</v>
      </c>
      <c r="L3" s="13">
        <v>2.8873175879389701E-2</v>
      </c>
      <c r="M3" s="13">
        <v>3.676593961113666E-2</v>
      </c>
      <c r="N3" s="13">
        <v>2.597668483152624E-2</v>
      </c>
      <c r="O3" s="13">
        <v>3.9591469971915073E-2</v>
      </c>
      <c r="P3" s="13">
        <v>4.2728306638823203E-2</v>
      </c>
      <c r="Q3" s="13">
        <v>3.2209373169499553E-2</v>
      </c>
      <c r="R3" s="13">
        <v>2.990118621840895E-2</v>
      </c>
      <c r="S3" s="13">
        <v>3.2084464027181132E-2</v>
      </c>
      <c r="T3" s="13">
        <v>3.0145955261974309E-2</v>
      </c>
      <c r="U3" s="13">
        <v>3.1800877141706048E-2</v>
      </c>
      <c r="V3" s="13">
        <v>2.8571187496222571E-2</v>
      </c>
      <c r="W3" s="13">
        <v>2.4833809428850561E-2</v>
      </c>
      <c r="X3" s="13">
        <v>4.422438631770411E-2</v>
      </c>
      <c r="Y3" s="13">
        <v>3.058229410448237E-2</v>
      </c>
      <c r="Z3" s="13">
        <v>3.3248159660972533E-2</v>
      </c>
      <c r="AA3" s="13">
        <v>2.947324788874087E-2</v>
      </c>
      <c r="AB3" s="13">
        <v>3.5559252182618593E-2</v>
      </c>
      <c r="AC3" s="13">
        <v>3.3742425377551163E-2</v>
      </c>
      <c r="AD3" s="13">
        <v>2.9434183518290032E-2</v>
      </c>
      <c r="AE3" s="13">
        <v>3.8312600203871998E-2</v>
      </c>
      <c r="AF3" s="13">
        <v>3.5319598277822807E-2</v>
      </c>
      <c r="AG3" s="13">
        <v>2.7095981515837211E-2</v>
      </c>
      <c r="AH3" s="13">
        <v>2.4588044029715119E-2</v>
      </c>
      <c r="AI3" s="13">
        <v>3.7997597137220201E-2</v>
      </c>
      <c r="AJ3" s="13">
        <v>3.3911508457047913E-2</v>
      </c>
      <c r="AK3" s="13">
        <v>4.3063908641014483E-2</v>
      </c>
      <c r="AL3" s="13">
        <v>3.5336105491399851E-2</v>
      </c>
      <c r="AM3" s="13">
        <v>4.095453549730925E-2</v>
      </c>
      <c r="AN3" s="13">
        <v>3.9629739230367438E-2</v>
      </c>
      <c r="AO3" s="13">
        <v>5.8136437096450902E-2</v>
      </c>
      <c r="AP3" s="13">
        <v>5.3476675537943032E-2</v>
      </c>
      <c r="AQ3" s="13">
        <v>5.6036139285653083E-2</v>
      </c>
      <c r="AR3" s="13">
        <v>4.6184000737761667E-2</v>
      </c>
      <c r="AS3" s="13">
        <v>3.5389481532984962E-2</v>
      </c>
      <c r="AT3" s="13">
        <v>3.3505358739742738E-2</v>
      </c>
      <c r="AU3" s="13">
        <v>2.858092995705622E-2</v>
      </c>
      <c r="AV3" s="13">
        <v>4.5607815952215837E-2</v>
      </c>
      <c r="AW3" s="13">
        <v>4.0858801947929083E-2</v>
      </c>
      <c r="AX3" s="13">
        <v>3.912196816540315E-2</v>
      </c>
      <c r="AY3" s="13">
        <v>2.8330448117809479E-2</v>
      </c>
      <c r="AZ3" s="13">
        <v>3.4740726744102057E-2</v>
      </c>
      <c r="BA3" s="13">
        <v>4.1380134912733423E-2</v>
      </c>
      <c r="BB3" s="13">
        <v>3.8446530073234023E-2</v>
      </c>
      <c r="BC3" s="13">
        <v>3.9139660680907393E-2</v>
      </c>
      <c r="BD3" s="13">
        <v>3.4412713960316949E-2</v>
      </c>
      <c r="BE3" s="13">
        <v>3.1627384875007797E-2</v>
      </c>
      <c r="BF3" s="13">
        <v>3.2881306555447937E-2</v>
      </c>
      <c r="BG3" s="13">
        <v>2.7856516368044079E-2</v>
      </c>
      <c r="BH3" s="13">
        <v>3.9039450639835438E-2</v>
      </c>
      <c r="BI3" s="13">
        <v>3.868573434139564E-2</v>
      </c>
      <c r="BJ3" s="13">
        <v>4.2598863286148932E-2</v>
      </c>
      <c r="BK3" s="13">
        <v>4.3638506422424159E-2</v>
      </c>
      <c r="BL3" s="13">
        <v>4.1807312058529042E-2</v>
      </c>
      <c r="BM3" s="13">
        <v>3.5722916378634957E-2</v>
      </c>
      <c r="BN3" s="13">
        <v>3.5190578568229797E-2</v>
      </c>
      <c r="BO3" s="13">
        <v>3.5416976035990012E-2</v>
      </c>
      <c r="BP3" s="13">
        <v>3.713200657521562E-2</v>
      </c>
      <c r="BQ3" s="13">
        <v>3.7614323710702537E-2</v>
      </c>
      <c r="BR3" s="13">
        <v>3.7508213116778308E-2</v>
      </c>
      <c r="BS3" s="13">
        <v>3.7699116157691358E-2</v>
      </c>
      <c r="BT3" s="13">
        <v>3.6770936163800741E-2</v>
      </c>
      <c r="BU3" s="13">
        <v>3.6910402351608369E-2</v>
      </c>
      <c r="BV3" s="13">
        <v>3.6401345985563889E-2</v>
      </c>
      <c r="BW3" s="13">
        <v>3.5968201888952243E-2</v>
      </c>
      <c r="BX3" s="13">
        <v>4.360917134424671E-2</v>
      </c>
      <c r="BY3" s="13">
        <v>3.7211686504550583E-2</v>
      </c>
      <c r="BZ3" s="13">
        <v>3.6826352112766268E-2</v>
      </c>
      <c r="CA3" s="13">
        <v>3.4591508592700923E-2</v>
      </c>
      <c r="CB3" s="13">
        <v>3.4339760626077138E-2</v>
      </c>
      <c r="CC3" s="13">
        <v>2.0533243096777822E-2</v>
      </c>
      <c r="CD3" s="13">
        <v>2.2943200679351659E-2</v>
      </c>
      <c r="CE3" s="13">
        <v>3.2308526928274857E-2</v>
      </c>
      <c r="CF3" s="13">
        <v>4.7329405862239361E-2</v>
      </c>
      <c r="CG3" s="13">
        <v>3.7836284478803363E-2</v>
      </c>
      <c r="CH3" s="13">
        <v>3.8694495063321753E-2</v>
      </c>
      <c r="CI3" s="13">
        <v>3.3617094541697881E-2</v>
      </c>
      <c r="CJ3" s="13">
        <v>4.2975321891997098E-2</v>
      </c>
      <c r="CK3" s="13">
        <v>4.0264755165575199E-2</v>
      </c>
      <c r="CL3" s="13">
        <v>4.4693934288686933E-2</v>
      </c>
      <c r="CM3" s="13">
        <v>4.4606561803651169E-2</v>
      </c>
      <c r="CN3" s="13">
        <v>6.8577606946104749E-2</v>
      </c>
      <c r="CO3" s="13">
        <v>4.9189277148068387E-2</v>
      </c>
      <c r="CP3" s="13">
        <v>6.5607649619662367E-2</v>
      </c>
      <c r="CQ3" s="13">
        <v>4.3819863603946338E-2</v>
      </c>
      <c r="CR3" s="13">
        <v>5.6851400922781473E-2</v>
      </c>
      <c r="CS3" s="13">
        <v>6.2364412289304838E-2</v>
      </c>
      <c r="CT3" s="13">
        <v>4.9348826700518093E-2</v>
      </c>
      <c r="CU3" s="13">
        <v>5.0002233445896063E-2</v>
      </c>
      <c r="CV3" s="13">
        <v>5.3783352114565232E-2</v>
      </c>
      <c r="CW3" s="13">
        <v>4.673096388557773E-2</v>
      </c>
      <c r="CX3" s="13">
        <v>4.52857567116665E-2</v>
      </c>
      <c r="CY3" s="13">
        <v>3.9604666977184122E-2</v>
      </c>
      <c r="CZ3" s="13">
        <v>4.4391419906749573E-2</v>
      </c>
      <c r="DA3" s="13">
        <v>3.9334184018522997E-2</v>
      </c>
      <c r="DB3" s="13">
        <v>3.9618679725897638E-2</v>
      </c>
      <c r="DC3" s="13">
        <v>4.3580066674140057E-2</v>
      </c>
      <c r="DD3" s="13">
        <v>4.1743760534084302E-2</v>
      </c>
      <c r="DE3" s="13">
        <v>3.7124504209684453E-2</v>
      </c>
      <c r="DF3" s="13">
        <v>3.7667258315214808E-2</v>
      </c>
      <c r="DG3" s="13">
        <v>4.0633271347886857E-2</v>
      </c>
      <c r="DH3" s="13">
        <v>3.8849205925320061E-2</v>
      </c>
      <c r="DI3" s="13">
        <v>3.7289411512649348E-2</v>
      </c>
      <c r="DJ3" s="13">
        <v>3.7848875034311981E-2</v>
      </c>
      <c r="DK3" s="13">
        <v>3.462124141038013E-2</v>
      </c>
      <c r="DL3" s="13">
        <v>3.5944383409832997E-2</v>
      </c>
      <c r="DM3" s="13">
        <v>3.4440509329873713E-2</v>
      </c>
      <c r="DN3" s="13">
        <v>5.080663627630181E-2</v>
      </c>
      <c r="DO3" s="13">
        <v>4.4401319518395037E-2</v>
      </c>
      <c r="DP3" s="13">
        <v>4.0598389653240877E-2</v>
      </c>
      <c r="DQ3" s="13">
        <v>4.0608081786117911E-2</v>
      </c>
      <c r="DR3" s="13">
        <v>4.1794941830527198E-2</v>
      </c>
      <c r="DS3" s="13">
        <v>4.9788977885194548E-2</v>
      </c>
      <c r="DT3" s="13">
        <v>4.4966810815319433E-2</v>
      </c>
      <c r="DU3" s="13">
        <v>3.9216383622322187E-2</v>
      </c>
      <c r="DV3" s="13">
        <v>3.9953462868225757E-2</v>
      </c>
      <c r="DW3" s="13">
        <v>4.7966753162565323E-2</v>
      </c>
      <c r="DX3" s="13">
        <v>4.7135568202097168E-2</v>
      </c>
      <c r="DY3" s="13">
        <v>5.0681252776800433E-2</v>
      </c>
      <c r="DZ3" s="13">
        <v>4.4969453786410638E-2</v>
      </c>
      <c r="EA3" s="13">
        <v>4.4790390035127817E-2</v>
      </c>
      <c r="EB3" s="13">
        <v>4.605973794008926E-2</v>
      </c>
      <c r="EC3" s="13">
        <v>6.9799748019209198E-2</v>
      </c>
      <c r="ED3" s="13">
        <v>4.8948038728249647E-2</v>
      </c>
      <c r="EE3" s="13">
        <v>4.4489528267164347E-2</v>
      </c>
      <c r="EF3" s="13">
        <v>3.4297029215600711E-2</v>
      </c>
      <c r="EG3" s="13">
        <v>3.9822103911537593E-2</v>
      </c>
      <c r="EH3" s="13">
        <v>3.0749140984917121E-2</v>
      </c>
      <c r="EI3" s="13">
        <v>2.9755278459214E-2</v>
      </c>
      <c r="EJ3" s="13">
        <v>3.4738700682679341E-2</v>
      </c>
      <c r="EK3" s="13">
        <v>2.7110665601743609E-2</v>
      </c>
      <c r="EL3" s="13">
        <v>2.7595207896287419E-2</v>
      </c>
    </row>
    <row r="4" spans="1:142" ht="25" customHeight="1" x14ac:dyDescent="0.55000000000000004">
      <c r="B4" s="11" t="s">
        <v>144</v>
      </c>
      <c r="C4" s="13">
        <v>-3.3355064222238093E-2</v>
      </c>
      <c r="D4" s="13">
        <v>-3.6488953372440118E-2</v>
      </c>
      <c r="E4" s="13">
        <v>-6.2951631416598125E-2</v>
      </c>
      <c r="F4" s="13">
        <v>-0.10275806713399049</v>
      </c>
      <c r="G4" s="13">
        <v>-7.9484529512434218E-2</v>
      </c>
      <c r="H4" s="13">
        <v>-7.4637566723446097E-2</v>
      </c>
      <c r="I4" s="13">
        <v>-6.0303175593075208E-2</v>
      </c>
      <c r="J4" s="13">
        <v>-6.1221976553650498E-2</v>
      </c>
      <c r="K4" s="13">
        <v>-6.3454479623673996E-2</v>
      </c>
      <c r="L4" s="13">
        <v>-4.9031802460202369E-2</v>
      </c>
      <c r="M4" s="13">
        <v>-5.5965545208011017E-2</v>
      </c>
      <c r="N4" s="13">
        <v>-3.7127413566765903E-2</v>
      </c>
      <c r="O4" s="13">
        <v>-4.4851103408314323E-2</v>
      </c>
      <c r="P4" s="13">
        <v>-6.06099750017862E-2</v>
      </c>
      <c r="Q4" s="13">
        <v>-6.142030670402978E-2</v>
      </c>
      <c r="R4" s="13">
        <v>-4.2457092293346488E-2</v>
      </c>
      <c r="S4" s="13">
        <v>-4.0181376857841532E-2</v>
      </c>
      <c r="T4" s="13">
        <v>-4.3184261416348402E-2</v>
      </c>
      <c r="U4" s="13">
        <v>-2.5671025875257259E-2</v>
      </c>
      <c r="V4" s="13">
        <v>-2.056117449423971E-2</v>
      </c>
      <c r="W4" s="13">
        <v>-1.7030228493617319E-2</v>
      </c>
      <c r="X4" s="13">
        <v>-1.9491489513123999E-2</v>
      </c>
      <c r="Y4" s="13">
        <v>-4.4162740951198293E-2</v>
      </c>
      <c r="Z4" s="13">
        <v>-4.3992704142522127E-2</v>
      </c>
      <c r="AA4" s="13">
        <v>-3.3240344419281441E-2</v>
      </c>
      <c r="AB4" s="13">
        <v>-2.8357855227329171E-2</v>
      </c>
      <c r="AC4" s="13">
        <v>-1.7753826277809508E-2</v>
      </c>
      <c r="AD4" s="13">
        <v>-1.9392872894991808E-2</v>
      </c>
      <c r="AE4" s="13">
        <v>-3.1862058027578813E-2</v>
      </c>
      <c r="AF4" s="13">
        <v>-3.3734295719027647E-2</v>
      </c>
      <c r="AG4" s="13">
        <v>-5.2378694538196572E-3</v>
      </c>
      <c r="AH4" s="13">
        <v>-1.8241859678385711E-2</v>
      </c>
      <c r="AI4" s="13">
        <v>-2.828195859844675E-2</v>
      </c>
      <c r="AJ4" s="13">
        <v>-2.6355034026264958E-2</v>
      </c>
      <c r="AK4" s="13">
        <v>-2.9560930131039269E-2</v>
      </c>
      <c r="AL4" s="13">
        <v>-3.0371173622282331E-2</v>
      </c>
      <c r="AM4" s="13">
        <v>-2.2596310124050351E-2</v>
      </c>
      <c r="AN4" s="13">
        <v>-3.0254612721411198E-2</v>
      </c>
      <c r="AO4" s="13">
        <v>-2.871524100076818E-2</v>
      </c>
      <c r="AP4" s="13">
        <v>-3.4923895599449153E-2</v>
      </c>
      <c r="AQ4" s="13">
        <v>-3.0630802592385771E-2</v>
      </c>
      <c r="AR4" s="13">
        <v>-2.9429888192270871E-2</v>
      </c>
      <c r="AS4" s="13">
        <v>-2.674265330078859E-2</v>
      </c>
      <c r="AT4" s="13">
        <v>-1.6825419341331849E-2</v>
      </c>
      <c r="AU4" s="13">
        <v>-2.028990455098131E-2</v>
      </c>
      <c r="AV4" s="13">
        <v>-1.5552740324632551E-2</v>
      </c>
      <c r="AW4" s="13">
        <v>-4.2145772018226967E-2</v>
      </c>
      <c r="AX4" s="13">
        <v>-3.2834496930954221E-2</v>
      </c>
      <c r="AY4" s="13">
        <v>-3.0620786675402481E-2</v>
      </c>
      <c r="AZ4" s="13">
        <v>-3.2526573120253401E-2</v>
      </c>
      <c r="BA4" s="13">
        <v>-3.9596641638497188E-2</v>
      </c>
      <c r="BB4" s="13">
        <v>-4.0551604006990392E-2</v>
      </c>
      <c r="BC4" s="13">
        <v>-4.2756597752440471E-2</v>
      </c>
      <c r="BD4" s="13">
        <v>-3.5755727515210577E-2</v>
      </c>
      <c r="BE4" s="13">
        <v>-2.4508874482950669E-2</v>
      </c>
      <c r="BF4" s="13">
        <v>-3.4563199381908237E-2</v>
      </c>
      <c r="BG4" s="13">
        <v>-2.5490924642281039E-2</v>
      </c>
      <c r="BH4" s="13">
        <v>-1.6368300858497931E-2</v>
      </c>
      <c r="BI4" s="13">
        <v>-1.912200225379531E-2</v>
      </c>
      <c r="BJ4" s="13">
        <v>-2.5427524184918511E-2</v>
      </c>
      <c r="BK4" s="13">
        <v>-2.17006435544887E-2</v>
      </c>
      <c r="BL4" s="13">
        <v>-2.4482338097977681E-2</v>
      </c>
      <c r="BM4" s="13">
        <v>-1.190520358379419E-2</v>
      </c>
      <c r="BN4" s="13">
        <v>-1.4200643435024611E-2</v>
      </c>
      <c r="BO4" s="13">
        <v>-1.5729074905210499E-2</v>
      </c>
      <c r="BP4" s="13">
        <v>-6.6634100191326363E-3</v>
      </c>
      <c r="BQ4" s="13">
        <v>-1.4844203425268321E-2</v>
      </c>
      <c r="BR4" s="13">
        <v>-8.2762403872860633E-3</v>
      </c>
      <c r="BS4" s="13">
        <v>-7.2950252230793069E-3</v>
      </c>
      <c r="BT4" s="13">
        <v>-1.5208431311033581E-2</v>
      </c>
      <c r="BU4" s="13">
        <v>-2.3110477045322781E-2</v>
      </c>
      <c r="BV4" s="13">
        <v>-1.216829070540934E-2</v>
      </c>
      <c r="BW4" s="13">
        <v>1.9813464894211609E-3</v>
      </c>
      <c r="BX4" s="13">
        <v>-1.249368848288873E-2</v>
      </c>
      <c r="BY4" s="13">
        <v>-1.6627473803652881E-2</v>
      </c>
      <c r="BZ4" s="13">
        <v>-2.106371981363821E-2</v>
      </c>
      <c r="CA4" s="13">
        <v>-1.4410423139406501E-2</v>
      </c>
      <c r="CB4" s="13">
        <v>-1.373600487425279E-2</v>
      </c>
      <c r="CC4" s="13">
        <v>-2.747847105042156E-2</v>
      </c>
      <c r="CD4" s="13">
        <v>-2.655987022870682E-2</v>
      </c>
      <c r="CE4" s="13">
        <v>-2.6100224897020342E-2</v>
      </c>
      <c r="CF4" s="13">
        <v>-3.2061326258670031E-2</v>
      </c>
      <c r="CG4" s="13">
        <v>-4.4699162974103299E-2</v>
      </c>
      <c r="CH4" s="13">
        <v>-3.5557718292931598E-2</v>
      </c>
      <c r="CI4" s="13">
        <v>-2.2531867995524299E-2</v>
      </c>
      <c r="CJ4" s="13">
        <v>-2.659099589059899E-2</v>
      </c>
      <c r="CK4" s="13">
        <v>-2.437831543315613E-2</v>
      </c>
      <c r="CL4" s="13">
        <v>-2.0383839681311931E-2</v>
      </c>
      <c r="CM4" s="13">
        <v>-2.0543547316843411E-2</v>
      </c>
      <c r="CN4" s="13">
        <v>-2.5366972570714349E-2</v>
      </c>
      <c r="CO4" s="13">
        <v>2.1573222511172298E-2</v>
      </c>
      <c r="CP4" s="13">
        <v>2.9656602127605611E-2</v>
      </c>
      <c r="CQ4" s="13">
        <v>-2.1208981776241909E-3</v>
      </c>
      <c r="CR4" s="13">
        <v>-1.2445462205139609E-2</v>
      </c>
      <c r="CS4" s="13">
        <v>-4.8911607001063021E-2</v>
      </c>
      <c r="CT4" s="13">
        <v>-5.4515957193264943E-2</v>
      </c>
      <c r="CU4" s="13">
        <v>-3.6987684093879661E-2</v>
      </c>
      <c r="CV4" s="13">
        <v>-2.924450214174747E-2</v>
      </c>
      <c r="CW4" s="13">
        <v>-3.5566938337920538E-2</v>
      </c>
      <c r="CX4" s="13">
        <v>-3.611216821620989E-2</v>
      </c>
      <c r="CY4" s="13">
        <v>-3.5196660099825278E-2</v>
      </c>
      <c r="CZ4" s="13">
        <v>-4.1285248368278821E-2</v>
      </c>
      <c r="DA4" s="13">
        <v>-4.4832439126435537E-2</v>
      </c>
      <c r="DB4" s="13">
        <v>-6.2436972757434497E-2</v>
      </c>
      <c r="DC4" s="13">
        <v>-6.2527983186050365E-2</v>
      </c>
      <c r="DD4" s="13">
        <v>-7.5217163321935412E-2</v>
      </c>
      <c r="DE4" s="13">
        <v>-6.4404403928414081E-2</v>
      </c>
      <c r="DF4" s="13">
        <v>-5.549385494260705E-2</v>
      </c>
      <c r="DG4" s="13">
        <v>-6.0437770445375537E-2</v>
      </c>
      <c r="DH4" s="13">
        <v>-6.1846298042840378E-2</v>
      </c>
      <c r="DI4" s="13">
        <v>-1.46626202409976E-2</v>
      </c>
      <c r="DJ4" s="13">
        <v>-4.0786143047909028E-2</v>
      </c>
      <c r="DK4" s="13">
        <v>-5.7443401521016832E-2</v>
      </c>
      <c r="DL4" s="13">
        <v>-5.8112653779270121E-2</v>
      </c>
      <c r="DM4" s="13">
        <v>-3.958925014969409E-2</v>
      </c>
      <c r="DN4" s="13">
        <v>-2.92339481001627E-2</v>
      </c>
      <c r="DO4" s="13">
        <v>-2.8268200941545508E-2</v>
      </c>
      <c r="DP4" s="13">
        <v>-2.9909023795320532E-2</v>
      </c>
      <c r="DQ4" s="13">
        <v>-4.1956447946479403E-2</v>
      </c>
      <c r="DR4" s="13">
        <v>-5.4044080376143652E-2</v>
      </c>
      <c r="DS4" s="13">
        <v>-3.6840842476137732E-2</v>
      </c>
      <c r="DT4" s="13">
        <v>-4.7088988162664012E-2</v>
      </c>
      <c r="DU4" s="13">
        <v>-4.6590530666368382E-2</v>
      </c>
      <c r="DV4" s="13">
        <v>-4.8883186543154288E-2</v>
      </c>
      <c r="DW4" s="13">
        <v>2.4644963240671989E-3</v>
      </c>
      <c r="DX4" s="13">
        <v>-1.047701340170769E-2</v>
      </c>
      <c r="DY4" s="13">
        <v>-3.2988096646797901E-2</v>
      </c>
      <c r="DZ4" s="13">
        <v>-3.5035095730103293E-2</v>
      </c>
      <c r="EA4" s="13">
        <v>-3.4035185243979679E-2</v>
      </c>
      <c r="EB4" s="13">
        <v>-3.1294101648424583E-2</v>
      </c>
      <c r="EC4" s="13">
        <v>-4.2305892800109393E-2</v>
      </c>
      <c r="ED4" s="13">
        <v>-4.7144040894120831E-2</v>
      </c>
      <c r="EE4" s="13">
        <v>-3.9341877783157779E-2</v>
      </c>
      <c r="EF4" s="13">
        <v>-3.4428937404352961E-2</v>
      </c>
      <c r="EG4" s="13">
        <v>-2.5023765356573191E-2</v>
      </c>
      <c r="EH4" s="13">
        <v>-2.3959625271420482E-2</v>
      </c>
      <c r="EI4" s="13">
        <v>-3.1018058895392529E-2</v>
      </c>
      <c r="EJ4" s="13">
        <v>-3.019292868952464E-2</v>
      </c>
      <c r="EK4" s="13">
        <v>-1.9350280734914911E-2</v>
      </c>
      <c r="EL4" s="13">
        <v>1.0475928161918681E-2</v>
      </c>
    </row>
    <row r="5" spans="1:142" ht="25" customHeight="1" x14ac:dyDescent="0.55000000000000004">
      <c r="B5" s="14" t="s">
        <v>145</v>
      </c>
      <c r="C5" s="13">
        <v>1.7572591335771898E-2</v>
      </c>
      <c r="D5" s="13">
        <v>2.7010615886725878E-2</v>
      </c>
      <c r="E5" s="13">
        <v>1.6464920986043539E-2</v>
      </c>
      <c r="F5" s="13">
        <v>2.163583339118199E-2</v>
      </c>
      <c r="G5" s="13">
        <v>2.7978795117450529E-2</v>
      </c>
      <c r="H5" s="13">
        <v>1.82572498185327E-2</v>
      </c>
      <c r="I5" s="13">
        <v>2.262258433052575E-2</v>
      </c>
      <c r="J5" s="13">
        <v>2.4224717545351319E-2</v>
      </c>
      <c r="K5" s="13">
        <v>3.7030631729839399E-2</v>
      </c>
      <c r="L5" s="13">
        <v>2.1715734909504909E-2</v>
      </c>
      <c r="M5" s="13">
        <v>2.3471025446345321E-2</v>
      </c>
      <c r="N5" s="13">
        <v>2.9600842590959759E-2</v>
      </c>
      <c r="O5" s="13">
        <v>3.078080458498781E-2</v>
      </c>
      <c r="P5" s="13">
        <v>1.3958200077604069E-2</v>
      </c>
      <c r="Q5" s="13">
        <v>2.3899925490751529E-2</v>
      </c>
      <c r="R5" s="13">
        <v>2.827365648927253E-2</v>
      </c>
      <c r="S5" s="13">
        <v>2.8277502684533939E-2</v>
      </c>
      <c r="T5" s="13">
        <v>3.0791608587896192E-2</v>
      </c>
      <c r="U5" s="13">
        <v>3.8990634744788283E-2</v>
      </c>
      <c r="V5" s="13">
        <v>4.795564524908115E-2</v>
      </c>
      <c r="W5" s="13">
        <v>5.1885589069397997E-2</v>
      </c>
      <c r="X5" s="13">
        <v>1.8552140443308319E-2</v>
      </c>
      <c r="Y5" s="13">
        <v>1.942137293110377E-2</v>
      </c>
      <c r="Z5" s="13">
        <v>1.0422650426952311E-2</v>
      </c>
      <c r="AA5" s="13">
        <v>4.4481250419906457E-2</v>
      </c>
      <c r="AB5" s="13">
        <v>3.0099617840507689E-4</v>
      </c>
      <c r="AC5" s="13">
        <v>2.9870176157596909E-2</v>
      </c>
      <c r="AD5" s="13">
        <v>4.2866569757687677E-3</v>
      </c>
      <c r="AE5" s="13">
        <v>1.5671647496547189E-2</v>
      </c>
      <c r="AF5" s="13">
        <v>1.2668564364488089E-2</v>
      </c>
      <c r="AG5" s="13">
        <v>2.6776108631906659E-2</v>
      </c>
      <c r="AH5" s="13">
        <v>1.320201957735115E-2</v>
      </c>
      <c r="AI5" s="13">
        <v>1.7989730154352481E-2</v>
      </c>
      <c r="AJ5" s="13">
        <v>1.88525604364338E-2</v>
      </c>
      <c r="AK5" s="13">
        <v>2.0751209643580199E-2</v>
      </c>
      <c r="AL5" s="13">
        <v>1.7139197858594139E-2</v>
      </c>
      <c r="AM5" s="13">
        <v>1.4073911718798781E-2</v>
      </c>
      <c r="AN5" s="13">
        <v>7.2133540700708753E-3</v>
      </c>
      <c r="AO5" s="13">
        <v>1.940927693450302E-2</v>
      </c>
      <c r="AP5" s="13">
        <v>1.8788509035915509E-2</v>
      </c>
      <c r="AQ5" s="13">
        <v>2.576627301502598E-2</v>
      </c>
      <c r="AR5" s="13">
        <v>2.4567308164613721E-2</v>
      </c>
      <c r="AS5" s="13">
        <v>2.0403411209288149E-2</v>
      </c>
      <c r="AT5" s="13">
        <v>1.8350318395403482E-2</v>
      </c>
      <c r="AU5" s="13">
        <v>1.835820201641138E-2</v>
      </c>
      <c r="AV5" s="13">
        <v>3.066534075451257E-2</v>
      </c>
      <c r="AW5" s="13">
        <v>2.4171945032875768E-2</v>
      </c>
      <c r="AX5" s="13">
        <v>2.9301659150937479E-2</v>
      </c>
      <c r="AY5" s="13">
        <v>2.3524836383218169E-2</v>
      </c>
      <c r="AZ5" s="13">
        <v>1.619862131729324E-2</v>
      </c>
      <c r="BA5" s="13">
        <v>2.4361905285368031E-2</v>
      </c>
      <c r="BB5" s="13">
        <v>2.0847801686724499E-2</v>
      </c>
      <c r="BC5" s="13">
        <v>1.87405260419569E-2</v>
      </c>
      <c r="BD5" s="13">
        <v>-8.4357435055720787E-4</v>
      </c>
      <c r="BE5" s="13">
        <v>1.348963928267881E-2</v>
      </c>
      <c r="BF5" s="13">
        <v>1.209566450250129E-2</v>
      </c>
      <c r="BG5" s="13">
        <v>6.2031443455100891E-3</v>
      </c>
      <c r="BH5" s="13">
        <v>-1.9361090801528601E-2</v>
      </c>
      <c r="BI5" s="13">
        <v>-3.9799382821201407E-2</v>
      </c>
      <c r="BJ5" s="13">
        <v>-2.5457167335488549E-2</v>
      </c>
      <c r="BK5" s="13">
        <v>-1.9477643618262701E-2</v>
      </c>
      <c r="BL5" s="13">
        <v>-9.1218955270848633E-3</v>
      </c>
      <c r="BM5" s="13">
        <v>-1.4374787989500121E-2</v>
      </c>
      <c r="BN5" s="13">
        <v>-3.337400836610268E-2</v>
      </c>
      <c r="BO5" s="13">
        <v>-8.1813085035434014E-3</v>
      </c>
      <c r="BP5" s="13">
        <v>6.9701293808654514E-3</v>
      </c>
      <c r="BQ5" s="13">
        <v>9.2463391673495484E-3</v>
      </c>
      <c r="BR5" s="13">
        <v>2.283635783955484E-2</v>
      </c>
      <c r="BS5" s="13">
        <v>2.006030851870538E-2</v>
      </c>
      <c r="BT5" s="13">
        <v>1.4916967327142641E-2</v>
      </c>
      <c r="BU5" s="13">
        <v>1.9043070262766151E-2</v>
      </c>
      <c r="BV5" s="13">
        <v>1.6822997184360571E-2</v>
      </c>
      <c r="BW5" s="13">
        <v>1.6684982593413372E-2</v>
      </c>
      <c r="BX5" s="13">
        <v>1.3546322627577229E-2</v>
      </c>
      <c r="BY5" s="13">
        <v>8.8355555990224949E-3</v>
      </c>
      <c r="BZ5" s="13">
        <v>1.6244439848805359E-2</v>
      </c>
      <c r="CA5" s="13">
        <v>1.5969795684615099E-2</v>
      </c>
      <c r="CB5" s="13">
        <v>2.631438398547604E-3</v>
      </c>
      <c r="CC5" s="13">
        <v>1.882978449558451E-2</v>
      </c>
      <c r="CD5" s="13">
        <v>2.2816767220746569E-2</v>
      </c>
      <c r="CE5" s="13">
        <v>2.6077729361186529E-2</v>
      </c>
      <c r="CF5" s="13">
        <v>1.499489024735514E-2</v>
      </c>
      <c r="CG5" s="13">
        <v>2.6164856394656419E-3</v>
      </c>
      <c r="CH5" s="13">
        <v>1.6072216687681739E-3</v>
      </c>
      <c r="CI5" s="13">
        <v>-5.8853693828171327E-3</v>
      </c>
      <c r="CJ5" s="13">
        <v>-1.1516856996570801E-2</v>
      </c>
      <c r="CK5" s="13">
        <v>-1.071601597092706E-2</v>
      </c>
      <c r="CL5" s="13">
        <v>1.1313839274602489E-2</v>
      </c>
      <c r="CM5" s="13">
        <v>6.5575598939352948E-3</v>
      </c>
      <c r="CN5" s="13">
        <v>1.1422092272016829E-2</v>
      </c>
      <c r="CO5" s="13">
        <v>1.128965325550671E-2</v>
      </c>
      <c r="CP5" s="13">
        <v>5.1481957855028113E-2</v>
      </c>
      <c r="CQ5" s="13">
        <v>3.1199047837396739E-2</v>
      </c>
      <c r="CR5" s="13">
        <v>2.5421195525684968E-2</v>
      </c>
      <c r="CS5" s="13">
        <v>-3.0207556615997611E-3</v>
      </c>
      <c r="CT5" s="13">
        <v>7.5623451229431043E-4</v>
      </c>
      <c r="CU5" s="13">
        <v>7.2781568876731156E-4</v>
      </c>
      <c r="CV5" s="13">
        <v>9.3529038856204165E-3</v>
      </c>
      <c r="CW5" s="13">
        <v>-2.9667861932934879E-2</v>
      </c>
      <c r="CX5" s="13">
        <v>-1.0507272884670189E-2</v>
      </c>
      <c r="CY5" s="13">
        <v>9.7452893907925726E-3</v>
      </c>
      <c r="CZ5" s="13">
        <v>-7.5353985902828378E-3</v>
      </c>
      <c r="DA5" s="13">
        <v>1.3131139356618519E-2</v>
      </c>
      <c r="DB5" s="13">
        <v>4.2211342139132279E-3</v>
      </c>
      <c r="DC5" s="13">
        <v>1.093994226186313E-2</v>
      </c>
      <c r="DD5" s="13">
        <v>2.4409705725089211E-2</v>
      </c>
      <c r="DE5" s="13">
        <v>1.604921204657048E-2</v>
      </c>
      <c r="DF5" s="13">
        <v>1.667716987176554E-2</v>
      </c>
      <c r="DG5" s="13">
        <v>-3.8317962817908898E-3</v>
      </c>
      <c r="DH5" s="13">
        <v>7.3512111038037927E-3</v>
      </c>
      <c r="DI5" s="13">
        <v>-1.030442488724889E-2</v>
      </c>
      <c r="DJ5" s="13">
        <v>5.2456116056685776E-3</v>
      </c>
      <c r="DK5" s="13">
        <v>6.9237939715896509E-3</v>
      </c>
      <c r="DL5" s="13">
        <v>1.614164071279639E-2</v>
      </c>
      <c r="DM5" s="13">
        <v>1.6766743050984158E-2</v>
      </c>
      <c r="DN5" s="13">
        <v>1.4232797538885089E-2</v>
      </c>
      <c r="DO5" s="13">
        <v>1.453166794491163E-2</v>
      </c>
      <c r="DP5" s="13">
        <v>1.476260228029823E-2</v>
      </c>
      <c r="DQ5" s="13">
        <v>9.2205535843162996E-3</v>
      </c>
      <c r="DR5" s="13">
        <v>-2.0837362258463069E-2</v>
      </c>
      <c r="DS5" s="13">
        <v>5.7274386040173687E-3</v>
      </c>
      <c r="DT5" s="13">
        <v>4.0239894875113217E-4</v>
      </c>
      <c r="DU5" s="13">
        <v>1.369607227793021E-2</v>
      </c>
      <c r="DV5" s="13">
        <v>1.81797983000145E-2</v>
      </c>
      <c r="DW5" s="13">
        <v>2.0373538370568042E-2</v>
      </c>
      <c r="DX5" s="13">
        <v>1.6416783684434461E-2</v>
      </c>
      <c r="DY5" s="13">
        <v>1.4901535770104739E-2</v>
      </c>
      <c r="DZ5" s="13">
        <v>1.5353815388371319E-2</v>
      </c>
      <c r="EA5" s="13">
        <v>1.6682695081811649E-2</v>
      </c>
      <c r="EB5" s="13">
        <v>1.820220102928315E-2</v>
      </c>
      <c r="EC5" s="13">
        <v>-4.4638342298786941E-3</v>
      </c>
      <c r="ED5" s="13">
        <v>-4.6981036382316961E-3</v>
      </c>
      <c r="EE5" s="13">
        <v>1.264171640489712E-3</v>
      </c>
      <c r="EF5" s="13">
        <v>8.5178790602471154E-3</v>
      </c>
      <c r="EG5" s="13">
        <v>-2.853172849498869E-3</v>
      </c>
      <c r="EH5" s="13">
        <v>-7.6033835936986848E-3</v>
      </c>
      <c r="EI5" s="13">
        <v>-5.3008409367301841E-3</v>
      </c>
      <c r="EJ5" s="13">
        <v>-4.1330562633494598E-3</v>
      </c>
      <c r="EK5" s="13">
        <v>-2.2310332755631338E-3</v>
      </c>
      <c r="EL5" s="13">
        <v>5.5219188045471258E-3</v>
      </c>
    </row>
    <row r="7" spans="1:142" ht="25" customHeight="1" x14ac:dyDescent="0.55000000000000004">
      <c r="A7" s="11" t="s">
        <v>0</v>
      </c>
    </row>
    <row r="8" spans="1:142" ht="25" customHeight="1" x14ac:dyDescent="0.55000000000000004">
      <c r="A8" s="11" t="s">
        <v>286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ht="25" customHeight="1" x14ac:dyDescent="0.55000000000000004">
      <c r="B9" s="11" t="s">
        <v>143</v>
      </c>
      <c r="C9" s="13">
        <v>5.6118451058864587E-2</v>
      </c>
      <c r="D9" s="13">
        <v>7.8115358948707581E-2</v>
      </c>
      <c r="E9" s="13">
        <v>-0.1415126770734787</v>
      </c>
      <c r="F9" s="13">
        <v>-8.4760263562202454E-2</v>
      </c>
      <c r="G9" s="13">
        <v>-1.6393894329667091E-2</v>
      </c>
      <c r="H9" s="13">
        <v>-2.1295100450515751E-2</v>
      </c>
      <c r="I9" s="13">
        <v>-1.096068881452084E-3</v>
      </c>
      <c r="J9" s="13">
        <v>6.4448930323123932E-2</v>
      </c>
      <c r="K9" s="13">
        <v>9.3935757875442505E-2</v>
      </c>
      <c r="L9" s="13">
        <v>7.7676363289356232E-2</v>
      </c>
      <c r="M9" s="13">
        <v>4.422677680850029E-3</v>
      </c>
      <c r="N9" s="13">
        <v>9.7503647208213806E-2</v>
      </c>
      <c r="O9" s="13">
        <v>-2.549671940505505E-2</v>
      </c>
      <c r="P9" s="13">
        <v>-1.3179603032767769E-2</v>
      </c>
      <c r="Q9" s="13">
        <v>5.1645436324179173E-3</v>
      </c>
      <c r="R9" s="13">
        <v>-1.723375171422958E-2</v>
      </c>
      <c r="S9" s="13">
        <v>0.11152903735637661</v>
      </c>
      <c r="T9" s="13">
        <v>3.4847687929868698E-2</v>
      </c>
      <c r="U9" s="13">
        <v>5.9024035930633538E-2</v>
      </c>
      <c r="V9" s="13">
        <v>1.7716789618134499E-2</v>
      </c>
      <c r="W9" s="13">
        <v>-6.4256582409143448E-3</v>
      </c>
      <c r="X9" s="13">
        <v>-2.2693565115332599E-3</v>
      </c>
      <c r="Y9" s="13">
        <v>3.7778280675411217E-2</v>
      </c>
      <c r="Z9" s="13">
        <v>1.1676935479044911E-2</v>
      </c>
      <c r="AA9" s="13">
        <v>-8.7502934038639069E-3</v>
      </c>
      <c r="AB9" s="13">
        <v>-3.5473756492137909E-2</v>
      </c>
      <c r="AC9" s="13">
        <v>3.1332850456237793E-2</v>
      </c>
      <c r="AD9" s="13">
        <v>1.555768307298422E-2</v>
      </c>
      <c r="AE9" s="13">
        <v>0.1190536841750145</v>
      </c>
      <c r="AF9" s="13">
        <v>-1.9357252866029739E-2</v>
      </c>
      <c r="AG9" s="13">
        <v>5.5650390684604638E-2</v>
      </c>
      <c r="AH9" s="13">
        <v>1.4775607734918589E-2</v>
      </c>
      <c r="AI9" s="13">
        <v>7.8147970139980316E-2</v>
      </c>
      <c r="AJ9" s="13">
        <v>-5.1067054271697998E-2</v>
      </c>
      <c r="AK9" s="13">
        <v>2.9277428984642029E-2</v>
      </c>
      <c r="AL9" s="13">
        <v>0.1074956804513931</v>
      </c>
      <c r="AM9" s="13">
        <v>5.5360257625579827E-2</v>
      </c>
      <c r="AN9" s="13">
        <v>-5.8350309729576111E-2</v>
      </c>
      <c r="AO9" s="13">
        <v>3.7394411861896508E-2</v>
      </c>
      <c r="AP9" s="13">
        <v>4.5363374054431922E-2</v>
      </c>
      <c r="AQ9" s="13">
        <v>0.14594569802284241</v>
      </c>
      <c r="AR9" s="13">
        <v>9.9557004868984222E-2</v>
      </c>
      <c r="AS9" s="13">
        <v>1.506671868264675E-2</v>
      </c>
      <c r="AT9" s="13">
        <v>-1.1696591973304751E-3</v>
      </c>
      <c r="AU9" s="13">
        <v>-4.7236192971467972E-2</v>
      </c>
      <c r="AV9" s="13">
        <v>-3.464246541261673E-2</v>
      </c>
      <c r="AW9" s="13">
        <v>4.0531452745199197E-2</v>
      </c>
      <c r="AX9" s="13">
        <v>2.6697341352701191E-2</v>
      </c>
      <c r="AY9" s="13">
        <v>5.6539479643106461E-2</v>
      </c>
      <c r="AZ9" s="13">
        <v>5.4159634746611118E-3</v>
      </c>
      <c r="BA9" s="13">
        <v>-4.3942347168922417E-2</v>
      </c>
      <c r="BB9" s="13">
        <v>9.4006329774856567E-2</v>
      </c>
      <c r="BC9" s="13">
        <v>2.8445800766348839E-2</v>
      </c>
      <c r="BD9" s="13">
        <v>2.4129733443260189E-2</v>
      </c>
      <c r="BE9" s="13">
        <v>-1.6681114211678501E-2</v>
      </c>
      <c r="BF9" s="13">
        <v>-2.0862789824604992E-2</v>
      </c>
      <c r="BG9" s="13">
        <v>5.2014391869306557E-2</v>
      </c>
      <c r="BH9" s="13">
        <v>-3.3232644200325012E-2</v>
      </c>
      <c r="BI9" s="13">
        <v>-1.9028045237064362E-2</v>
      </c>
      <c r="BJ9" s="13">
        <v>-4.3040025979280472E-2</v>
      </c>
      <c r="BK9" s="13">
        <v>3.582623228430748E-2</v>
      </c>
      <c r="BL9" s="13">
        <v>5.2610065788030617E-2</v>
      </c>
      <c r="BM9" s="13">
        <v>0.16467450559139249</v>
      </c>
      <c r="BN9" s="13">
        <v>5.6239485740661621E-2</v>
      </c>
      <c r="BO9" s="13">
        <v>5.7048242539167397E-2</v>
      </c>
      <c r="BP9" s="13">
        <v>3.7904918193817139E-2</v>
      </c>
      <c r="BQ9" s="13">
        <v>5.388949066400528E-2</v>
      </c>
      <c r="BR9" s="13">
        <v>1.972170919179916E-2</v>
      </c>
      <c r="BS9" s="13">
        <v>5.4315824061632163E-2</v>
      </c>
      <c r="BT9" s="13">
        <v>4.7150813043117523E-2</v>
      </c>
      <c r="BU9" s="13">
        <v>-1.264089345932007E-2</v>
      </c>
      <c r="BV9" s="13">
        <v>-4.7596141695976257E-2</v>
      </c>
      <c r="BW9" s="13">
        <v>-1.6428106464445591E-3</v>
      </c>
      <c r="BX9" s="13">
        <v>4.7259576618671417E-2</v>
      </c>
      <c r="BY9" s="13">
        <v>4.9359224736690521E-2</v>
      </c>
      <c r="BZ9" s="13">
        <v>5.029325932264328E-2</v>
      </c>
      <c r="CA9" s="13">
        <v>-3.8853023201227188E-2</v>
      </c>
      <c r="CB9" s="13">
        <v>-2.5492530316114429E-2</v>
      </c>
      <c r="CC9" s="13">
        <v>5.2212677896022797E-2</v>
      </c>
      <c r="CD9" s="13">
        <v>1.63656659424305E-2</v>
      </c>
      <c r="CE9" s="13">
        <v>4.7712299972772598E-2</v>
      </c>
      <c r="CF9" s="13">
        <v>5.1156952977180481E-2</v>
      </c>
      <c r="CG9" s="13">
        <v>6.3695372082293034E-3</v>
      </c>
      <c r="CH9" s="13">
        <v>5.0260737538337708E-2</v>
      </c>
      <c r="CI9" s="13">
        <v>4.8383045941591263E-2</v>
      </c>
      <c r="CJ9" s="13">
        <v>4.9879353493452072E-2</v>
      </c>
      <c r="CK9" s="13">
        <v>-2.0379621535539631E-2</v>
      </c>
      <c r="CL9" s="13">
        <v>5.1040831953287118E-2</v>
      </c>
      <c r="CM9" s="13">
        <v>7.0432275533676147E-2</v>
      </c>
      <c r="CN9" s="13">
        <v>4.9308884888887412E-2</v>
      </c>
      <c r="CO9" s="13">
        <v>4.8468071967363358E-2</v>
      </c>
      <c r="CP9" s="13">
        <v>-3.0516274273395538E-3</v>
      </c>
      <c r="CQ9" s="13">
        <v>4.8940815031528473E-2</v>
      </c>
      <c r="CR9" s="13">
        <v>3.7696417421102519E-3</v>
      </c>
      <c r="CS9" s="13">
        <v>2.9329795390367511E-2</v>
      </c>
      <c r="CT9" s="13">
        <v>2.7245944365859032E-2</v>
      </c>
      <c r="CU9" s="13">
        <v>4.482705146074295E-2</v>
      </c>
      <c r="CV9" s="13">
        <v>2.256998606026173E-2</v>
      </c>
      <c r="CW9" s="13">
        <v>6.3389554619789124E-2</v>
      </c>
      <c r="CX9" s="13">
        <v>-3.9971958845853812E-2</v>
      </c>
      <c r="CY9" s="13">
        <v>5.2212778478860862E-2</v>
      </c>
      <c r="CZ9" s="13">
        <v>1.1289088055491449E-2</v>
      </c>
      <c r="DA9" s="13">
        <v>4.4644389301538467E-2</v>
      </c>
      <c r="DB9" s="13">
        <v>2.5936665013432499E-2</v>
      </c>
      <c r="DC9" s="13">
        <v>9.5405779778957367E-2</v>
      </c>
      <c r="DD9" s="13">
        <v>-4.5570109039545059E-2</v>
      </c>
      <c r="DE9" s="13">
        <v>5.2781801670789719E-2</v>
      </c>
      <c r="DF9" s="13">
        <v>4.5374881476163857E-2</v>
      </c>
      <c r="DG9" s="13">
        <v>4.444977268576622E-2</v>
      </c>
      <c r="DH9" s="13">
        <v>0.22446863353252411</v>
      </c>
      <c r="DI9" s="13">
        <v>3.3412754535675049E-2</v>
      </c>
      <c r="DJ9" s="13">
        <v>5.2645519375801093E-2</v>
      </c>
      <c r="DK9" s="13">
        <v>4.6334173530340188E-2</v>
      </c>
      <c r="DL9" s="13">
        <v>7.6330825686454773E-2</v>
      </c>
      <c r="DM9" s="13">
        <v>-6.475723534822464E-2</v>
      </c>
      <c r="DN9" s="13">
        <v>4.6702113002538681E-2</v>
      </c>
      <c r="DO9" s="13">
        <v>-4.7201156616210938E-2</v>
      </c>
      <c r="DP9" s="13">
        <v>3.1396467238664627E-2</v>
      </c>
      <c r="DQ9" s="13">
        <v>4.92582768201828E-2</v>
      </c>
      <c r="DR9" s="13">
        <v>4.8483997583389282E-2</v>
      </c>
      <c r="DS9" s="13">
        <v>-4.2000178247690201E-2</v>
      </c>
      <c r="DT9" s="13">
        <v>4.7626849263906479E-2</v>
      </c>
      <c r="DU9" s="13">
        <v>4.7286637127399438E-2</v>
      </c>
      <c r="DV9" s="13">
        <v>1.50144137442112E-2</v>
      </c>
      <c r="DW9" s="13">
        <v>-6.3924841582775116E-2</v>
      </c>
      <c r="DX9" s="13">
        <v>4.7122903168201447E-2</v>
      </c>
      <c r="DY9" s="13">
        <v>-1.8260244280099869E-2</v>
      </c>
      <c r="DZ9" s="13">
        <v>8.7747782468795776E-2</v>
      </c>
      <c r="EA9" s="13">
        <v>4.5896410942077637E-2</v>
      </c>
      <c r="EB9" s="13">
        <v>-3.0745090916752819E-2</v>
      </c>
      <c r="EC9" s="13">
        <v>3.641965240240097E-2</v>
      </c>
      <c r="ED9" s="13">
        <v>3.9232797920703888E-2</v>
      </c>
      <c r="EE9" s="13">
        <v>4.7465469688177109E-2</v>
      </c>
      <c r="EF9" s="13">
        <v>2.1230563521385189E-2</v>
      </c>
      <c r="EG9" s="13">
        <v>4.3058428913354867E-2</v>
      </c>
      <c r="EH9" s="13">
        <v>6.2204215675592422E-2</v>
      </c>
      <c r="EI9" s="13">
        <v>5.3044430911540992E-2</v>
      </c>
      <c r="EJ9" s="13">
        <v>4.5776788145303733E-2</v>
      </c>
      <c r="EK9" s="13">
        <v>5.0296429544687271E-2</v>
      </c>
      <c r="EL9" s="13">
        <v>4.6629093587398529E-2</v>
      </c>
    </row>
    <row r="10" spans="1:142" ht="25" customHeight="1" x14ac:dyDescent="0.55000000000000004">
      <c r="B10" s="11" t="s">
        <v>144</v>
      </c>
      <c r="C10" s="13">
        <v>2.637306414544582E-2</v>
      </c>
      <c r="D10" s="13">
        <v>4.597201943397522E-2</v>
      </c>
      <c r="E10" s="13">
        <v>-3.1721506267786033E-2</v>
      </c>
      <c r="F10" s="13">
        <v>-3.1267769634723663E-2</v>
      </c>
      <c r="G10" s="13">
        <v>-9.326620027422905E-3</v>
      </c>
      <c r="H10" s="13">
        <v>-4.1918478906154633E-2</v>
      </c>
      <c r="I10" s="13">
        <v>-3.2251551747322078E-3</v>
      </c>
      <c r="J10" s="13">
        <v>-2.9109448194503781E-2</v>
      </c>
      <c r="K10" s="13">
        <v>-1.5017589554190639E-2</v>
      </c>
      <c r="L10" s="13">
        <v>3.2963566482067108E-2</v>
      </c>
      <c r="M10" s="13">
        <v>-4.2787168174982071E-2</v>
      </c>
      <c r="N10" s="13">
        <v>8.8435836136341095E-2</v>
      </c>
      <c r="O10" s="13">
        <v>-1.9587144255638119E-2</v>
      </c>
      <c r="P10" s="13">
        <v>3.8856223225593567E-2</v>
      </c>
      <c r="Q10" s="13">
        <v>2.292590960860252E-2</v>
      </c>
      <c r="R10" s="13">
        <v>9.1378994286060333E-2</v>
      </c>
      <c r="S10" s="13">
        <v>2.1565936505794529E-2</v>
      </c>
      <c r="T10" s="13">
        <v>-1.9828533753752708E-2</v>
      </c>
      <c r="U10" s="13">
        <v>-0.20099139213562009</v>
      </c>
      <c r="V10" s="13">
        <v>-3.1301669776439667E-2</v>
      </c>
      <c r="W10" s="13">
        <v>-3.096821159124374E-2</v>
      </c>
      <c r="X10" s="13">
        <v>-2.945495210587978E-2</v>
      </c>
      <c r="Y10" s="13">
        <v>3.9161346852779388E-2</v>
      </c>
      <c r="Z10" s="13">
        <v>-6.3054509460926056E-2</v>
      </c>
      <c r="AA10" s="13">
        <v>0.29351425170898438</v>
      </c>
      <c r="AB10" s="13">
        <v>-5.1668956875801093E-2</v>
      </c>
      <c r="AC10" s="13">
        <v>-5.8906577527523041E-2</v>
      </c>
      <c r="AD10" s="13">
        <v>-1.479410566389561E-2</v>
      </c>
      <c r="AE10" s="13">
        <v>-8.5164092481136322E-2</v>
      </c>
      <c r="AF10" s="13">
        <v>6.4832724630832672E-2</v>
      </c>
      <c r="AG10" s="13">
        <v>-2.9173806309700009E-2</v>
      </c>
      <c r="AH10" s="13">
        <v>3.0198957771062851E-2</v>
      </c>
      <c r="AI10" s="13">
        <v>-4.7617070376873023E-2</v>
      </c>
      <c r="AJ10" s="13">
        <v>-8.1800997257232666E-2</v>
      </c>
      <c r="AK10" s="13">
        <v>-2.1800028160214421E-2</v>
      </c>
      <c r="AL10" s="13">
        <v>-0.1100530177354813</v>
      </c>
      <c r="AM10" s="13">
        <v>-3.5073071718215942E-2</v>
      </c>
      <c r="AN10" s="13">
        <v>-4.340009018778801E-2</v>
      </c>
      <c r="AO10" s="13">
        <v>0.48250654339790339</v>
      </c>
      <c r="AP10" s="13">
        <v>-2.2009238600730899E-2</v>
      </c>
      <c r="AQ10" s="13">
        <v>-3.320765495300293E-2</v>
      </c>
      <c r="AR10" s="13">
        <v>-3.8729634135961533E-2</v>
      </c>
      <c r="AS10" s="13">
        <v>-2.8297137469053268E-2</v>
      </c>
      <c r="AT10" s="13">
        <v>0.10524175316095349</v>
      </c>
      <c r="AU10" s="13">
        <v>-3.1704992055892937E-2</v>
      </c>
      <c r="AV10" s="13">
        <v>6.7514353431761256E-3</v>
      </c>
      <c r="AW10" s="13">
        <v>-0.96225237846374512</v>
      </c>
      <c r="AX10" s="13">
        <v>4.101233184337616E-2</v>
      </c>
      <c r="AY10" s="13">
        <v>-5.6369602680206299E-3</v>
      </c>
      <c r="AZ10" s="13">
        <v>-5.1676530390977859E-2</v>
      </c>
      <c r="BA10" s="13">
        <v>1.325516775250435E-2</v>
      </c>
      <c r="BB10" s="13">
        <v>4.476025328040123E-2</v>
      </c>
      <c r="BC10" s="13">
        <v>-1.107941567897797E-2</v>
      </c>
      <c r="BD10" s="13">
        <v>-0.38229072093963617</v>
      </c>
      <c r="BE10" s="13">
        <v>-2.2616449743509289E-2</v>
      </c>
      <c r="BF10" s="13">
        <v>-3.5860244184732437E-2</v>
      </c>
      <c r="BG10" s="13">
        <v>-4.5156531035900123E-2</v>
      </c>
      <c r="BH10" s="13">
        <v>4.3198607861995697E-2</v>
      </c>
      <c r="BI10" s="13">
        <v>-3.2893676310777657E-2</v>
      </c>
      <c r="BJ10" s="13">
        <v>-3.3156313002109528E-2</v>
      </c>
      <c r="BK10" s="13">
        <v>-0.49124959111213679</v>
      </c>
      <c r="BL10" s="13">
        <v>-4.1894607245922089E-2</v>
      </c>
      <c r="BM10" s="13">
        <v>-4.8348039388656623E-2</v>
      </c>
      <c r="BN10" s="13">
        <v>2.9559984803199772E-2</v>
      </c>
      <c r="BO10" s="13">
        <v>4.2817052453756332E-2</v>
      </c>
      <c r="BP10" s="13">
        <v>-2.2469896823167801E-2</v>
      </c>
      <c r="BQ10" s="13">
        <v>5.1819421350955963E-2</v>
      </c>
      <c r="BR10" s="13">
        <v>1.8672076985239979E-2</v>
      </c>
      <c r="BS10" s="13">
        <v>1.160447578877211E-2</v>
      </c>
      <c r="BT10" s="13">
        <v>2.1957747638225559E-2</v>
      </c>
      <c r="BU10" s="13">
        <v>-7.4458800256252289E-2</v>
      </c>
      <c r="BV10" s="13">
        <v>9.906383603811264E-2</v>
      </c>
      <c r="BW10" s="13">
        <v>-9.3610800802707672E-2</v>
      </c>
      <c r="BX10" s="13">
        <v>2.0203854888677601E-2</v>
      </c>
      <c r="BY10" s="13">
        <v>-3.2773036509752267E-2</v>
      </c>
      <c r="BZ10" s="13">
        <v>6.5151117742061615E-2</v>
      </c>
      <c r="CA10" s="13">
        <v>-3.612663596868515E-2</v>
      </c>
      <c r="CB10" s="13">
        <v>3.8924302905797958E-2</v>
      </c>
      <c r="CC10" s="13">
        <v>-3.6194797605276108E-2</v>
      </c>
      <c r="CD10" s="13">
        <v>-4.9464032053947449E-2</v>
      </c>
      <c r="CE10" s="13">
        <v>-4.3242655694484711E-2</v>
      </c>
      <c r="CF10" s="13">
        <v>-3.2065954059362411E-2</v>
      </c>
      <c r="CG10" s="13">
        <v>-3.9963260293006897E-2</v>
      </c>
      <c r="CH10" s="13">
        <v>-4.1623290628194809E-2</v>
      </c>
      <c r="CI10" s="13">
        <v>-3.5185825079679489E-2</v>
      </c>
      <c r="CJ10" s="13">
        <v>-4.3707791715860367E-2</v>
      </c>
      <c r="CK10" s="13">
        <v>-2.7694102376699451E-2</v>
      </c>
      <c r="CL10" s="13">
        <v>-3.4954138100147247E-2</v>
      </c>
      <c r="CM10" s="13">
        <v>-4.8744097352027893E-2</v>
      </c>
      <c r="CN10" s="13">
        <v>-1.2399040162563321E-2</v>
      </c>
      <c r="CO10" s="13">
        <v>3.0090915039181709E-2</v>
      </c>
      <c r="CP10" s="13">
        <v>-2.108084037899971E-2</v>
      </c>
      <c r="CQ10" s="13">
        <v>2.5487802922725682E-3</v>
      </c>
      <c r="CR10" s="13">
        <v>0.1063184291124344</v>
      </c>
      <c r="CS10" s="13">
        <v>2.1471921354532238E-2</v>
      </c>
      <c r="CT10" s="13">
        <v>-5.8815300464630127E-2</v>
      </c>
      <c r="CU10" s="13">
        <v>-0.21441565454006201</v>
      </c>
      <c r="CV10" s="13">
        <v>-0.14599728584289551</v>
      </c>
      <c r="CW10" s="13">
        <v>6.59809410572052E-2</v>
      </c>
      <c r="CX10" s="13">
        <v>-0.33112818002700811</v>
      </c>
      <c r="CY10" s="13">
        <v>3.5050917416810989E-2</v>
      </c>
      <c r="CZ10" s="13">
        <v>-0.23087161779403689</v>
      </c>
      <c r="DA10" s="13">
        <v>-9.6895664930343628E-2</v>
      </c>
      <c r="DB10" s="13">
        <v>2.638174407184124E-2</v>
      </c>
      <c r="DC10" s="13">
        <v>-6.4039438962936401E-2</v>
      </c>
      <c r="DD10" s="13">
        <v>-5.3469959646463387E-2</v>
      </c>
      <c r="DE10" s="13">
        <v>-0.13113583624362951</v>
      </c>
      <c r="DF10" s="13">
        <v>-0.13658058643341059</v>
      </c>
      <c r="DG10" s="13">
        <v>-9.4920694828033447E-2</v>
      </c>
      <c r="DH10" s="13">
        <v>-4.2109377682209008E-2</v>
      </c>
      <c r="DI10" s="13">
        <v>-4.0931046009063721E-2</v>
      </c>
      <c r="DJ10" s="13">
        <v>-3.9754342287778847E-2</v>
      </c>
      <c r="DK10" s="13">
        <v>-1.123789604753256E-2</v>
      </c>
      <c r="DL10" s="13">
        <v>-4.6825721859931953E-2</v>
      </c>
      <c r="DM10" s="13">
        <v>4.8449739813804633E-2</v>
      </c>
      <c r="DN10" s="13">
        <v>-1.890873908996582E-2</v>
      </c>
      <c r="DO10" s="13">
        <v>0.1028218641877174</v>
      </c>
      <c r="DP10" s="13">
        <v>-0.26931414008140558</v>
      </c>
      <c r="DQ10" s="13">
        <v>3.6267664283514023E-2</v>
      </c>
      <c r="DR10" s="13">
        <v>7.612089067697525E-2</v>
      </c>
      <c r="DS10" s="13">
        <v>-2.8944762423634529E-2</v>
      </c>
      <c r="DT10" s="13">
        <v>-2.5797775015234951E-2</v>
      </c>
      <c r="DU10" s="13">
        <v>-4.2362723499536507E-2</v>
      </c>
      <c r="DV10" s="13">
        <v>-0.12697815895080569</v>
      </c>
      <c r="DW10" s="13">
        <v>4.2979337275028229E-2</v>
      </c>
      <c r="DX10" s="13">
        <v>-7.1560792624950409E-2</v>
      </c>
      <c r="DY10" s="13">
        <v>-3.8502730429172523E-2</v>
      </c>
      <c r="DZ10" s="13">
        <v>3.6363851279020309E-2</v>
      </c>
      <c r="EA10" s="13">
        <v>3.0139438807964321E-2</v>
      </c>
      <c r="EB10" s="13">
        <v>-9.7088990733027458E-3</v>
      </c>
      <c r="EC10" s="13">
        <v>-5.1103539764881127E-2</v>
      </c>
      <c r="ED10" s="13">
        <v>-2.5845445692539219E-2</v>
      </c>
      <c r="EE10" s="13">
        <v>-0.1043576747179031</v>
      </c>
      <c r="EF10" s="13">
        <v>-3.8098420482128859E-3</v>
      </c>
      <c r="EG10" s="13">
        <v>2.889686077833176E-2</v>
      </c>
      <c r="EH10" s="13">
        <v>-4.2595401406288147E-2</v>
      </c>
      <c r="EI10" s="13">
        <v>9.3854136765003204E-2</v>
      </c>
      <c r="EJ10" s="13">
        <v>5.9465162456035607E-2</v>
      </c>
      <c r="EK10" s="13">
        <v>-3.2820709049701691E-2</v>
      </c>
      <c r="EL10" s="13">
        <v>5.8637633919715881E-2</v>
      </c>
    </row>
    <row r="11" spans="1:142" ht="25" customHeight="1" x14ac:dyDescent="0.55000000000000004">
      <c r="B11" s="14" t="s">
        <v>145</v>
      </c>
      <c r="C11" s="13">
        <v>4.0603967499919241E-4</v>
      </c>
      <c r="D11" s="13">
        <v>5.033792182803154E-2</v>
      </c>
      <c r="E11" s="13">
        <v>-3.8914486765861511E-2</v>
      </c>
      <c r="F11" s="13">
        <v>-1.194990426301956E-2</v>
      </c>
      <c r="G11" s="13">
        <v>-3.4719966351985931E-3</v>
      </c>
      <c r="H11" s="13">
        <v>-1.7202273011207581E-2</v>
      </c>
      <c r="I11" s="13">
        <v>3.4106865525245673E-2</v>
      </c>
      <c r="J11" s="13">
        <v>3.247595950961113E-2</v>
      </c>
      <c r="K11" s="13">
        <v>3.4649442881345749E-2</v>
      </c>
      <c r="L11" s="13">
        <v>-0.14336225390434271</v>
      </c>
      <c r="M11" s="13">
        <v>-2.938468940556049E-2</v>
      </c>
      <c r="N11" s="13">
        <v>1.8640816211700439E-2</v>
      </c>
      <c r="O11" s="13">
        <v>3.4841738641262048E-2</v>
      </c>
      <c r="P11" s="13">
        <v>-6.0275918804109097E-4</v>
      </c>
      <c r="Q11" s="13">
        <v>-1.1749310418963431E-2</v>
      </c>
      <c r="R11" s="13">
        <v>1.7349295318126678E-2</v>
      </c>
      <c r="S11" s="13">
        <v>4.1421286761760712E-2</v>
      </c>
      <c r="T11" s="13">
        <v>-4.5294873416423798E-2</v>
      </c>
      <c r="U11" s="13">
        <v>-6.3638943247497082E-3</v>
      </c>
      <c r="V11" s="13">
        <v>3.342755138874054E-2</v>
      </c>
      <c r="W11" s="13">
        <v>3.600490465760231E-2</v>
      </c>
      <c r="X11" s="13">
        <v>-6.4424417912960052E-2</v>
      </c>
      <c r="Y11" s="13">
        <v>-5.0558405928313732E-3</v>
      </c>
      <c r="Z11" s="13">
        <v>-2.7877837419509891E-2</v>
      </c>
      <c r="AA11" s="13">
        <v>3.861604630947113E-2</v>
      </c>
      <c r="AB11" s="13">
        <v>-4.1370157152414322E-2</v>
      </c>
      <c r="AC11" s="13">
        <v>-2.444838359951973E-2</v>
      </c>
      <c r="AD11" s="13">
        <v>4.1641086339950562E-2</v>
      </c>
      <c r="AE11" s="13">
        <v>-9.2225760221481323E-2</v>
      </c>
      <c r="AF11" s="13">
        <v>-2.9623918235301971E-2</v>
      </c>
      <c r="AG11" s="13">
        <v>7.2603732347488403E-2</v>
      </c>
      <c r="AH11" s="13">
        <v>-2.5543451309204102E-2</v>
      </c>
      <c r="AI11" s="13">
        <v>2.6856813579797741E-2</v>
      </c>
      <c r="AJ11" s="13">
        <v>-3.6161798983812332E-2</v>
      </c>
      <c r="AK11" s="13">
        <v>-2.3803045973181721E-2</v>
      </c>
      <c r="AL11" s="13">
        <v>-2.6720678433775902E-3</v>
      </c>
      <c r="AM11" s="13">
        <v>-3.301555290818214E-3</v>
      </c>
      <c r="AN11" s="13">
        <v>7.7517644967883825E-5</v>
      </c>
      <c r="AO11" s="13">
        <v>-6.8618282675743103E-2</v>
      </c>
      <c r="AP11" s="13">
        <v>3.7031527608633041E-2</v>
      </c>
      <c r="AQ11" s="13">
        <v>2.3109108209609989E-2</v>
      </c>
      <c r="AR11" s="13">
        <v>-7.1197360754013062E-2</v>
      </c>
      <c r="AS11" s="13">
        <v>-4.7974057495594018E-2</v>
      </c>
      <c r="AT11" s="13">
        <v>-6.1735827475786209E-2</v>
      </c>
      <c r="AU11" s="13">
        <v>1.724289171397686E-2</v>
      </c>
      <c r="AV11" s="13">
        <v>-5.7472378015518188E-2</v>
      </c>
      <c r="AW11" s="13">
        <v>-6.2709540128707886E-2</v>
      </c>
      <c r="AX11" s="13">
        <v>-5.8146975934505463E-2</v>
      </c>
      <c r="AY11" s="13">
        <v>0.1052219867706299</v>
      </c>
      <c r="AZ11" s="13">
        <v>1.116979215294123E-2</v>
      </c>
      <c r="BA11" s="13">
        <v>3.6679205950349569E-3</v>
      </c>
      <c r="BB11" s="13">
        <v>1.8173787742853161E-2</v>
      </c>
      <c r="BC11" s="13">
        <v>5.2103251218795776E-3</v>
      </c>
      <c r="BD11" s="13">
        <v>1.384157687425613E-3</v>
      </c>
      <c r="BE11" s="13">
        <v>6.3530579209327698E-3</v>
      </c>
      <c r="BF11" s="13">
        <v>1.0895224288105959E-2</v>
      </c>
      <c r="BG11" s="13">
        <v>-3.511882852762938E-3</v>
      </c>
      <c r="BH11" s="13">
        <v>5.6244018487632266E-3</v>
      </c>
      <c r="BI11" s="13">
        <v>6.7682020366191864E-2</v>
      </c>
      <c r="BJ11" s="13">
        <v>3.9736120961606503E-3</v>
      </c>
      <c r="BK11" s="13">
        <v>3.06558832526207E-2</v>
      </c>
      <c r="BL11" s="13">
        <v>-1.213217433542013E-2</v>
      </c>
      <c r="BM11" s="13">
        <v>-2.099542878568172E-3</v>
      </c>
      <c r="BN11" s="13">
        <v>1.6873575747013089E-2</v>
      </c>
      <c r="BO11" s="13">
        <v>-1.410196349024773E-2</v>
      </c>
      <c r="BP11" s="13">
        <v>8.5541605949401855E-3</v>
      </c>
      <c r="BQ11" s="13">
        <v>-1.843594387173653E-2</v>
      </c>
      <c r="BR11" s="13">
        <v>-1.3599623925983909E-2</v>
      </c>
      <c r="BS11" s="13">
        <v>-1.4013238251209259E-3</v>
      </c>
      <c r="BT11" s="13">
        <v>3.7923485040664673E-2</v>
      </c>
      <c r="BU11" s="13">
        <v>1.2471701018512251E-2</v>
      </c>
      <c r="BV11" s="13">
        <v>-4.7056503593921661E-2</v>
      </c>
      <c r="BW11" s="13">
        <v>2.1625479683279991E-2</v>
      </c>
      <c r="BX11" s="13">
        <v>3.5244729369878769E-3</v>
      </c>
      <c r="BY11" s="13">
        <v>3.00147756934166E-3</v>
      </c>
      <c r="BZ11" s="13">
        <v>-1.2442688457667829E-2</v>
      </c>
      <c r="CA11" s="13">
        <v>4.5838907361030579E-2</v>
      </c>
      <c r="CB11" s="13">
        <v>-9.8906513303518295E-3</v>
      </c>
      <c r="CC11" s="13">
        <v>-2.804244169965386E-3</v>
      </c>
      <c r="CD11" s="13">
        <v>-8.6774525698274374E-4</v>
      </c>
      <c r="CE11" s="13">
        <v>9.1528939083218575E-3</v>
      </c>
      <c r="CF11" s="13">
        <v>2.271990850567818E-2</v>
      </c>
      <c r="CG11" s="13">
        <v>3.3768331632018089E-3</v>
      </c>
      <c r="CH11" s="13">
        <v>1.89636554569006E-2</v>
      </c>
      <c r="CI11" s="13">
        <v>9.1768182814121246E-2</v>
      </c>
      <c r="CJ11" s="13">
        <v>-6.3939411193132401E-3</v>
      </c>
      <c r="CK11" s="13">
        <v>1.4165259897708889E-2</v>
      </c>
      <c r="CL11" s="13">
        <v>4.0824571624398232E-3</v>
      </c>
      <c r="CM11" s="13">
        <v>1.057987939566374E-2</v>
      </c>
      <c r="CN11" s="13">
        <v>2.165891602635384E-2</v>
      </c>
      <c r="CO11" s="13">
        <v>0.14323921501636511</v>
      </c>
      <c r="CP11" s="13">
        <v>1.87258655205369E-3</v>
      </c>
      <c r="CQ11" s="13">
        <v>-3.9175484329462051E-2</v>
      </c>
      <c r="CR11" s="13">
        <v>-4.6743908897042266E-3</v>
      </c>
      <c r="CS11" s="13">
        <v>-3.9905324578285217E-2</v>
      </c>
      <c r="CT11" s="13">
        <v>5.7113836519420147E-3</v>
      </c>
      <c r="CU11" s="13">
        <v>1.7015844583511349E-2</v>
      </c>
      <c r="CV11" s="13">
        <v>-1.173017732799053E-2</v>
      </c>
      <c r="CW11" s="13">
        <v>-1.8561026081442829E-2</v>
      </c>
      <c r="CX11" s="13">
        <v>2.7230728417634961E-2</v>
      </c>
      <c r="CY11" s="13">
        <v>2.5908022653311491E-3</v>
      </c>
      <c r="CZ11" s="13">
        <v>6.3109919428825378E-2</v>
      </c>
      <c r="DA11" s="13">
        <v>3.5137373954057687E-2</v>
      </c>
      <c r="DB11" s="13">
        <v>7.0190709084272376E-3</v>
      </c>
      <c r="DC11" s="13">
        <v>1.0706442408263679E-3</v>
      </c>
      <c r="DD11" s="13">
        <v>2.7740933001041408E-3</v>
      </c>
      <c r="DE11" s="13">
        <v>-2.5716772302985191E-2</v>
      </c>
      <c r="DF11" s="13">
        <v>1.4139115810394289E-3</v>
      </c>
      <c r="DG11" s="13">
        <v>-9.6192983910441399E-3</v>
      </c>
      <c r="DH11" s="13">
        <v>-1.259769313037395E-3</v>
      </c>
      <c r="DI11" s="13">
        <v>-1.6325067728757858E-2</v>
      </c>
      <c r="DJ11" s="13">
        <v>-2.2702464833855629E-2</v>
      </c>
      <c r="DK11" s="13">
        <v>-3.4234081394970421E-3</v>
      </c>
      <c r="DL11" s="13">
        <v>1.948068151250482E-3</v>
      </c>
      <c r="DM11" s="13">
        <v>-0.25882810354232788</v>
      </c>
      <c r="DN11" s="13">
        <v>-4.3664040276780719E-4</v>
      </c>
      <c r="DO11" s="13">
        <v>1.356407813727856E-2</v>
      </c>
      <c r="DP11" s="13">
        <v>8.5415281355381012E-3</v>
      </c>
      <c r="DQ11" s="13">
        <v>5.5505207274109125E-4</v>
      </c>
      <c r="DR11" s="13">
        <v>2.8228277340531349E-2</v>
      </c>
      <c r="DS11" s="13">
        <v>1.2090692762285471E-3</v>
      </c>
      <c r="DT11" s="13">
        <v>3.7493379786610599E-3</v>
      </c>
      <c r="DU11" s="13">
        <v>1.854668371379375E-3</v>
      </c>
      <c r="DV11" s="13">
        <v>-2.3645691573619839E-2</v>
      </c>
      <c r="DW11" s="13">
        <v>-3.1537488102912898E-3</v>
      </c>
      <c r="DX11" s="13">
        <v>1.5400387346744541E-2</v>
      </c>
      <c r="DY11" s="13">
        <v>1.2764680199325079E-2</v>
      </c>
      <c r="DZ11" s="13">
        <v>3.1485959887504578E-2</v>
      </c>
      <c r="EA11" s="13">
        <v>7.2265844792127609E-3</v>
      </c>
      <c r="EB11" s="13">
        <v>-1.533120521344244E-3</v>
      </c>
      <c r="EC11" s="13">
        <v>2.0921340212225911E-2</v>
      </c>
      <c r="ED11" s="13">
        <v>-3.2300027087330818E-3</v>
      </c>
      <c r="EE11" s="13">
        <v>-0.10347997397184371</v>
      </c>
      <c r="EF11" s="13">
        <v>4.9948068335652351E-3</v>
      </c>
      <c r="EG11" s="13">
        <v>8.221927285194397E-2</v>
      </c>
      <c r="EH11" s="13">
        <v>7.1446478366851807E-2</v>
      </c>
      <c r="EI11" s="13">
        <v>2.0742105320096019E-2</v>
      </c>
      <c r="EJ11" s="13">
        <v>4.8550190404057503E-3</v>
      </c>
      <c r="EK11" s="13">
        <v>1.1217719875276091E-3</v>
      </c>
      <c r="EL11" s="13">
        <v>-7.0758596062660217E-2</v>
      </c>
    </row>
    <row r="13" spans="1:142" ht="25" customHeight="1" x14ac:dyDescent="0.55000000000000004">
      <c r="A13" s="12" t="s">
        <v>287</v>
      </c>
      <c r="B13" s="11" t="s">
        <v>143</v>
      </c>
      <c r="C13" s="12">
        <f t="shared" ref="C13:AH13" si="0">IF(AND(C3&gt;0,C9&gt;0),1,0)</f>
        <v>1</v>
      </c>
      <c r="D13" s="12">
        <f t="shared" si="0"/>
        <v>1</v>
      </c>
      <c r="E13" s="12">
        <f t="shared" si="0"/>
        <v>0</v>
      </c>
      <c r="F13" s="12">
        <f t="shared" si="0"/>
        <v>0</v>
      </c>
      <c r="G13" s="12">
        <f t="shared" si="0"/>
        <v>0</v>
      </c>
      <c r="H13" s="12">
        <f t="shared" si="0"/>
        <v>0</v>
      </c>
      <c r="I13" s="12">
        <f t="shared" si="0"/>
        <v>0</v>
      </c>
      <c r="J13" s="12">
        <f t="shared" si="0"/>
        <v>1</v>
      </c>
      <c r="K13" s="12">
        <f t="shared" si="0"/>
        <v>1</v>
      </c>
      <c r="L13" s="12">
        <f t="shared" si="0"/>
        <v>1</v>
      </c>
      <c r="M13" s="12">
        <f t="shared" si="0"/>
        <v>1</v>
      </c>
      <c r="N13" s="12">
        <f t="shared" si="0"/>
        <v>1</v>
      </c>
      <c r="O13" s="12">
        <f t="shared" si="0"/>
        <v>0</v>
      </c>
      <c r="P13" s="12">
        <f t="shared" si="0"/>
        <v>0</v>
      </c>
      <c r="Q13" s="12">
        <f t="shared" si="0"/>
        <v>1</v>
      </c>
      <c r="R13" s="12">
        <f t="shared" si="0"/>
        <v>0</v>
      </c>
      <c r="S13" s="12">
        <f t="shared" si="0"/>
        <v>1</v>
      </c>
      <c r="T13" s="12">
        <f t="shared" si="0"/>
        <v>1</v>
      </c>
      <c r="U13" s="12">
        <f t="shared" si="0"/>
        <v>1</v>
      </c>
      <c r="V13" s="12">
        <f t="shared" si="0"/>
        <v>1</v>
      </c>
      <c r="W13" s="12">
        <f t="shared" si="0"/>
        <v>0</v>
      </c>
      <c r="X13" s="12">
        <f t="shared" si="0"/>
        <v>0</v>
      </c>
      <c r="Y13" s="12">
        <f t="shared" si="0"/>
        <v>1</v>
      </c>
      <c r="Z13" s="12">
        <f t="shared" si="0"/>
        <v>1</v>
      </c>
      <c r="AA13" s="12">
        <f t="shared" si="0"/>
        <v>0</v>
      </c>
      <c r="AB13" s="12">
        <f t="shared" si="0"/>
        <v>0</v>
      </c>
      <c r="AC13" s="12">
        <f t="shared" si="0"/>
        <v>1</v>
      </c>
      <c r="AD13" s="12">
        <f t="shared" si="0"/>
        <v>1</v>
      </c>
      <c r="AE13" s="12">
        <f t="shared" si="0"/>
        <v>1</v>
      </c>
      <c r="AF13" s="12">
        <f t="shared" si="0"/>
        <v>0</v>
      </c>
      <c r="AG13" s="12">
        <f t="shared" si="0"/>
        <v>1</v>
      </c>
      <c r="AH13" s="12">
        <f t="shared" si="0"/>
        <v>1</v>
      </c>
      <c r="AI13" s="12">
        <f t="shared" ref="AI13:BN13" si="1">IF(AND(AI3&gt;0,AI9&gt;0),1,0)</f>
        <v>1</v>
      </c>
      <c r="AJ13" s="12">
        <f t="shared" si="1"/>
        <v>0</v>
      </c>
      <c r="AK13" s="12">
        <f t="shared" si="1"/>
        <v>1</v>
      </c>
      <c r="AL13" s="12">
        <f t="shared" si="1"/>
        <v>1</v>
      </c>
      <c r="AM13" s="12">
        <f t="shared" si="1"/>
        <v>1</v>
      </c>
      <c r="AN13" s="12">
        <f t="shared" si="1"/>
        <v>0</v>
      </c>
      <c r="AO13" s="12">
        <f t="shared" si="1"/>
        <v>1</v>
      </c>
      <c r="AP13" s="12">
        <f t="shared" si="1"/>
        <v>1</v>
      </c>
      <c r="AQ13" s="12">
        <f t="shared" si="1"/>
        <v>1</v>
      </c>
      <c r="AR13" s="12">
        <f t="shared" si="1"/>
        <v>1</v>
      </c>
      <c r="AS13" s="12">
        <f t="shared" si="1"/>
        <v>1</v>
      </c>
      <c r="AT13" s="12">
        <f t="shared" si="1"/>
        <v>0</v>
      </c>
      <c r="AU13" s="12">
        <f t="shared" si="1"/>
        <v>0</v>
      </c>
      <c r="AV13" s="12">
        <f t="shared" si="1"/>
        <v>0</v>
      </c>
      <c r="AW13" s="12">
        <f t="shared" si="1"/>
        <v>1</v>
      </c>
      <c r="AX13" s="12">
        <f t="shared" si="1"/>
        <v>1</v>
      </c>
      <c r="AY13" s="12">
        <f t="shared" si="1"/>
        <v>1</v>
      </c>
      <c r="AZ13" s="12">
        <f t="shared" si="1"/>
        <v>1</v>
      </c>
      <c r="BA13" s="12">
        <f t="shared" si="1"/>
        <v>0</v>
      </c>
      <c r="BB13" s="12">
        <f t="shared" si="1"/>
        <v>1</v>
      </c>
      <c r="BC13" s="12">
        <f t="shared" si="1"/>
        <v>1</v>
      </c>
      <c r="BD13" s="12">
        <f t="shared" si="1"/>
        <v>1</v>
      </c>
      <c r="BE13" s="12">
        <f t="shared" si="1"/>
        <v>0</v>
      </c>
      <c r="BF13" s="12">
        <f t="shared" si="1"/>
        <v>0</v>
      </c>
      <c r="BG13" s="12">
        <f t="shared" si="1"/>
        <v>1</v>
      </c>
      <c r="BH13" s="12">
        <f t="shared" si="1"/>
        <v>0</v>
      </c>
      <c r="BI13" s="12">
        <f t="shared" si="1"/>
        <v>0</v>
      </c>
      <c r="BJ13" s="12">
        <f t="shared" si="1"/>
        <v>0</v>
      </c>
      <c r="BK13" s="12">
        <f t="shared" si="1"/>
        <v>1</v>
      </c>
      <c r="BL13" s="12">
        <f t="shared" si="1"/>
        <v>1</v>
      </c>
      <c r="BM13" s="12">
        <f t="shared" si="1"/>
        <v>1</v>
      </c>
      <c r="BN13" s="12">
        <f t="shared" si="1"/>
        <v>1</v>
      </c>
      <c r="BO13" s="12">
        <f t="shared" ref="BO13:CT13" si="2">IF(AND(BO3&gt;0,BO9&gt;0),1,0)</f>
        <v>1</v>
      </c>
      <c r="BP13" s="12">
        <f t="shared" si="2"/>
        <v>1</v>
      </c>
      <c r="BQ13" s="12">
        <f t="shared" si="2"/>
        <v>1</v>
      </c>
      <c r="BR13" s="12">
        <f t="shared" si="2"/>
        <v>1</v>
      </c>
      <c r="BS13" s="12">
        <f t="shared" si="2"/>
        <v>1</v>
      </c>
      <c r="BT13" s="12">
        <f t="shared" si="2"/>
        <v>1</v>
      </c>
      <c r="BU13" s="12">
        <f t="shared" si="2"/>
        <v>0</v>
      </c>
      <c r="BV13" s="12">
        <f t="shared" si="2"/>
        <v>0</v>
      </c>
      <c r="BW13" s="12">
        <f t="shared" si="2"/>
        <v>0</v>
      </c>
      <c r="BX13" s="12">
        <f t="shared" si="2"/>
        <v>1</v>
      </c>
      <c r="BY13" s="12">
        <f t="shared" si="2"/>
        <v>1</v>
      </c>
      <c r="BZ13" s="12">
        <f t="shared" si="2"/>
        <v>1</v>
      </c>
      <c r="CA13" s="12">
        <f t="shared" si="2"/>
        <v>0</v>
      </c>
      <c r="CB13" s="12">
        <f t="shared" si="2"/>
        <v>0</v>
      </c>
      <c r="CC13" s="12">
        <f t="shared" si="2"/>
        <v>1</v>
      </c>
      <c r="CD13" s="12">
        <f t="shared" si="2"/>
        <v>1</v>
      </c>
      <c r="CE13" s="12">
        <f t="shared" si="2"/>
        <v>1</v>
      </c>
      <c r="CF13" s="12">
        <f t="shared" si="2"/>
        <v>1</v>
      </c>
      <c r="CG13" s="12">
        <f t="shared" si="2"/>
        <v>1</v>
      </c>
      <c r="CH13" s="12">
        <f t="shared" si="2"/>
        <v>1</v>
      </c>
      <c r="CI13" s="12">
        <f t="shared" si="2"/>
        <v>1</v>
      </c>
      <c r="CJ13" s="12">
        <f t="shared" si="2"/>
        <v>1</v>
      </c>
      <c r="CK13" s="12">
        <f t="shared" si="2"/>
        <v>0</v>
      </c>
      <c r="CL13" s="12">
        <f t="shared" si="2"/>
        <v>1</v>
      </c>
      <c r="CM13" s="12">
        <f t="shared" si="2"/>
        <v>1</v>
      </c>
      <c r="CN13" s="12">
        <f t="shared" si="2"/>
        <v>1</v>
      </c>
      <c r="CO13" s="12">
        <f t="shared" si="2"/>
        <v>1</v>
      </c>
      <c r="CP13" s="12">
        <f t="shared" si="2"/>
        <v>0</v>
      </c>
      <c r="CQ13" s="12">
        <f t="shared" si="2"/>
        <v>1</v>
      </c>
      <c r="CR13" s="12">
        <f t="shared" si="2"/>
        <v>1</v>
      </c>
      <c r="CS13" s="12">
        <f t="shared" si="2"/>
        <v>1</v>
      </c>
      <c r="CT13" s="12">
        <f t="shared" si="2"/>
        <v>1</v>
      </c>
      <c r="CU13" s="12">
        <f t="shared" ref="CU13:DZ13" si="3">IF(AND(CU3&gt;0,CU9&gt;0),1,0)</f>
        <v>1</v>
      </c>
      <c r="CV13" s="12">
        <f t="shared" si="3"/>
        <v>1</v>
      </c>
      <c r="CW13" s="12">
        <f t="shared" si="3"/>
        <v>1</v>
      </c>
      <c r="CX13" s="12">
        <f t="shared" si="3"/>
        <v>0</v>
      </c>
      <c r="CY13" s="12">
        <f t="shared" si="3"/>
        <v>1</v>
      </c>
      <c r="CZ13" s="12">
        <f t="shared" si="3"/>
        <v>1</v>
      </c>
      <c r="DA13" s="12">
        <f t="shared" si="3"/>
        <v>1</v>
      </c>
      <c r="DB13" s="12">
        <f t="shared" si="3"/>
        <v>1</v>
      </c>
      <c r="DC13" s="12">
        <f t="shared" si="3"/>
        <v>1</v>
      </c>
      <c r="DD13" s="12">
        <f t="shared" si="3"/>
        <v>0</v>
      </c>
      <c r="DE13" s="12">
        <f t="shared" si="3"/>
        <v>1</v>
      </c>
      <c r="DF13" s="12">
        <f t="shared" si="3"/>
        <v>1</v>
      </c>
      <c r="DG13" s="12">
        <f t="shared" si="3"/>
        <v>1</v>
      </c>
      <c r="DH13" s="12">
        <f t="shared" si="3"/>
        <v>1</v>
      </c>
      <c r="DI13" s="12">
        <f t="shared" si="3"/>
        <v>1</v>
      </c>
      <c r="DJ13" s="12">
        <f t="shared" si="3"/>
        <v>1</v>
      </c>
      <c r="DK13" s="12">
        <f t="shared" si="3"/>
        <v>1</v>
      </c>
      <c r="DL13" s="12">
        <f t="shared" si="3"/>
        <v>1</v>
      </c>
      <c r="DM13" s="12">
        <f t="shared" si="3"/>
        <v>0</v>
      </c>
      <c r="DN13" s="12">
        <f t="shared" si="3"/>
        <v>1</v>
      </c>
      <c r="DO13" s="12">
        <f t="shared" si="3"/>
        <v>0</v>
      </c>
      <c r="DP13" s="12">
        <f t="shared" si="3"/>
        <v>1</v>
      </c>
      <c r="DQ13" s="12">
        <f t="shared" si="3"/>
        <v>1</v>
      </c>
      <c r="DR13" s="12">
        <f t="shared" si="3"/>
        <v>1</v>
      </c>
      <c r="DS13" s="12">
        <f t="shared" si="3"/>
        <v>0</v>
      </c>
      <c r="DT13" s="12">
        <f t="shared" si="3"/>
        <v>1</v>
      </c>
      <c r="DU13" s="12">
        <f t="shared" si="3"/>
        <v>1</v>
      </c>
      <c r="DV13" s="12">
        <f t="shared" si="3"/>
        <v>1</v>
      </c>
      <c r="DW13" s="12">
        <f t="shared" si="3"/>
        <v>0</v>
      </c>
      <c r="DX13" s="12">
        <f t="shared" si="3"/>
        <v>1</v>
      </c>
      <c r="DY13" s="12">
        <f t="shared" si="3"/>
        <v>0</v>
      </c>
      <c r="DZ13" s="12">
        <f t="shared" si="3"/>
        <v>1</v>
      </c>
      <c r="EA13" s="12">
        <f t="shared" ref="EA13:EL13" si="4">IF(AND(EA3&gt;0,EA9&gt;0),1,0)</f>
        <v>1</v>
      </c>
      <c r="EB13" s="12">
        <f t="shared" si="4"/>
        <v>0</v>
      </c>
      <c r="EC13" s="12">
        <f t="shared" si="4"/>
        <v>1</v>
      </c>
      <c r="ED13" s="12">
        <f t="shared" si="4"/>
        <v>1</v>
      </c>
      <c r="EE13" s="12">
        <f t="shared" si="4"/>
        <v>1</v>
      </c>
      <c r="EF13" s="12">
        <f t="shared" si="4"/>
        <v>1</v>
      </c>
      <c r="EG13" s="12">
        <f t="shared" si="4"/>
        <v>1</v>
      </c>
      <c r="EH13" s="12">
        <f t="shared" si="4"/>
        <v>1</v>
      </c>
      <c r="EI13" s="12">
        <f t="shared" si="4"/>
        <v>1</v>
      </c>
      <c r="EJ13" s="12">
        <f t="shared" si="4"/>
        <v>1</v>
      </c>
      <c r="EK13" s="12">
        <f t="shared" si="4"/>
        <v>1</v>
      </c>
      <c r="EL13" s="12">
        <f t="shared" si="4"/>
        <v>1</v>
      </c>
    </row>
    <row r="14" spans="1:142" ht="25" customHeight="1" x14ac:dyDescent="0.55000000000000004">
      <c r="A14" s="12" t="s">
        <v>288</v>
      </c>
      <c r="B14" s="11" t="s">
        <v>144</v>
      </c>
      <c r="C14" s="12">
        <f t="shared" ref="C14:AH14" si="5">IF(AND(C4&gt;0,C10&gt;0),1,0)</f>
        <v>0</v>
      </c>
      <c r="D14" s="12">
        <f t="shared" si="5"/>
        <v>0</v>
      </c>
      <c r="E14" s="12">
        <f t="shared" si="5"/>
        <v>0</v>
      </c>
      <c r="F14" s="12">
        <f t="shared" si="5"/>
        <v>0</v>
      </c>
      <c r="G14" s="12">
        <f t="shared" si="5"/>
        <v>0</v>
      </c>
      <c r="H14" s="12">
        <f t="shared" si="5"/>
        <v>0</v>
      </c>
      <c r="I14" s="12">
        <f t="shared" si="5"/>
        <v>0</v>
      </c>
      <c r="J14" s="12">
        <f t="shared" si="5"/>
        <v>0</v>
      </c>
      <c r="K14" s="12">
        <f t="shared" si="5"/>
        <v>0</v>
      </c>
      <c r="L14" s="12">
        <f t="shared" si="5"/>
        <v>0</v>
      </c>
      <c r="M14" s="12">
        <f t="shared" si="5"/>
        <v>0</v>
      </c>
      <c r="N14" s="12">
        <f t="shared" si="5"/>
        <v>0</v>
      </c>
      <c r="O14" s="12">
        <f t="shared" si="5"/>
        <v>0</v>
      </c>
      <c r="P14" s="12">
        <f t="shared" si="5"/>
        <v>0</v>
      </c>
      <c r="Q14" s="12">
        <f t="shared" si="5"/>
        <v>0</v>
      </c>
      <c r="R14" s="12">
        <f t="shared" si="5"/>
        <v>0</v>
      </c>
      <c r="S14" s="12">
        <f t="shared" si="5"/>
        <v>0</v>
      </c>
      <c r="T14" s="12">
        <f t="shared" si="5"/>
        <v>0</v>
      </c>
      <c r="U14" s="12">
        <f t="shared" si="5"/>
        <v>0</v>
      </c>
      <c r="V14" s="12">
        <f t="shared" si="5"/>
        <v>0</v>
      </c>
      <c r="W14" s="12">
        <f t="shared" si="5"/>
        <v>0</v>
      </c>
      <c r="X14" s="12">
        <f t="shared" si="5"/>
        <v>0</v>
      </c>
      <c r="Y14" s="12">
        <f t="shared" si="5"/>
        <v>0</v>
      </c>
      <c r="Z14" s="12">
        <f t="shared" si="5"/>
        <v>0</v>
      </c>
      <c r="AA14" s="12">
        <f t="shared" si="5"/>
        <v>0</v>
      </c>
      <c r="AB14" s="12">
        <f t="shared" si="5"/>
        <v>0</v>
      </c>
      <c r="AC14" s="12">
        <f t="shared" si="5"/>
        <v>0</v>
      </c>
      <c r="AD14" s="12">
        <f t="shared" si="5"/>
        <v>0</v>
      </c>
      <c r="AE14" s="12">
        <f t="shared" si="5"/>
        <v>0</v>
      </c>
      <c r="AF14" s="12">
        <f t="shared" si="5"/>
        <v>0</v>
      </c>
      <c r="AG14" s="12">
        <f t="shared" si="5"/>
        <v>0</v>
      </c>
      <c r="AH14" s="12">
        <f t="shared" si="5"/>
        <v>0</v>
      </c>
      <c r="AI14" s="12">
        <f t="shared" ref="AI14:BN14" si="6">IF(AND(AI4&gt;0,AI10&gt;0),1,0)</f>
        <v>0</v>
      </c>
      <c r="AJ14" s="12">
        <f t="shared" si="6"/>
        <v>0</v>
      </c>
      <c r="AK14" s="12">
        <f t="shared" si="6"/>
        <v>0</v>
      </c>
      <c r="AL14" s="12">
        <f t="shared" si="6"/>
        <v>0</v>
      </c>
      <c r="AM14" s="12">
        <f t="shared" si="6"/>
        <v>0</v>
      </c>
      <c r="AN14" s="12">
        <f t="shared" si="6"/>
        <v>0</v>
      </c>
      <c r="AO14" s="12">
        <f t="shared" si="6"/>
        <v>0</v>
      </c>
      <c r="AP14" s="12">
        <f t="shared" si="6"/>
        <v>0</v>
      </c>
      <c r="AQ14" s="12">
        <f t="shared" si="6"/>
        <v>0</v>
      </c>
      <c r="AR14" s="12">
        <f t="shared" si="6"/>
        <v>0</v>
      </c>
      <c r="AS14" s="12">
        <f t="shared" si="6"/>
        <v>0</v>
      </c>
      <c r="AT14" s="12">
        <f t="shared" si="6"/>
        <v>0</v>
      </c>
      <c r="AU14" s="12">
        <f t="shared" si="6"/>
        <v>0</v>
      </c>
      <c r="AV14" s="12">
        <f t="shared" si="6"/>
        <v>0</v>
      </c>
      <c r="AW14" s="12">
        <f t="shared" si="6"/>
        <v>0</v>
      </c>
      <c r="AX14" s="12">
        <f t="shared" si="6"/>
        <v>0</v>
      </c>
      <c r="AY14" s="12">
        <f t="shared" si="6"/>
        <v>0</v>
      </c>
      <c r="AZ14" s="12">
        <f t="shared" si="6"/>
        <v>0</v>
      </c>
      <c r="BA14" s="12">
        <f t="shared" si="6"/>
        <v>0</v>
      </c>
      <c r="BB14" s="12">
        <f t="shared" si="6"/>
        <v>0</v>
      </c>
      <c r="BC14" s="12">
        <f t="shared" si="6"/>
        <v>0</v>
      </c>
      <c r="BD14" s="12">
        <f t="shared" si="6"/>
        <v>0</v>
      </c>
      <c r="BE14" s="12">
        <f t="shared" si="6"/>
        <v>0</v>
      </c>
      <c r="BF14" s="12">
        <f t="shared" si="6"/>
        <v>0</v>
      </c>
      <c r="BG14" s="12">
        <f t="shared" si="6"/>
        <v>0</v>
      </c>
      <c r="BH14" s="12">
        <f t="shared" si="6"/>
        <v>0</v>
      </c>
      <c r="BI14" s="12">
        <f t="shared" si="6"/>
        <v>0</v>
      </c>
      <c r="BJ14" s="12">
        <f t="shared" si="6"/>
        <v>0</v>
      </c>
      <c r="BK14" s="12">
        <f t="shared" si="6"/>
        <v>0</v>
      </c>
      <c r="BL14" s="12">
        <f t="shared" si="6"/>
        <v>0</v>
      </c>
      <c r="BM14" s="12">
        <f t="shared" si="6"/>
        <v>0</v>
      </c>
      <c r="BN14" s="12">
        <f t="shared" si="6"/>
        <v>0</v>
      </c>
      <c r="BO14" s="12">
        <f t="shared" ref="BO14:CT14" si="7">IF(AND(BO4&gt;0,BO10&gt;0),1,0)</f>
        <v>0</v>
      </c>
      <c r="BP14" s="12">
        <f t="shared" si="7"/>
        <v>0</v>
      </c>
      <c r="BQ14" s="12">
        <f t="shared" si="7"/>
        <v>0</v>
      </c>
      <c r="BR14" s="12">
        <f t="shared" si="7"/>
        <v>0</v>
      </c>
      <c r="BS14" s="12">
        <f t="shared" si="7"/>
        <v>0</v>
      </c>
      <c r="BT14" s="12">
        <f t="shared" si="7"/>
        <v>0</v>
      </c>
      <c r="BU14" s="12">
        <f t="shared" si="7"/>
        <v>0</v>
      </c>
      <c r="BV14" s="12">
        <f t="shared" si="7"/>
        <v>0</v>
      </c>
      <c r="BW14" s="12">
        <f t="shared" si="7"/>
        <v>0</v>
      </c>
      <c r="BX14" s="12">
        <f t="shared" si="7"/>
        <v>0</v>
      </c>
      <c r="BY14" s="12">
        <f t="shared" si="7"/>
        <v>0</v>
      </c>
      <c r="BZ14" s="12">
        <f t="shared" si="7"/>
        <v>0</v>
      </c>
      <c r="CA14" s="12">
        <f t="shared" si="7"/>
        <v>0</v>
      </c>
      <c r="CB14" s="12">
        <f t="shared" si="7"/>
        <v>0</v>
      </c>
      <c r="CC14" s="12">
        <f t="shared" si="7"/>
        <v>0</v>
      </c>
      <c r="CD14" s="12">
        <f t="shared" si="7"/>
        <v>0</v>
      </c>
      <c r="CE14" s="12">
        <f t="shared" si="7"/>
        <v>0</v>
      </c>
      <c r="CF14" s="12">
        <f t="shared" si="7"/>
        <v>0</v>
      </c>
      <c r="CG14" s="12">
        <f t="shared" si="7"/>
        <v>0</v>
      </c>
      <c r="CH14" s="12">
        <f t="shared" si="7"/>
        <v>0</v>
      </c>
      <c r="CI14" s="12">
        <f t="shared" si="7"/>
        <v>0</v>
      </c>
      <c r="CJ14" s="12">
        <f t="shared" si="7"/>
        <v>0</v>
      </c>
      <c r="CK14" s="12">
        <f t="shared" si="7"/>
        <v>0</v>
      </c>
      <c r="CL14" s="12">
        <f t="shared" si="7"/>
        <v>0</v>
      </c>
      <c r="CM14" s="12">
        <f t="shared" si="7"/>
        <v>0</v>
      </c>
      <c r="CN14" s="12">
        <f t="shared" si="7"/>
        <v>0</v>
      </c>
      <c r="CO14" s="12">
        <f t="shared" si="7"/>
        <v>1</v>
      </c>
      <c r="CP14" s="12">
        <f t="shared" si="7"/>
        <v>0</v>
      </c>
      <c r="CQ14" s="12">
        <f t="shared" si="7"/>
        <v>0</v>
      </c>
      <c r="CR14" s="12">
        <f t="shared" si="7"/>
        <v>0</v>
      </c>
      <c r="CS14" s="12">
        <f t="shared" si="7"/>
        <v>0</v>
      </c>
      <c r="CT14" s="12">
        <f t="shared" si="7"/>
        <v>0</v>
      </c>
      <c r="CU14" s="12">
        <f t="shared" ref="CU14:DZ14" si="8">IF(AND(CU4&gt;0,CU10&gt;0),1,0)</f>
        <v>0</v>
      </c>
      <c r="CV14" s="12">
        <f t="shared" si="8"/>
        <v>0</v>
      </c>
      <c r="CW14" s="12">
        <f t="shared" si="8"/>
        <v>0</v>
      </c>
      <c r="CX14" s="12">
        <f t="shared" si="8"/>
        <v>0</v>
      </c>
      <c r="CY14" s="12">
        <f t="shared" si="8"/>
        <v>0</v>
      </c>
      <c r="CZ14" s="12">
        <f t="shared" si="8"/>
        <v>0</v>
      </c>
      <c r="DA14" s="12">
        <f t="shared" si="8"/>
        <v>0</v>
      </c>
      <c r="DB14" s="12">
        <f t="shared" si="8"/>
        <v>0</v>
      </c>
      <c r="DC14" s="12">
        <f t="shared" si="8"/>
        <v>0</v>
      </c>
      <c r="DD14" s="12">
        <f t="shared" si="8"/>
        <v>0</v>
      </c>
      <c r="DE14" s="12">
        <f t="shared" si="8"/>
        <v>0</v>
      </c>
      <c r="DF14" s="12">
        <f t="shared" si="8"/>
        <v>0</v>
      </c>
      <c r="DG14" s="12">
        <f t="shared" si="8"/>
        <v>0</v>
      </c>
      <c r="DH14" s="12">
        <f t="shared" si="8"/>
        <v>0</v>
      </c>
      <c r="DI14" s="12">
        <f t="shared" si="8"/>
        <v>0</v>
      </c>
      <c r="DJ14" s="12">
        <f t="shared" si="8"/>
        <v>0</v>
      </c>
      <c r="DK14" s="12">
        <f t="shared" si="8"/>
        <v>0</v>
      </c>
      <c r="DL14" s="12">
        <f t="shared" si="8"/>
        <v>0</v>
      </c>
      <c r="DM14" s="12">
        <f t="shared" si="8"/>
        <v>0</v>
      </c>
      <c r="DN14" s="12">
        <f t="shared" si="8"/>
        <v>0</v>
      </c>
      <c r="DO14" s="12">
        <f t="shared" si="8"/>
        <v>0</v>
      </c>
      <c r="DP14" s="12">
        <f t="shared" si="8"/>
        <v>0</v>
      </c>
      <c r="DQ14" s="12">
        <f t="shared" si="8"/>
        <v>0</v>
      </c>
      <c r="DR14" s="12">
        <f t="shared" si="8"/>
        <v>0</v>
      </c>
      <c r="DS14" s="12">
        <f t="shared" si="8"/>
        <v>0</v>
      </c>
      <c r="DT14" s="12">
        <f t="shared" si="8"/>
        <v>0</v>
      </c>
      <c r="DU14" s="12">
        <f t="shared" si="8"/>
        <v>0</v>
      </c>
      <c r="DV14" s="12">
        <f t="shared" si="8"/>
        <v>0</v>
      </c>
      <c r="DW14" s="12">
        <f t="shared" si="8"/>
        <v>1</v>
      </c>
      <c r="DX14" s="12">
        <f t="shared" si="8"/>
        <v>0</v>
      </c>
      <c r="DY14" s="12">
        <f t="shared" si="8"/>
        <v>0</v>
      </c>
      <c r="DZ14" s="12">
        <f t="shared" si="8"/>
        <v>0</v>
      </c>
      <c r="EA14" s="12">
        <f t="shared" ref="EA14:EL14" si="9">IF(AND(EA4&gt;0,EA10&gt;0),1,0)</f>
        <v>0</v>
      </c>
      <c r="EB14" s="12">
        <f t="shared" si="9"/>
        <v>0</v>
      </c>
      <c r="EC14" s="12">
        <f t="shared" si="9"/>
        <v>0</v>
      </c>
      <c r="ED14" s="12">
        <f t="shared" si="9"/>
        <v>0</v>
      </c>
      <c r="EE14" s="12">
        <f t="shared" si="9"/>
        <v>0</v>
      </c>
      <c r="EF14" s="12">
        <f t="shared" si="9"/>
        <v>0</v>
      </c>
      <c r="EG14" s="12">
        <f t="shared" si="9"/>
        <v>0</v>
      </c>
      <c r="EH14" s="12">
        <f t="shared" si="9"/>
        <v>0</v>
      </c>
      <c r="EI14" s="12">
        <f t="shared" si="9"/>
        <v>0</v>
      </c>
      <c r="EJ14" s="12">
        <f t="shared" si="9"/>
        <v>0</v>
      </c>
      <c r="EK14" s="12">
        <f t="shared" si="9"/>
        <v>0</v>
      </c>
      <c r="EL14" s="12">
        <f t="shared" si="9"/>
        <v>1</v>
      </c>
    </row>
    <row r="15" spans="1:142" ht="25" customHeight="1" x14ac:dyDescent="0.55000000000000004">
      <c r="B15" s="14" t="s">
        <v>145</v>
      </c>
      <c r="C15" s="12">
        <f t="shared" ref="C15:AH15" si="10">IF(AND(C5&gt;0,C11&gt;0),1,0)</f>
        <v>1</v>
      </c>
      <c r="D15" s="12">
        <f t="shared" si="10"/>
        <v>1</v>
      </c>
      <c r="E15" s="12">
        <f t="shared" si="10"/>
        <v>0</v>
      </c>
      <c r="F15" s="12">
        <f t="shared" si="10"/>
        <v>0</v>
      </c>
      <c r="G15" s="12">
        <f t="shared" si="10"/>
        <v>0</v>
      </c>
      <c r="H15" s="12">
        <f t="shared" si="10"/>
        <v>0</v>
      </c>
      <c r="I15" s="12">
        <f t="shared" si="10"/>
        <v>1</v>
      </c>
      <c r="J15" s="12">
        <f t="shared" si="10"/>
        <v>1</v>
      </c>
      <c r="K15" s="12">
        <f t="shared" si="10"/>
        <v>1</v>
      </c>
      <c r="L15" s="12">
        <f t="shared" si="10"/>
        <v>0</v>
      </c>
      <c r="M15" s="12">
        <f t="shared" si="10"/>
        <v>0</v>
      </c>
      <c r="N15" s="12">
        <f t="shared" si="10"/>
        <v>1</v>
      </c>
      <c r="O15" s="12">
        <f t="shared" si="10"/>
        <v>1</v>
      </c>
      <c r="P15" s="12">
        <f t="shared" si="10"/>
        <v>0</v>
      </c>
      <c r="Q15" s="12">
        <f t="shared" si="10"/>
        <v>0</v>
      </c>
      <c r="R15" s="12">
        <f t="shared" si="10"/>
        <v>1</v>
      </c>
      <c r="S15" s="12">
        <f t="shared" si="10"/>
        <v>1</v>
      </c>
      <c r="T15" s="12">
        <f t="shared" si="10"/>
        <v>0</v>
      </c>
      <c r="U15" s="12">
        <f t="shared" si="10"/>
        <v>0</v>
      </c>
      <c r="V15" s="12">
        <f t="shared" si="10"/>
        <v>1</v>
      </c>
      <c r="W15" s="12">
        <f t="shared" si="10"/>
        <v>1</v>
      </c>
      <c r="X15" s="12">
        <f t="shared" si="10"/>
        <v>0</v>
      </c>
      <c r="Y15" s="12">
        <f t="shared" si="10"/>
        <v>0</v>
      </c>
      <c r="Z15" s="12">
        <f t="shared" si="10"/>
        <v>0</v>
      </c>
      <c r="AA15" s="12">
        <f t="shared" si="10"/>
        <v>1</v>
      </c>
      <c r="AB15" s="12">
        <f t="shared" si="10"/>
        <v>0</v>
      </c>
      <c r="AC15" s="12">
        <f t="shared" si="10"/>
        <v>0</v>
      </c>
      <c r="AD15" s="12">
        <f t="shared" si="10"/>
        <v>1</v>
      </c>
      <c r="AE15" s="12">
        <f t="shared" si="10"/>
        <v>0</v>
      </c>
      <c r="AF15" s="12">
        <f t="shared" si="10"/>
        <v>0</v>
      </c>
      <c r="AG15" s="12">
        <f t="shared" si="10"/>
        <v>1</v>
      </c>
      <c r="AH15" s="12">
        <f t="shared" si="10"/>
        <v>0</v>
      </c>
      <c r="AI15" s="12">
        <f t="shared" ref="AI15:BN15" si="11">IF(AND(AI5&gt;0,AI11&gt;0),1,0)</f>
        <v>1</v>
      </c>
      <c r="AJ15" s="12">
        <f t="shared" si="11"/>
        <v>0</v>
      </c>
      <c r="AK15" s="12">
        <f t="shared" si="11"/>
        <v>0</v>
      </c>
      <c r="AL15" s="12">
        <f t="shared" si="11"/>
        <v>0</v>
      </c>
      <c r="AM15" s="12">
        <f t="shared" si="11"/>
        <v>0</v>
      </c>
      <c r="AN15" s="12">
        <f t="shared" si="11"/>
        <v>1</v>
      </c>
      <c r="AO15" s="12">
        <f t="shared" si="11"/>
        <v>0</v>
      </c>
      <c r="AP15" s="12">
        <f t="shared" si="11"/>
        <v>1</v>
      </c>
      <c r="AQ15" s="12">
        <f t="shared" si="11"/>
        <v>1</v>
      </c>
      <c r="AR15" s="12">
        <f t="shared" si="11"/>
        <v>0</v>
      </c>
      <c r="AS15" s="12">
        <f t="shared" si="11"/>
        <v>0</v>
      </c>
      <c r="AT15" s="12">
        <f t="shared" si="11"/>
        <v>0</v>
      </c>
      <c r="AU15" s="12">
        <f t="shared" si="11"/>
        <v>1</v>
      </c>
      <c r="AV15" s="12">
        <f t="shared" si="11"/>
        <v>0</v>
      </c>
      <c r="AW15" s="12">
        <f t="shared" si="11"/>
        <v>0</v>
      </c>
      <c r="AX15" s="12">
        <f t="shared" si="11"/>
        <v>0</v>
      </c>
      <c r="AY15" s="12">
        <f t="shared" si="11"/>
        <v>1</v>
      </c>
      <c r="AZ15" s="12">
        <f t="shared" si="11"/>
        <v>1</v>
      </c>
      <c r="BA15" s="12">
        <f t="shared" si="11"/>
        <v>1</v>
      </c>
      <c r="BB15" s="12">
        <f t="shared" si="11"/>
        <v>1</v>
      </c>
      <c r="BC15" s="12">
        <f t="shared" si="11"/>
        <v>1</v>
      </c>
      <c r="BD15" s="12">
        <f t="shared" si="11"/>
        <v>0</v>
      </c>
      <c r="BE15" s="12">
        <f t="shared" si="11"/>
        <v>1</v>
      </c>
      <c r="BF15" s="12">
        <f t="shared" si="11"/>
        <v>1</v>
      </c>
      <c r="BG15" s="12">
        <f t="shared" si="11"/>
        <v>0</v>
      </c>
      <c r="BH15" s="12">
        <f t="shared" si="11"/>
        <v>0</v>
      </c>
      <c r="BI15" s="12">
        <f t="shared" si="11"/>
        <v>0</v>
      </c>
      <c r="BJ15" s="12">
        <f t="shared" si="11"/>
        <v>0</v>
      </c>
      <c r="BK15" s="12">
        <f t="shared" si="11"/>
        <v>0</v>
      </c>
      <c r="BL15" s="12">
        <f t="shared" si="11"/>
        <v>0</v>
      </c>
      <c r="BM15" s="12">
        <f t="shared" si="11"/>
        <v>0</v>
      </c>
      <c r="BN15" s="12">
        <f t="shared" si="11"/>
        <v>0</v>
      </c>
      <c r="BO15" s="12">
        <f t="shared" ref="BO15:CT15" si="12">IF(AND(BO5&gt;0,BO11&gt;0),1,0)</f>
        <v>0</v>
      </c>
      <c r="BP15" s="12">
        <f t="shared" si="12"/>
        <v>1</v>
      </c>
      <c r="BQ15" s="12">
        <f t="shared" si="12"/>
        <v>0</v>
      </c>
      <c r="BR15" s="12">
        <f t="shared" si="12"/>
        <v>0</v>
      </c>
      <c r="BS15" s="12">
        <f t="shared" si="12"/>
        <v>0</v>
      </c>
      <c r="BT15" s="12">
        <f t="shared" si="12"/>
        <v>1</v>
      </c>
      <c r="BU15" s="12">
        <f t="shared" si="12"/>
        <v>1</v>
      </c>
      <c r="BV15" s="12">
        <f t="shared" si="12"/>
        <v>0</v>
      </c>
      <c r="BW15" s="12">
        <f t="shared" si="12"/>
        <v>1</v>
      </c>
      <c r="BX15" s="12">
        <f t="shared" si="12"/>
        <v>1</v>
      </c>
      <c r="BY15" s="12">
        <f t="shared" si="12"/>
        <v>1</v>
      </c>
      <c r="BZ15" s="12">
        <f t="shared" si="12"/>
        <v>0</v>
      </c>
      <c r="CA15" s="12">
        <f t="shared" si="12"/>
        <v>1</v>
      </c>
      <c r="CB15" s="12">
        <f t="shared" si="12"/>
        <v>0</v>
      </c>
      <c r="CC15" s="12">
        <f t="shared" si="12"/>
        <v>0</v>
      </c>
      <c r="CD15" s="12">
        <f t="shared" si="12"/>
        <v>0</v>
      </c>
      <c r="CE15" s="12">
        <f t="shared" si="12"/>
        <v>1</v>
      </c>
      <c r="CF15" s="12">
        <f t="shared" si="12"/>
        <v>1</v>
      </c>
      <c r="CG15" s="12">
        <f t="shared" si="12"/>
        <v>1</v>
      </c>
      <c r="CH15" s="12">
        <f t="shared" si="12"/>
        <v>1</v>
      </c>
      <c r="CI15" s="12">
        <f t="shared" si="12"/>
        <v>0</v>
      </c>
      <c r="CJ15" s="12">
        <f t="shared" si="12"/>
        <v>0</v>
      </c>
      <c r="CK15" s="12">
        <f t="shared" si="12"/>
        <v>0</v>
      </c>
      <c r="CL15" s="12">
        <f t="shared" si="12"/>
        <v>1</v>
      </c>
      <c r="CM15" s="12">
        <f t="shared" si="12"/>
        <v>1</v>
      </c>
      <c r="CN15" s="12">
        <f t="shared" si="12"/>
        <v>1</v>
      </c>
      <c r="CO15" s="12">
        <f t="shared" si="12"/>
        <v>1</v>
      </c>
      <c r="CP15" s="12">
        <f t="shared" si="12"/>
        <v>1</v>
      </c>
      <c r="CQ15" s="12">
        <f t="shared" si="12"/>
        <v>0</v>
      </c>
      <c r="CR15" s="12">
        <f t="shared" si="12"/>
        <v>0</v>
      </c>
      <c r="CS15" s="12">
        <f t="shared" si="12"/>
        <v>0</v>
      </c>
      <c r="CT15" s="12">
        <f t="shared" si="12"/>
        <v>1</v>
      </c>
      <c r="CU15" s="12">
        <f t="shared" ref="CU15:DZ15" si="13">IF(AND(CU5&gt;0,CU11&gt;0),1,0)</f>
        <v>1</v>
      </c>
      <c r="CV15" s="12">
        <f t="shared" si="13"/>
        <v>0</v>
      </c>
      <c r="CW15" s="12">
        <f t="shared" si="13"/>
        <v>0</v>
      </c>
      <c r="CX15" s="12">
        <f t="shared" si="13"/>
        <v>0</v>
      </c>
      <c r="CY15" s="12">
        <f t="shared" si="13"/>
        <v>1</v>
      </c>
      <c r="CZ15" s="12">
        <f t="shared" si="13"/>
        <v>0</v>
      </c>
      <c r="DA15" s="12">
        <f t="shared" si="13"/>
        <v>1</v>
      </c>
      <c r="DB15" s="12">
        <f t="shared" si="13"/>
        <v>1</v>
      </c>
      <c r="DC15" s="12">
        <f t="shared" si="13"/>
        <v>1</v>
      </c>
      <c r="DD15" s="12">
        <f t="shared" si="13"/>
        <v>1</v>
      </c>
      <c r="DE15" s="12">
        <f t="shared" si="13"/>
        <v>0</v>
      </c>
      <c r="DF15" s="12">
        <f t="shared" si="13"/>
        <v>1</v>
      </c>
      <c r="DG15" s="12">
        <f t="shared" si="13"/>
        <v>0</v>
      </c>
      <c r="DH15" s="12">
        <f t="shared" si="13"/>
        <v>0</v>
      </c>
      <c r="DI15" s="12">
        <f t="shared" si="13"/>
        <v>0</v>
      </c>
      <c r="DJ15" s="12">
        <f t="shared" si="13"/>
        <v>0</v>
      </c>
      <c r="DK15" s="12">
        <f t="shared" si="13"/>
        <v>0</v>
      </c>
      <c r="DL15" s="12">
        <f t="shared" si="13"/>
        <v>1</v>
      </c>
      <c r="DM15" s="12">
        <f t="shared" si="13"/>
        <v>0</v>
      </c>
      <c r="DN15" s="12">
        <f t="shared" si="13"/>
        <v>0</v>
      </c>
      <c r="DO15" s="12">
        <f t="shared" si="13"/>
        <v>1</v>
      </c>
      <c r="DP15" s="12">
        <f t="shared" si="13"/>
        <v>1</v>
      </c>
      <c r="DQ15" s="12">
        <f t="shared" si="13"/>
        <v>1</v>
      </c>
      <c r="DR15" s="12">
        <f t="shared" si="13"/>
        <v>0</v>
      </c>
      <c r="DS15" s="12">
        <f t="shared" si="13"/>
        <v>1</v>
      </c>
      <c r="DT15" s="12">
        <f t="shared" si="13"/>
        <v>1</v>
      </c>
      <c r="DU15" s="12">
        <f t="shared" si="13"/>
        <v>1</v>
      </c>
      <c r="DV15" s="12">
        <f t="shared" si="13"/>
        <v>0</v>
      </c>
      <c r="DW15" s="12">
        <f t="shared" si="13"/>
        <v>0</v>
      </c>
      <c r="DX15" s="12">
        <f t="shared" si="13"/>
        <v>1</v>
      </c>
      <c r="DY15" s="12">
        <f t="shared" si="13"/>
        <v>1</v>
      </c>
      <c r="DZ15" s="12">
        <f t="shared" si="13"/>
        <v>1</v>
      </c>
      <c r="EA15" s="12">
        <f t="shared" ref="EA15:EL15" si="14">IF(AND(EA5&gt;0,EA11&gt;0),1,0)</f>
        <v>1</v>
      </c>
      <c r="EB15" s="12">
        <f t="shared" si="14"/>
        <v>0</v>
      </c>
      <c r="EC15" s="12">
        <f t="shared" si="14"/>
        <v>0</v>
      </c>
      <c r="ED15" s="12">
        <f t="shared" si="14"/>
        <v>0</v>
      </c>
      <c r="EE15" s="12">
        <f t="shared" si="14"/>
        <v>0</v>
      </c>
      <c r="EF15" s="12">
        <f t="shared" si="14"/>
        <v>1</v>
      </c>
      <c r="EG15" s="12">
        <f t="shared" si="14"/>
        <v>0</v>
      </c>
      <c r="EH15" s="12">
        <f t="shared" si="14"/>
        <v>0</v>
      </c>
      <c r="EI15" s="12">
        <f t="shared" si="14"/>
        <v>0</v>
      </c>
      <c r="EJ15" s="12">
        <f t="shared" si="14"/>
        <v>0</v>
      </c>
      <c r="EK15" s="12">
        <f t="shared" si="14"/>
        <v>0</v>
      </c>
      <c r="EL15" s="12">
        <f t="shared" si="14"/>
        <v>0</v>
      </c>
    </row>
    <row r="16" spans="1:142" ht="25" customHeight="1" x14ac:dyDescent="0.55000000000000004">
      <c r="B16" s="16" t="s">
        <v>287</v>
      </c>
      <c r="C16" s="12">
        <f>SUM(C13:C15)+SUM(D13:D15)+SUM(E13:E15)+SUM(F13:F15)+SUM(G13:G15)+SUM(H13:H15)+SUM(I13:I15)+SUM(J13:J15)+SUM(K13:K15)+SUM(L13:L15)+SUM(M13:M15)+SUM(N13:N15)+SUM(O13:O15)+SUM(P13:P15)+SUM(Q13:Q15)+SUM(R13:R15)+SUM(S13:S15)+SUM(T13:T15)+SUM(U13:U15)+SUM(V13:V15)+SUM(W13:W15)+SUM(X13:X15)+SUM(Y13:Y15)+SUM(Z13:Z15)+SUM(AA13:AA15)+SUM(AB13:AB15)+SUM(AC13:AC15)+SUM(AD13:AD15)+SUM(AE13:AE15)+SUM(AF13:AF15)+SUM(AG13:AG15)+SUM(AH13:AH15)+SUM(AI13:AI15)+SUM(AJ13:AJ15)+SUM(AK13:AK15)+SUM(AL13:AL15)+SUM(AM13:AM15)+SUM(AN13:AN15)+SUM(AO13:AO15)+SUM(AP13:AP15)+SUM(AQ13:AQ15)+SUM(AR13:AR15)+SUM(AS13:AS15)+SUM(AT13:AT15)+SUM(AU13:AU15)+SUM(AV13:AV15)+SUM(AW13:AW15)+SUM(AX13:AX15)+SUM(AY13:AY15)+SUM(AZ13:AZ15)+SUM(BA13:BA15)+SUM(BB13:BB15)+SUM(BC13:BC15)+SUM(BD13:BD15)+SUM(BE13:BE15)+SUM(BF13:BF15)+SUM(BG13:BG15)+SUM(BH13:BH15)+SUM(BI13:BI15)+SUM(BJ13:BJ15)+SUM(BK13:BK15)+SUM(BL13:BL15)+SUM(BM13:BM15)+SUM(BN13:BN15)+SUM(BO13:BO15)+SUM(BP13:BP15)+SUM(BQ13:BQ15)+SUM(BR13:BR15)+SUM(BS13:BS15)+SUM(BT13:BT15)+SUM(BU13:BU15)+SUM(BV13:BV15)+SUM(BW13:BW15)+SUM(BX13:BX15)+SUM(BY13:BY15)+SUM(BZ13:BZ15)+SUM(CA13:CA15)+SUM(CB13:CB15)+SUM(CC13:CC15)+SUM(CD13:CD15)+SUM(CE13:CE15)+SUM(CF13:CF15)+SUM(CG13:CG15)+SUM(CH13:CH15)+SUM(CI13:CI15)+SUM(CJ13:CJ15)+SUM(CK13:CK15)+SUM(CL13:CL15)+SUM(CM13:CM15)+SUM(CN13:CN15)+SUM(CO13:CO15)+SUM(CP13:CP15)+SUM(CQ13:CQ15)+SUM(CR13:CR15)+SUM(CS13:CS15)+SUM(CT13:CT15)+SUM(CU13:CU15)+SUM(CV13:CV15)+SUM(CW13:CW15)+SUM(CX13:CX15)+SUM(CY13:CY15)+SUM(CZ13:CZ15)+SUM(DA13:DA15)+SUM(DB13:DB15)+SUM(DC13:DC15)+SUM(DD13:DD15)+SUM(DE13:DE15)+SUM(DF13:DF15)+SUM(DG13:DG15)+SUM(DH13:DH15)+SUM(DI13:DI15)+SUM(DJ13:DJ15)+SUM(DK13:DK15)+SUM(DL13:DL15)+SUM(DM13:DM15)+SUM(DN13:DN15)+SUM(DO13:DO15)+SUM(DP13:DP15)+SUM(DQ13:DQ15)+SUM(DR13:DR15)+SUM(DS13:DS15)+SUM(DT13:DT15)+SUM(DU13:DU15)+SUM(DV13:DV15)+SUM(DW13:DW15)+SUM(DX13:DX15)+SUM(DY13:DY15)+SUM(DZ13:DZ15)+SUM(EA13:EA15)+SUM(EB13:EB15)+SUM(EC13:EC15)+SUM(ED13:ED15)+SUM(EE13:EE15)+SUM(EF13:EF15)+SUM(EG13:EG15)+SUM(EH13:EH15)+SUM(EI13:EI15)+SUM(EJ13:EJ15)+SUM(EK13:EK15)+SUM(EL13:EL15)</f>
        <v>166</v>
      </c>
    </row>
    <row r="17" spans="1:142" ht="25" customHeight="1" x14ac:dyDescent="0.55000000000000004">
      <c r="A17" s="12" t="s">
        <v>289</v>
      </c>
      <c r="B17" s="11" t="s">
        <v>143</v>
      </c>
      <c r="C17" s="12">
        <f t="shared" ref="C17:AH17" si="15">IF(AND(C3&gt;0,C9&lt;0),1,0)</f>
        <v>0</v>
      </c>
      <c r="D17" s="12">
        <f t="shared" si="15"/>
        <v>0</v>
      </c>
      <c r="E17" s="12">
        <f t="shared" si="15"/>
        <v>1</v>
      </c>
      <c r="F17" s="12">
        <f t="shared" si="15"/>
        <v>1</v>
      </c>
      <c r="G17" s="12">
        <f t="shared" si="15"/>
        <v>1</v>
      </c>
      <c r="H17" s="12">
        <f t="shared" si="15"/>
        <v>1</v>
      </c>
      <c r="I17" s="12">
        <f t="shared" si="15"/>
        <v>1</v>
      </c>
      <c r="J17" s="12">
        <f t="shared" si="15"/>
        <v>0</v>
      </c>
      <c r="K17" s="12">
        <f t="shared" si="15"/>
        <v>0</v>
      </c>
      <c r="L17" s="12">
        <f t="shared" si="15"/>
        <v>0</v>
      </c>
      <c r="M17" s="12">
        <f t="shared" si="15"/>
        <v>0</v>
      </c>
      <c r="N17" s="12">
        <f t="shared" si="15"/>
        <v>0</v>
      </c>
      <c r="O17" s="12">
        <f t="shared" si="15"/>
        <v>1</v>
      </c>
      <c r="P17" s="12">
        <f t="shared" si="15"/>
        <v>1</v>
      </c>
      <c r="Q17" s="12">
        <f t="shared" si="15"/>
        <v>0</v>
      </c>
      <c r="R17" s="12">
        <f t="shared" si="15"/>
        <v>1</v>
      </c>
      <c r="S17" s="12">
        <f t="shared" si="15"/>
        <v>0</v>
      </c>
      <c r="T17" s="12">
        <f t="shared" si="15"/>
        <v>0</v>
      </c>
      <c r="U17" s="12">
        <f t="shared" si="15"/>
        <v>0</v>
      </c>
      <c r="V17" s="12">
        <f t="shared" si="15"/>
        <v>0</v>
      </c>
      <c r="W17" s="12">
        <f t="shared" si="15"/>
        <v>1</v>
      </c>
      <c r="X17" s="12">
        <f t="shared" si="15"/>
        <v>1</v>
      </c>
      <c r="Y17" s="12">
        <f t="shared" si="15"/>
        <v>0</v>
      </c>
      <c r="Z17" s="12">
        <f t="shared" si="15"/>
        <v>0</v>
      </c>
      <c r="AA17" s="12">
        <f t="shared" si="15"/>
        <v>1</v>
      </c>
      <c r="AB17" s="12">
        <f t="shared" si="15"/>
        <v>1</v>
      </c>
      <c r="AC17" s="12">
        <f t="shared" si="15"/>
        <v>0</v>
      </c>
      <c r="AD17" s="12">
        <f t="shared" si="15"/>
        <v>0</v>
      </c>
      <c r="AE17" s="12">
        <f t="shared" si="15"/>
        <v>0</v>
      </c>
      <c r="AF17" s="12">
        <f t="shared" si="15"/>
        <v>1</v>
      </c>
      <c r="AG17" s="12">
        <f t="shared" si="15"/>
        <v>0</v>
      </c>
      <c r="AH17" s="12">
        <f t="shared" si="15"/>
        <v>0</v>
      </c>
      <c r="AI17" s="12">
        <f t="shared" ref="AI17:BN17" si="16">IF(AND(AI3&gt;0,AI9&lt;0),1,0)</f>
        <v>0</v>
      </c>
      <c r="AJ17" s="12">
        <f t="shared" si="16"/>
        <v>1</v>
      </c>
      <c r="AK17" s="12">
        <f t="shared" si="16"/>
        <v>0</v>
      </c>
      <c r="AL17" s="12">
        <f t="shared" si="16"/>
        <v>0</v>
      </c>
      <c r="AM17" s="12">
        <f t="shared" si="16"/>
        <v>0</v>
      </c>
      <c r="AN17" s="12">
        <f t="shared" si="16"/>
        <v>1</v>
      </c>
      <c r="AO17" s="12">
        <f t="shared" si="16"/>
        <v>0</v>
      </c>
      <c r="AP17" s="12">
        <f t="shared" si="16"/>
        <v>0</v>
      </c>
      <c r="AQ17" s="12">
        <f t="shared" si="16"/>
        <v>0</v>
      </c>
      <c r="AR17" s="12">
        <f t="shared" si="16"/>
        <v>0</v>
      </c>
      <c r="AS17" s="12">
        <f t="shared" si="16"/>
        <v>0</v>
      </c>
      <c r="AT17" s="12">
        <f t="shared" si="16"/>
        <v>1</v>
      </c>
      <c r="AU17" s="12">
        <f t="shared" si="16"/>
        <v>1</v>
      </c>
      <c r="AV17" s="12">
        <f t="shared" si="16"/>
        <v>1</v>
      </c>
      <c r="AW17" s="12">
        <f t="shared" si="16"/>
        <v>0</v>
      </c>
      <c r="AX17" s="12">
        <f t="shared" si="16"/>
        <v>0</v>
      </c>
      <c r="AY17" s="12">
        <f t="shared" si="16"/>
        <v>0</v>
      </c>
      <c r="AZ17" s="12">
        <f t="shared" si="16"/>
        <v>0</v>
      </c>
      <c r="BA17" s="12">
        <f t="shared" si="16"/>
        <v>1</v>
      </c>
      <c r="BB17" s="12">
        <f t="shared" si="16"/>
        <v>0</v>
      </c>
      <c r="BC17" s="12">
        <f t="shared" si="16"/>
        <v>0</v>
      </c>
      <c r="BD17" s="12">
        <f t="shared" si="16"/>
        <v>0</v>
      </c>
      <c r="BE17" s="12">
        <f t="shared" si="16"/>
        <v>1</v>
      </c>
      <c r="BF17" s="12">
        <f t="shared" si="16"/>
        <v>1</v>
      </c>
      <c r="BG17" s="12">
        <f t="shared" si="16"/>
        <v>0</v>
      </c>
      <c r="BH17" s="12">
        <f t="shared" si="16"/>
        <v>1</v>
      </c>
      <c r="BI17" s="12">
        <f t="shared" si="16"/>
        <v>1</v>
      </c>
      <c r="BJ17" s="12">
        <f t="shared" si="16"/>
        <v>1</v>
      </c>
      <c r="BK17" s="12">
        <f t="shared" si="16"/>
        <v>0</v>
      </c>
      <c r="BL17" s="12">
        <f t="shared" si="16"/>
        <v>0</v>
      </c>
      <c r="BM17" s="12">
        <f t="shared" si="16"/>
        <v>0</v>
      </c>
      <c r="BN17" s="12">
        <f t="shared" si="16"/>
        <v>0</v>
      </c>
      <c r="BO17" s="12">
        <f t="shared" ref="BO17:CT17" si="17">IF(AND(BO3&gt;0,BO9&lt;0),1,0)</f>
        <v>0</v>
      </c>
      <c r="BP17" s="12">
        <f t="shared" si="17"/>
        <v>0</v>
      </c>
      <c r="BQ17" s="12">
        <f t="shared" si="17"/>
        <v>0</v>
      </c>
      <c r="BR17" s="12">
        <f t="shared" si="17"/>
        <v>0</v>
      </c>
      <c r="BS17" s="12">
        <f t="shared" si="17"/>
        <v>0</v>
      </c>
      <c r="BT17" s="12">
        <f t="shared" si="17"/>
        <v>0</v>
      </c>
      <c r="BU17" s="12">
        <f t="shared" si="17"/>
        <v>1</v>
      </c>
      <c r="BV17" s="12">
        <f t="shared" si="17"/>
        <v>1</v>
      </c>
      <c r="BW17" s="12">
        <f t="shared" si="17"/>
        <v>1</v>
      </c>
      <c r="BX17" s="12">
        <f t="shared" si="17"/>
        <v>0</v>
      </c>
      <c r="BY17" s="12">
        <f t="shared" si="17"/>
        <v>0</v>
      </c>
      <c r="BZ17" s="12">
        <f t="shared" si="17"/>
        <v>0</v>
      </c>
      <c r="CA17" s="12">
        <f t="shared" si="17"/>
        <v>1</v>
      </c>
      <c r="CB17" s="12">
        <f t="shared" si="17"/>
        <v>1</v>
      </c>
      <c r="CC17" s="12">
        <f t="shared" si="17"/>
        <v>0</v>
      </c>
      <c r="CD17" s="12">
        <f t="shared" si="17"/>
        <v>0</v>
      </c>
      <c r="CE17" s="12">
        <f t="shared" si="17"/>
        <v>0</v>
      </c>
      <c r="CF17" s="12">
        <f t="shared" si="17"/>
        <v>0</v>
      </c>
      <c r="CG17" s="12">
        <f t="shared" si="17"/>
        <v>0</v>
      </c>
      <c r="CH17" s="12">
        <f t="shared" si="17"/>
        <v>0</v>
      </c>
      <c r="CI17" s="12">
        <f t="shared" si="17"/>
        <v>0</v>
      </c>
      <c r="CJ17" s="12">
        <f t="shared" si="17"/>
        <v>0</v>
      </c>
      <c r="CK17" s="12">
        <f t="shared" si="17"/>
        <v>1</v>
      </c>
      <c r="CL17" s="12">
        <f t="shared" si="17"/>
        <v>0</v>
      </c>
      <c r="CM17" s="12">
        <f t="shared" si="17"/>
        <v>0</v>
      </c>
      <c r="CN17" s="12">
        <f t="shared" si="17"/>
        <v>0</v>
      </c>
      <c r="CO17" s="12">
        <f t="shared" si="17"/>
        <v>0</v>
      </c>
      <c r="CP17" s="12">
        <f t="shared" si="17"/>
        <v>1</v>
      </c>
      <c r="CQ17" s="12">
        <f t="shared" si="17"/>
        <v>0</v>
      </c>
      <c r="CR17" s="12">
        <f t="shared" si="17"/>
        <v>0</v>
      </c>
      <c r="CS17" s="12">
        <f t="shared" si="17"/>
        <v>0</v>
      </c>
      <c r="CT17" s="12">
        <f t="shared" si="17"/>
        <v>0</v>
      </c>
      <c r="CU17" s="12">
        <f t="shared" ref="CU17:DZ17" si="18">IF(AND(CU3&gt;0,CU9&lt;0),1,0)</f>
        <v>0</v>
      </c>
      <c r="CV17" s="12">
        <f t="shared" si="18"/>
        <v>0</v>
      </c>
      <c r="CW17" s="12">
        <f t="shared" si="18"/>
        <v>0</v>
      </c>
      <c r="CX17" s="12">
        <f t="shared" si="18"/>
        <v>1</v>
      </c>
      <c r="CY17" s="12">
        <f t="shared" si="18"/>
        <v>0</v>
      </c>
      <c r="CZ17" s="12">
        <f t="shared" si="18"/>
        <v>0</v>
      </c>
      <c r="DA17" s="12">
        <f t="shared" si="18"/>
        <v>0</v>
      </c>
      <c r="DB17" s="12">
        <f t="shared" si="18"/>
        <v>0</v>
      </c>
      <c r="DC17" s="12">
        <f t="shared" si="18"/>
        <v>0</v>
      </c>
      <c r="DD17" s="12">
        <f t="shared" si="18"/>
        <v>1</v>
      </c>
      <c r="DE17" s="12">
        <f t="shared" si="18"/>
        <v>0</v>
      </c>
      <c r="DF17" s="12">
        <f t="shared" si="18"/>
        <v>0</v>
      </c>
      <c r="DG17" s="12">
        <f t="shared" si="18"/>
        <v>0</v>
      </c>
      <c r="DH17" s="12">
        <f t="shared" si="18"/>
        <v>0</v>
      </c>
      <c r="DI17" s="12">
        <f t="shared" si="18"/>
        <v>0</v>
      </c>
      <c r="DJ17" s="12">
        <f t="shared" si="18"/>
        <v>0</v>
      </c>
      <c r="DK17" s="12">
        <f t="shared" si="18"/>
        <v>0</v>
      </c>
      <c r="DL17" s="12">
        <f t="shared" si="18"/>
        <v>0</v>
      </c>
      <c r="DM17" s="12">
        <f t="shared" si="18"/>
        <v>1</v>
      </c>
      <c r="DN17" s="12">
        <f t="shared" si="18"/>
        <v>0</v>
      </c>
      <c r="DO17" s="12">
        <f t="shared" si="18"/>
        <v>1</v>
      </c>
      <c r="DP17" s="12">
        <f t="shared" si="18"/>
        <v>0</v>
      </c>
      <c r="DQ17" s="12">
        <f t="shared" si="18"/>
        <v>0</v>
      </c>
      <c r="DR17" s="12">
        <f t="shared" si="18"/>
        <v>0</v>
      </c>
      <c r="DS17" s="12">
        <f t="shared" si="18"/>
        <v>1</v>
      </c>
      <c r="DT17" s="12">
        <f t="shared" si="18"/>
        <v>0</v>
      </c>
      <c r="DU17" s="12">
        <f t="shared" si="18"/>
        <v>0</v>
      </c>
      <c r="DV17" s="12">
        <f t="shared" si="18"/>
        <v>0</v>
      </c>
      <c r="DW17" s="12">
        <f t="shared" si="18"/>
        <v>1</v>
      </c>
      <c r="DX17" s="12">
        <f t="shared" si="18"/>
        <v>0</v>
      </c>
      <c r="DY17" s="12">
        <f t="shared" si="18"/>
        <v>1</v>
      </c>
      <c r="DZ17" s="12">
        <f t="shared" si="18"/>
        <v>0</v>
      </c>
      <c r="EA17" s="12">
        <f t="shared" ref="EA17:EL17" si="19">IF(AND(EA3&gt;0,EA9&lt;0),1,0)</f>
        <v>0</v>
      </c>
      <c r="EB17" s="12">
        <f t="shared" si="19"/>
        <v>1</v>
      </c>
      <c r="EC17" s="12">
        <f t="shared" si="19"/>
        <v>0</v>
      </c>
      <c r="ED17" s="12">
        <f t="shared" si="19"/>
        <v>0</v>
      </c>
      <c r="EE17" s="12">
        <f t="shared" si="19"/>
        <v>0</v>
      </c>
      <c r="EF17" s="12">
        <f t="shared" si="19"/>
        <v>0</v>
      </c>
      <c r="EG17" s="12">
        <f t="shared" si="19"/>
        <v>0</v>
      </c>
      <c r="EH17" s="12">
        <f t="shared" si="19"/>
        <v>0</v>
      </c>
      <c r="EI17" s="12">
        <f t="shared" si="19"/>
        <v>0</v>
      </c>
      <c r="EJ17" s="12">
        <f t="shared" si="19"/>
        <v>0</v>
      </c>
      <c r="EK17" s="12">
        <f t="shared" si="19"/>
        <v>0</v>
      </c>
      <c r="EL17" s="12">
        <f t="shared" si="19"/>
        <v>0</v>
      </c>
    </row>
    <row r="18" spans="1:142" ht="25" customHeight="1" x14ac:dyDescent="0.55000000000000004">
      <c r="A18" s="12" t="s">
        <v>290</v>
      </c>
      <c r="B18" s="11" t="s">
        <v>144</v>
      </c>
      <c r="C18" s="12">
        <f t="shared" ref="C18:AH18" si="20">IF(AND(C4&gt;0,C10&lt;0),1,0)</f>
        <v>0</v>
      </c>
      <c r="D18" s="12">
        <f t="shared" si="20"/>
        <v>0</v>
      </c>
      <c r="E18" s="12">
        <f t="shared" si="20"/>
        <v>0</v>
      </c>
      <c r="F18" s="12">
        <f t="shared" si="20"/>
        <v>0</v>
      </c>
      <c r="G18" s="12">
        <f t="shared" si="20"/>
        <v>0</v>
      </c>
      <c r="H18" s="12">
        <f t="shared" si="20"/>
        <v>0</v>
      </c>
      <c r="I18" s="12">
        <f t="shared" si="20"/>
        <v>0</v>
      </c>
      <c r="J18" s="12">
        <f t="shared" si="20"/>
        <v>0</v>
      </c>
      <c r="K18" s="12">
        <f t="shared" si="20"/>
        <v>0</v>
      </c>
      <c r="L18" s="12">
        <f t="shared" si="20"/>
        <v>0</v>
      </c>
      <c r="M18" s="12">
        <f t="shared" si="20"/>
        <v>0</v>
      </c>
      <c r="N18" s="12">
        <f t="shared" si="20"/>
        <v>0</v>
      </c>
      <c r="O18" s="12">
        <f t="shared" si="20"/>
        <v>0</v>
      </c>
      <c r="P18" s="12">
        <f t="shared" si="20"/>
        <v>0</v>
      </c>
      <c r="Q18" s="12">
        <f t="shared" si="20"/>
        <v>0</v>
      </c>
      <c r="R18" s="12">
        <f t="shared" si="20"/>
        <v>0</v>
      </c>
      <c r="S18" s="12">
        <f t="shared" si="20"/>
        <v>0</v>
      </c>
      <c r="T18" s="12">
        <f t="shared" si="20"/>
        <v>0</v>
      </c>
      <c r="U18" s="12">
        <f t="shared" si="20"/>
        <v>0</v>
      </c>
      <c r="V18" s="12">
        <f t="shared" si="20"/>
        <v>0</v>
      </c>
      <c r="W18" s="12">
        <f t="shared" si="20"/>
        <v>0</v>
      </c>
      <c r="X18" s="12">
        <f t="shared" si="20"/>
        <v>0</v>
      </c>
      <c r="Y18" s="12">
        <f t="shared" si="20"/>
        <v>0</v>
      </c>
      <c r="Z18" s="12">
        <f t="shared" si="20"/>
        <v>0</v>
      </c>
      <c r="AA18" s="12">
        <f t="shared" si="20"/>
        <v>0</v>
      </c>
      <c r="AB18" s="12">
        <f t="shared" si="20"/>
        <v>0</v>
      </c>
      <c r="AC18" s="12">
        <f t="shared" si="20"/>
        <v>0</v>
      </c>
      <c r="AD18" s="12">
        <f t="shared" si="20"/>
        <v>0</v>
      </c>
      <c r="AE18" s="12">
        <f t="shared" si="20"/>
        <v>0</v>
      </c>
      <c r="AF18" s="12">
        <f t="shared" si="20"/>
        <v>0</v>
      </c>
      <c r="AG18" s="12">
        <f t="shared" si="20"/>
        <v>0</v>
      </c>
      <c r="AH18" s="12">
        <f t="shared" si="20"/>
        <v>0</v>
      </c>
      <c r="AI18" s="12">
        <f t="shared" ref="AI18:BN18" si="21">IF(AND(AI4&gt;0,AI10&lt;0),1,0)</f>
        <v>0</v>
      </c>
      <c r="AJ18" s="12">
        <f t="shared" si="21"/>
        <v>0</v>
      </c>
      <c r="AK18" s="12">
        <f t="shared" si="21"/>
        <v>0</v>
      </c>
      <c r="AL18" s="12">
        <f t="shared" si="21"/>
        <v>0</v>
      </c>
      <c r="AM18" s="12">
        <f t="shared" si="21"/>
        <v>0</v>
      </c>
      <c r="AN18" s="12">
        <f t="shared" si="21"/>
        <v>0</v>
      </c>
      <c r="AO18" s="12">
        <f t="shared" si="21"/>
        <v>0</v>
      </c>
      <c r="AP18" s="12">
        <f t="shared" si="21"/>
        <v>0</v>
      </c>
      <c r="AQ18" s="12">
        <f t="shared" si="21"/>
        <v>0</v>
      </c>
      <c r="AR18" s="12">
        <f t="shared" si="21"/>
        <v>0</v>
      </c>
      <c r="AS18" s="12">
        <f t="shared" si="21"/>
        <v>0</v>
      </c>
      <c r="AT18" s="12">
        <f t="shared" si="21"/>
        <v>0</v>
      </c>
      <c r="AU18" s="12">
        <f t="shared" si="21"/>
        <v>0</v>
      </c>
      <c r="AV18" s="12">
        <f t="shared" si="21"/>
        <v>0</v>
      </c>
      <c r="AW18" s="12">
        <f t="shared" si="21"/>
        <v>0</v>
      </c>
      <c r="AX18" s="12">
        <f t="shared" si="21"/>
        <v>0</v>
      </c>
      <c r="AY18" s="12">
        <f t="shared" si="21"/>
        <v>0</v>
      </c>
      <c r="AZ18" s="12">
        <f t="shared" si="21"/>
        <v>0</v>
      </c>
      <c r="BA18" s="12">
        <f t="shared" si="21"/>
        <v>0</v>
      </c>
      <c r="BB18" s="12">
        <f t="shared" si="21"/>
        <v>0</v>
      </c>
      <c r="BC18" s="12">
        <f t="shared" si="21"/>
        <v>0</v>
      </c>
      <c r="BD18" s="12">
        <f t="shared" si="21"/>
        <v>0</v>
      </c>
      <c r="BE18" s="12">
        <f t="shared" si="21"/>
        <v>0</v>
      </c>
      <c r="BF18" s="12">
        <f t="shared" si="21"/>
        <v>0</v>
      </c>
      <c r="BG18" s="12">
        <f t="shared" si="21"/>
        <v>0</v>
      </c>
      <c r="BH18" s="12">
        <f t="shared" si="21"/>
        <v>0</v>
      </c>
      <c r="BI18" s="12">
        <f t="shared" si="21"/>
        <v>0</v>
      </c>
      <c r="BJ18" s="12">
        <f t="shared" si="21"/>
        <v>0</v>
      </c>
      <c r="BK18" s="12">
        <f t="shared" si="21"/>
        <v>0</v>
      </c>
      <c r="BL18" s="12">
        <f t="shared" si="21"/>
        <v>0</v>
      </c>
      <c r="BM18" s="12">
        <f t="shared" si="21"/>
        <v>0</v>
      </c>
      <c r="BN18" s="12">
        <f t="shared" si="21"/>
        <v>0</v>
      </c>
      <c r="BO18" s="12">
        <f t="shared" ref="BO18:CT18" si="22">IF(AND(BO4&gt;0,BO10&lt;0),1,0)</f>
        <v>0</v>
      </c>
      <c r="BP18" s="12">
        <f t="shared" si="22"/>
        <v>0</v>
      </c>
      <c r="BQ18" s="12">
        <f t="shared" si="22"/>
        <v>0</v>
      </c>
      <c r="BR18" s="12">
        <f t="shared" si="22"/>
        <v>0</v>
      </c>
      <c r="BS18" s="12">
        <f t="shared" si="22"/>
        <v>0</v>
      </c>
      <c r="BT18" s="12">
        <f t="shared" si="22"/>
        <v>0</v>
      </c>
      <c r="BU18" s="12">
        <f t="shared" si="22"/>
        <v>0</v>
      </c>
      <c r="BV18" s="12">
        <f t="shared" si="22"/>
        <v>0</v>
      </c>
      <c r="BW18" s="12">
        <f t="shared" si="22"/>
        <v>1</v>
      </c>
      <c r="BX18" s="12">
        <f t="shared" si="22"/>
        <v>0</v>
      </c>
      <c r="BY18" s="12">
        <f t="shared" si="22"/>
        <v>0</v>
      </c>
      <c r="BZ18" s="12">
        <f t="shared" si="22"/>
        <v>0</v>
      </c>
      <c r="CA18" s="12">
        <f t="shared" si="22"/>
        <v>0</v>
      </c>
      <c r="CB18" s="12">
        <f t="shared" si="22"/>
        <v>0</v>
      </c>
      <c r="CC18" s="12">
        <f t="shared" si="22"/>
        <v>0</v>
      </c>
      <c r="CD18" s="12">
        <f t="shared" si="22"/>
        <v>0</v>
      </c>
      <c r="CE18" s="12">
        <f t="shared" si="22"/>
        <v>0</v>
      </c>
      <c r="CF18" s="12">
        <f t="shared" si="22"/>
        <v>0</v>
      </c>
      <c r="CG18" s="12">
        <f t="shared" si="22"/>
        <v>0</v>
      </c>
      <c r="CH18" s="12">
        <f t="shared" si="22"/>
        <v>0</v>
      </c>
      <c r="CI18" s="12">
        <f t="shared" si="22"/>
        <v>0</v>
      </c>
      <c r="CJ18" s="12">
        <f t="shared" si="22"/>
        <v>0</v>
      </c>
      <c r="CK18" s="12">
        <f t="shared" si="22"/>
        <v>0</v>
      </c>
      <c r="CL18" s="12">
        <f t="shared" si="22"/>
        <v>0</v>
      </c>
      <c r="CM18" s="12">
        <f t="shared" si="22"/>
        <v>0</v>
      </c>
      <c r="CN18" s="12">
        <f t="shared" si="22"/>
        <v>0</v>
      </c>
      <c r="CO18" s="12">
        <f t="shared" si="22"/>
        <v>0</v>
      </c>
      <c r="CP18" s="12">
        <f t="shared" si="22"/>
        <v>1</v>
      </c>
      <c r="CQ18" s="12">
        <f t="shared" si="22"/>
        <v>0</v>
      </c>
      <c r="CR18" s="12">
        <f t="shared" si="22"/>
        <v>0</v>
      </c>
      <c r="CS18" s="12">
        <f t="shared" si="22"/>
        <v>0</v>
      </c>
      <c r="CT18" s="12">
        <f t="shared" si="22"/>
        <v>0</v>
      </c>
      <c r="CU18" s="12">
        <f t="shared" ref="CU18:DZ18" si="23">IF(AND(CU4&gt;0,CU10&lt;0),1,0)</f>
        <v>0</v>
      </c>
      <c r="CV18" s="12">
        <f t="shared" si="23"/>
        <v>0</v>
      </c>
      <c r="CW18" s="12">
        <f t="shared" si="23"/>
        <v>0</v>
      </c>
      <c r="CX18" s="12">
        <f t="shared" si="23"/>
        <v>0</v>
      </c>
      <c r="CY18" s="12">
        <f t="shared" si="23"/>
        <v>0</v>
      </c>
      <c r="CZ18" s="12">
        <f t="shared" si="23"/>
        <v>0</v>
      </c>
      <c r="DA18" s="12">
        <f t="shared" si="23"/>
        <v>0</v>
      </c>
      <c r="DB18" s="12">
        <f t="shared" si="23"/>
        <v>0</v>
      </c>
      <c r="DC18" s="12">
        <f t="shared" si="23"/>
        <v>0</v>
      </c>
      <c r="DD18" s="12">
        <f t="shared" si="23"/>
        <v>0</v>
      </c>
      <c r="DE18" s="12">
        <f t="shared" si="23"/>
        <v>0</v>
      </c>
      <c r="DF18" s="12">
        <f t="shared" si="23"/>
        <v>0</v>
      </c>
      <c r="DG18" s="12">
        <f t="shared" si="23"/>
        <v>0</v>
      </c>
      <c r="DH18" s="12">
        <f t="shared" si="23"/>
        <v>0</v>
      </c>
      <c r="DI18" s="12">
        <f t="shared" si="23"/>
        <v>0</v>
      </c>
      <c r="DJ18" s="12">
        <f t="shared" si="23"/>
        <v>0</v>
      </c>
      <c r="DK18" s="12">
        <f t="shared" si="23"/>
        <v>0</v>
      </c>
      <c r="DL18" s="12">
        <f t="shared" si="23"/>
        <v>0</v>
      </c>
      <c r="DM18" s="12">
        <f t="shared" si="23"/>
        <v>0</v>
      </c>
      <c r="DN18" s="12">
        <f t="shared" si="23"/>
        <v>0</v>
      </c>
      <c r="DO18" s="12">
        <f t="shared" si="23"/>
        <v>0</v>
      </c>
      <c r="DP18" s="12">
        <f t="shared" si="23"/>
        <v>0</v>
      </c>
      <c r="DQ18" s="12">
        <f t="shared" si="23"/>
        <v>0</v>
      </c>
      <c r="DR18" s="12">
        <f t="shared" si="23"/>
        <v>0</v>
      </c>
      <c r="DS18" s="12">
        <f t="shared" si="23"/>
        <v>0</v>
      </c>
      <c r="DT18" s="12">
        <f t="shared" si="23"/>
        <v>0</v>
      </c>
      <c r="DU18" s="12">
        <f t="shared" si="23"/>
        <v>0</v>
      </c>
      <c r="DV18" s="12">
        <f t="shared" si="23"/>
        <v>0</v>
      </c>
      <c r="DW18" s="12">
        <f t="shared" si="23"/>
        <v>0</v>
      </c>
      <c r="DX18" s="12">
        <f t="shared" si="23"/>
        <v>0</v>
      </c>
      <c r="DY18" s="12">
        <f t="shared" si="23"/>
        <v>0</v>
      </c>
      <c r="DZ18" s="12">
        <f t="shared" si="23"/>
        <v>0</v>
      </c>
      <c r="EA18" s="12">
        <f t="shared" ref="EA18:EL18" si="24">IF(AND(EA4&gt;0,EA10&lt;0),1,0)</f>
        <v>0</v>
      </c>
      <c r="EB18" s="12">
        <f t="shared" si="24"/>
        <v>0</v>
      </c>
      <c r="EC18" s="12">
        <f t="shared" si="24"/>
        <v>0</v>
      </c>
      <c r="ED18" s="12">
        <f t="shared" si="24"/>
        <v>0</v>
      </c>
      <c r="EE18" s="12">
        <f t="shared" si="24"/>
        <v>0</v>
      </c>
      <c r="EF18" s="12">
        <f t="shared" si="24"/>
        <v>0</v>
      </c>
      <c r="EG18" s="12">
        <f t="shared" si="24"/>
        <v>0</v>
      </c>
      <c r="EH18" s="12">
        <f t="shared" si="24"/>
        <v>0</v>
      </c>
      <c r="EI18" s="12">
        <f t="shared" si="24"/>
        <v>0</v>
      </c>
      <c r="EJ18" s="12">
        <f t="shared" si="24"/>
        <v>0</v>
      </c>
      <c r="EK18" s="12">
        <f t="shared" si="24"/>
        <v>0</v>
      </c>
      <c r="EL18" s="12">
        <f t="shared" si="24"/>
        <v>0</v>
      </c>
    </row>
    <row r="19" spans="1:142" ht="25" customHeight="1" x14ac:dyDescent="0.55000000000000004">
      <c r="B19" s="14" t="s">
        <v>145</v>
      </c>
      <c r="C19" s="12">
        <f t="shared" ref="C19:AH19" si="25">IF(AND(C5&gt;0,C11&lt;0),1,0)</f>
        <v>0</v>
      </c>
      <c r="D19" s="12">
        <f t="shared" si="25"/>
        <v>0</v>
      </c>
      <c r="E19" s="12">
        <f t="shared" si="25"/>
        <v>1</v>
      </c>
      <c r="F19" s="12">
        <f t="shared" si="25"/>
        <v>1</v>
      </c>
      <c r="G19" s="12">
        <f t="shared" si="25"/>
        <v>1</v>
      </c>
      <c r="H19" s="12">
        <f t="shared" si="25"/>
        <v>1</v>
      </c>
      <c r="I19" s="12">
        <f t="shared" si="25"/>
        <v>0</v>
      </c>
      <c r="J19" s="12">
        <f t="shared" si="25"/>
        <v>0</v>
      </c>
      <c r="K19" s="12">
        <f t="shared" si="25"/>
        <v>0</v>
      </c>
      <c r="L19" s="12">
        <f t="shared" si="25"/>
        <v>1</v>
      </c>
      <c r="M19" s="12">
        <f t="shared" si="25"/>
        <v>1</v>
      </c>
      <c r="N19" s="12">
        <f t="shared" si="25"/>
        <v>0</v>
      </c>
      <c r="O19" s="12">
        <f t="shared" si="25"/>
        <v>0</v>
      </c>
      <c r="P19" s="12">
        <f t="shared" si="25"/>
        <v>1</v>
      </c>
      <c r="Q19" s="12">
        <f t="shared" si="25"/>
        <v>1</v>
      </c>
      <c r="R19" s="12">
        <f t="shared" si="25"/>
        <v>0</v>
      </c>
      <c r="S19" s="12">
        <f t="shared" si="25"/>
        <v>0</v>
      </c>
      <c r="T19" s="12">
        <f t="shared" si="25"/>
        <v>1</v>
      </c>
      <c r="U19" s="12">
        <f t="shared" si="25"/>
        <v>1</v>
      </c>
      <c r="V19" s="12">
        <f t="shared" si="25"/>
        <v>0</v>
      </c>
      <c r="W19" s="12">
        <f t="shared" si="25"/>
        <v>0</v>
      </c>
      <c r="X19" s="12">
        <f t="shared" si="25"/>
        <v>1</v>
      </c>
      <c r="Y19" s="12">
        <f t="shared" si="25"/>
        <v>1</v>
      </c>
      <c r="Z19" s="12">
        <f t="shared" si="25"/>
        <v>1</v>
      </c>
      <c r="AA19" s="12">
        <f t="shared" si="25"/>
        <v>0</v>
      </c>
      <c r="AB19" s="12">
        <f t="shared" si="25"/>
        <v>1</v>
      </c>
      <c r="AC19" s="12">
        <f t="shared" si="25"/>
        <v>1</v>
      </c>
      <c r="AD19" s="12">
        <f t="shared" si="25"/>
        <v>0</v>
      </c>
      <c r="AE19" s="12">
        <f t="shared" si="25"/>
        <v>1</v>
      </c>
      <c r="AF19" s="12">
        <f t="shared" si="25"/>
        <v>1</v>
      </c>
      <c r="AG19" s="12">
        <f t="shared" si="25"/>
        <v>0</v>
      </c>
      <c r="AH19" s="12">
        <f t="shared" si="25"/>
        <v>1</v>
      </c>
      <c r="AI19" s="12">
        <f t="shared" ref="AI19:BN19" si="26">IF(AND(AI5&gt;0,AI11&lt;0),1,0)</f>
        <v>0</v>
      </c>
      <c r="AJ19" s="12">
        <f t="shared" si="26"/>
        <v>1</v>
      </c>
      <c r="AK19" s="12">
        <f t="shared" si="26"/>
        <v>1</v>
      </c>
      <c r="AL19" s="12">
        <f t="shared" si="26"/>
        <v>1</v>
      </c>
      <c r="AM19" s="12">
        <f t="shared" si="26"/>
        <v>1</v>
      </c>
      <c r="AN19" s="12">
        <f t="shared" si="26"/>
        <v>0</v>
      </c>
      <c r="AO19" s="12">
        <f t="shared" si="26"/>
        <v>1</v>
      </c>
      <c r="AP19" s="12">
        <f t="shared" si="26"/>
        <v>0</v>
      </c>
      <c r="AQ19" s="12">
        <f t="shared" si="26"/>
        <v>0</v>
      </c>
      <c r="AR19" s="12">
        <f t="shared" si="26"/>
        <v>1</v>
      </c>
      <c r="AS19" s="12">
        <f t="shared" si="26"/>
        <v>1</v>
      </c>
      <c r="AT19" s="12">
        <f t="shared" si="26"/>
        <v>1</v>
      </c>
      <c r="AU19" s="12">
        <f t="shared" si="26"/>
        <v>0</v>
      </c>
      <c r="AV19" s="12">
        <f t="shared" si="26"/>
        <v>1</v>
      </c>
      <c r="AW19" s="12">
        <f t="shared" si="26"/>
        <v>1</v>
      </c>
      <c r="AX19" s="12">
        <f t="shared" si="26"/>
        <v>1</v>
      </c>
      <c r="AY19" s="12">
        <f t="shared" si="26"/>
        <v>0</v>
      </c>
      <c r="AZ19" s="12">
        <f t="shared" si="26"/>
        <v>0</v>
      </c>
      <c r="BA19" s="12">
        <f t="shared" si="26"/>
        <v>0</v>
      </c>
      <c r="BB19" s="12">
        <f t="shared" si="26"/>
        <v>0</v>
      </c>
      <c r="BC19" s="12">
        <f t="shared" si="26"/>
        <v>0</v>
      </c>
      <c r="BD19" s="12">
        <f t="shared" si="26"/>
        <v>0</v>
      </c>
      <c r="BE19" s="12">
        <f t="shared" si="26"/>
        <v>0</v>
      </c>
      <c r="BF19" s="12">
        <f t="shared" si="26"/>
        <v>0</v>
      </c>
      <c r="BG19" s="12">
        <f t="shared" si="26"/>
        <v>1</v>
      </c>
      <c r="BH19" s="12">
        <f t="shared" si="26"/>
        <v>0</v>
      </c>
      <c r="BI19" s="12">
        <f t="shared" si="26"/>
        <v>0</v>
      </c>
      <c r="BJ19" s="12">
        <f t="shared" si="26"/>
        <v>0</v>
      </c>
      <c r="BK19" s="12">
        <f t="shared" si="26"/>
        <v>0</v>
      </c>
      <c r="BL19" s="12">
        <f t="shared" si="26"/>
        <v>0</v>
      </c>
      <c r="BM19" s="12">
        <f t="shared" si="26"/>
        <v>0</v>
      </c>
      <c r="BN19" s="12">
        <f t="shared" si="26"/>
        <v>0</v>
      </c>
      <c r="BO19" s="12">
        <f t="shared" ref="BO19:CT19" si="27">IF(AND(BO5&gt;0,BO11&lt;0),1,0)</f>
        <v>0</v>
      </c>
      <c r="BP19" s="12">
        <f t="shared" si="27"/>
        <v>0</v>
      </c>
      <c r="BQ19" s="12">
        <f t="shared" si="27"/>
        <v>1</v>
      </c>
      <c r="BR19" s="12">
        <f t="shared" si="27"/>
        <v>1</v>
      </c>
      <c r="BS19" s="12">
        <f t="shared" si="27"/>
        <v>1</v>
      </c>
      <c r="BT19" s="12">
        <f t="shared" si="27"/>
        <v>0</v>
      </c>
      <c r="BU19" s="12">
        <f t="shared" si="27"/>
        <v>0</v>
      </c>
      <c r="BV19" s="12">
        <f t="shared" si="27"/>
        <v>1</v>
      </c>
      <c r="BW19" s="12">
        <f t="shared" si="27"/>
        <v>0</v>
      </c>
      <c r="BX19" s="12">
        <f t="shared" si="27"/>
        <v>0</v>
      </c>
      <c r="BY19" s="12">
        <f t="shared" si="27"/>
        <v>0</v>
      </c>
      <c r="BZ19" s="12">
        <f t="shared" si="27"/>
        <v>1</v>
      </c>
      <c r="CA19" s="12">
        <f t="shared" si="27"/>
        <v>0</v>
      </c>
      <c r="CB19" s="12">
        <f t="shared" si="27"/>
        <v>1</v>
      </c>
      <c r="CC19" s="12">
        <f t="shared" si="27"/>
        <v>1</v>
      </c>
      <c r="CD19" s="12">
        <f t="shared" si="27"/>
        <v>1</v>
      </c>
      <c r="CE19" s="12">
        <f t="shared" si="27"/>
        <v>0</v>
      </c>
      <c r="CF19" s="12">
        <f t="shared" si="27"/>
        <v>0</v>
      </c>
      <c r="CG19" s="12">
        <f t="shared" si="27"/>
        <v>0</v>
      </c>
      <c r="CH19" s="12">
        <f t="shared" si="27"/>
        <v>0</v>
      </c>
      <c r="CI19" s="12">
        <f t="shared" si="27"/>
        <v>0</v>
      </c>
      <c r="CJ19" s="12">
        <f t="shared" si="27"/>
        <v>0</v>
      </c>
      <c r="CK19" s="12">
        <f t="shared" si="27"/>
        <v>0</v>
      </c>
      <c r="CL19" s="12">
        <f t="shared" si="27"/>
        <v>0</v>
      </c>
      <c r="CM19" s="12">
        <f t="shared" si="27"/>
        <v>0</v>
      </c>
      <c r="CN19" s="12">
        <f t="shared" si="27"/>
        <v>0</v>
      </c>
      <c r="CO19" s="12">
        <f t="shared" si="27"/>
        <v>0</v>
      </c>
      <c r="CP19" s="12">
        <f t="shared" si="27"/>
        <v>0</v>
      </c>
      <c r="CQ19" s="12">
        <f t="shared" si="27"/>
        <v>1</v>
      </c>
      <c r="CR19" s="12">
        <f t="shared" si="27"/>
        <v>1</v>
      </c>
      <c r="CS19" s="12">
        <f t="shared" si="27"/>
        <v>0</v>
      </c>
      <c r="CT19" s="12">
        <f t="shared" si="27"/>
        <v>0</v>
      </c>
      <c r="CU19" s="12">
        <f t="shared" ref="CU19:DZ19" si="28">IF(AND(CU5&gt;0,CU11&lt;0),1,0)</f>
        <v>0</v>
      </c>
      <c r="CV19" s="12">
        <f t="shared" si="28"/>
        <v>1</v>
      </c>
      <c r="CW19" s="12">
        <f t="shared" si="28"/>
        <v>0</v>
      </c>
      <c r="CX19" s="12">
        <f t="shared" si="28"/>
        <v>0</v>
      </c>
      <c r="CY19" s="12">
        <f t="shared" si="28"/>
        <v>0</v>
      </c>
      <c r="CZ19" s="12">
        <f t="shared" si="28"/>
        <v>0</v>
      </c>
      <c r="DA19" s="12">
        <f t="shared" si="28"/>
        <v>0</v>
      </c>
      <c r="DB19" s="12">
        <f t="shared" si="28"/>
        <v>0</v>
      </c>
      <c r="DC19" s="12">
        <f t="shared" si="28"/>
        <v>0</v>
      </c>
      <c r="DD19" s="12">
        <f t="shared" si="28"/>
        <v>0</v>
      </c>
      <c r="DE19" s="12">
        <f t="shared" si="28"/>
        <v>1</v>
      </c>
      <c r="DF19" s="12">
        <f t="shared" si="28"/>
        <v>0</v>
      </c>
      <c r="DG19" s="12">
        <f t="shared" si="28"/>
        <v>0</v>
      </c>
      <c r="DH19" s="12">
        <f t="shared" si="28"/>
        <v>1</v>
      </c>
      <c r="DI19" s="12">
        <f t="shared" si="28"/>
        <v>0</v>
      </c>
      <c r="DJ19" s="12">
        <f t="shared" si="28"/>
        <v>1</v>
      </c>
      <c r="DK19" s="12">
        <f t="shared" si="28"/>
        <v>1</v>
      </c>
      <c r="DL19" s="12">
        <f t="shared" si="28"/>
        <v>0</v>
      </c>
      <c r="DM19" s="12">
        <f t="shared" si="28"/>
        <v>1</v>
      </c>
      <c r="DN19" s="12">
        <f t="shared" si="28"/>
        <v>1</v>
      </c>
      <c r="DO19" s="12">
        <f t="shared" si="28"/>
        <v>0</v>
      </c>
      <c r="DP19" s="12">
        <f t="shared" si="28"/>
        <v>0</v>
      </c>
      <c r="DQ19" s="12">
        <f t="shared" si="28"/>
        <v>0</v>
      </c>
      <c r="DR19" s="12">
        <f t="shared" si="28"/>
        <v>0</v>
      </c>
      <c r="DS19" s="12">
        <f t="shared" si="28"/>
        <v>0</v>
      </c>
      <c r="DT19" s="12">
        <f t="shared" si="28"/>
        <v>0</v>
      </c>
      <c r="DU19" s="12">
        <f t="shared" si="28"/>
        <v>0</v>
      </c>
      <c r="DV19" s="12">
        <f t="shared" si="28"/>
        <v>1</v>
      </c>
      <c r="DW19" s="12">
        <f t="shared" si="28"/>
        <v>1</v>
      </c>
      <c r="DX19" s="12">
        <f t="shared" si="28"/>
        <v>0</v>
      </c>
      <c r="DY19" s="12">
        <f t="shared" si="28"/>
        <v>0</v>
      </c>
      <c r="DZ19" s="12">
        <f t="shared" si="28"/>
        <v>0</v>
      </c>
      <c r="EA19" s="12">
        <f t="shared" ref="EA19:EL19" si="29">IF(AND(EA5&gt;0,EA11&lt;0),1,0)</f>
        <v>0</v>
      </c>
      <c r="EB19" s="12">
        <f t="shared" si="29"/>
        <v>1</v>
      </c>
      <c r="EC19" s="12">
        <f t="shared" si="29"/>
        <v>0</v>
      </c>
      <c r="ED19" s="12">
        <f t="shared" si="29"/>
        <v>0</v>
      </c>
      <c r="EE19" s="12">
        <f t="shared" si="29"/>
        <v>1</v>
      </c>
      <c r="EF19" s="12">
        <f t="shared" si="29"/>
        <v>0</v>
      </c>
      <c r="EG19" s="12">
        <f t="shared" si="29"/>
        <v>0</v>
      </c>
      <c r="EH19" s="12">
        <f t="shared" si="29"/>
        <v>0</v>
      </c>
      <c r="EI19" s="12">
        <f t="shared" si="29"/>
        <v>0</v>
      </c>
      <c r="EJ19" s="12">
        <f t="shared" si="29"/>
        <v>0</v>
      </c>
      <c r="EK19" s="12">
        <f t="shared" si="29"/>
        <v>0</v>
      </c>
      <c r="EL19" s="12">
        <f t="shared" si="29"/>
        <v>1</v>
      </c>
    </row>
    <row r="20" spans="1:142" ht="25" customHeight="1" x14ac:dyDescent="0.55000000000000004">
      <c r="B20" s="16" t="s">
        <v>289</v>
      </c>
      <c r="C20" s="12">
        <f>SUM(C17:C19)+SUM(D17:D19)+SUM(E17:E19)+SUM(F17:F19)+SUM(G17:G19)+SUM(H17:H19)+SUM(I17:I19)+SUM(J17:J19)+SUM(K17:K19)+SUM(L17:L19)+SUM(M17:M19)+SUM(N17:N19)+SUM(O17:O19)+SUM(P17:P19)+SUM(Q17:Q19)+SUM(R17:R19)+SUM(S17:S19)+SUM(T17:T19)+SUM(U17:U19)+SUM(V17:V19)+SUM(W17:W19)+SUM(X17:X19)+SUM(Y17:Y19)+SUM(Z17:Z19)+SUM(AA17:AA19)+SUM(AB17:AB19)+SUM(AC17:AC19)+SUM(AD17:AD19)+SUM(AE17:AE19)+SUM(AF17:AF19)+SUM(AG17:AG19)+SUM(AH17:AH19)+SUM(AI17:AI19)+SUM(AJ17:AJ19)+SUM(AK17:AK19)+SUM(AL17:AL19)+SUM(AM17:AM19)+SUM(AN17:AN19)+SUM(AO17:AO19)+SUM(AP17:AP19)+SUM(AQ17:AQ19)+SUM(AR17:AR19)+SUM(AS17:AS19)+SUM(AT17:AT19)+SUM(AU17:AU19)+SUM(AV17:AV19)+SUM(AW17:AW19)+SUM(AX17:AX19)+SUM(AY17:AY19)+SUM(AZ17:AZ19)+SUM(BA17:BA19)+SUM(BB17:BB19)+SUM(BC17:BC19)+SUM(BD17:BD19)+SUM(BE17:BE19)+SUM(BF17:BF19)+SUM(BG17:BG19)+SUM(BH17:BH19)+SUM(BI17:BI19)+SUM(BJ17:BJ19)+SUM(BK17:BK19)+SUM(BL17:BL19)+SUM(BM17:BM19)+SUM(BN17:BN19)+SUM(BO17:BO19)+SUM(BP17:BP19)+SUM(BQ17:BQ19)+SUM(BR17:BR19)+SUM(BS17:BS19)+SUM(BT17:BT19)+SUM(BU17:BU19)+SUM(BV17:BV19)+SUM(BW17:BW19)+SUM(BX17:BX19)+SUM(BY17:BY19)+SUM(BZ17:BZ19)+SUM(CA17:CA19)+SUM(CB17:CB19)+SUM(CC17:CC19)+SUM(CD17:CD19)+SUM(CE17:CE19)+SUM(CF17:CF19)+SUM(CG17:CG19)+SUM(CH17:CH19)+SUM(CI17:CI19)+SUM(CJ17:CJ19)+SUM(CK17:CK19)+SUM(CL17:CL19)+SUM(CM17:CM19)+SUM(CN17:CN19)+SUM(CO17:CO19)+SUM(CP17:CP19)+SUM(CQ17:CQ19)+SUM(CR17:CR19)+SUM(CS17:CS19)+SUM(CT17:CT19)+SUM(CU17:CU19)+SUM(CV17:CV19)+SUM(CW17:CW19)+SUM(CX17:CX19)+SUM(CY17:CY19)+SUM(CZ17:CZ19)+SUM(DA17:DA19)+SUM(DB17:DB19)+SUM(DC17:DC19)+SUM(DD17:DD19)+SUM(DE17:DE19)+SUM(DF17:DF19)+SUM(DG17:DG19)+SUM(DH17:DH19)+SUM(DI17:DI19)+SUM(DJ17:DJ19)+SUM(DK17:DK19)+SUM(DL17:DL19)+SUM(DM17:DM19)+SUM(DN17:DN19)+SUM(DO17:DO19)+SUM(DP17:DP19)+SUM(DQ17:DQ19)+SUM(DR17:DR19)+SUM(DS17:DS19)+SUM(DT17:DT19)+SUM(DU17:DU19)+SUM(DV17:DV19)+SUM(DW17:DW19)+SUM(DX17:DX19)+SUM(DY17:DY19)+SUM(DZ17:DZ19)+SUM(EA17:EA19)+SUM(EB17:EB19)+SUM(EC17:EC19)+SUM(ED17:ED19)+SUM(EE17:EE19)+SUM(EF17:EF19)+SUM(EG17:EG19)+SUM(EH17:EH19)+SUM(EI17:EI19)+SUM(EJ17:EJ19)+SUM(EK17:EK19)+SUM(EL17:EL19)</f>
        <v>93</v>
      </c>
    </row>
    <row r="21" spans="1:142" ht="25" customHeight="1" x14ac:dyDescent="0.55000000000000004">
      <c r="A21" s="12" t="s">
        <v>291</v>
      </c>
      <c r="B21" s="11" t="s">
        <v>143</v>
      </c>
      <c r="C21" s="12">
        <f t="shared" ref="C21:AH21" si="30">IF(AND(C3&lt;0,C9&gt;0),1,0)</f>
        <v>0</v>
      </c>
      <c r="D21" s="12">
        <f t="shared" si="30"/>
        <v>0</v>
      </c>
      <c r="E21" s="12">
        <f t="shared" si="30"/>
        <v>0</v>
      </c>
      <c r="F21" s="12">
        <f t="shared" si="30"/>
        <v>0</v>
      </c>
      <c r="G21" s="12">
        <f t="shared" si="30"/>
        <v>0</v>
      </c>
      <c r="H21" s="12">
        <f t="shared" si="30"/>
        <v>0</v>
      </c>
      <c r="I21" s="12">
        <f t="shared" si="30"/>
        <v>0</v>
      </c>
      <c r="J21" s="12">
        <f t="shared" si="30"/>
        <v>0</v>
      </c>
      <c r="K21" s="12">
        <f t="shared" si="30"/>
        <v>0</v>
      </c>
      <c r="L21" s="12">
        <f t="shared" si="30"/>
        <v>0</v>
      </c>
      <c r="M21" s="12">
        <f t="shared" si="30"/>
        <v>0</v>
      </c>
      <c r="N21" s="12">
        <f t="shared" si="30"/>
        <v>0</v>
      </c>
      <c r="O21" s="12">
        <f t="shared" si="30"/>
        <v>0</v>
      </c>
      <c r="P21" s="12">
        <f t="shared" si="30"/>
        <v>0</v>
      </c>
      <c r="Q21" s="12">
        <f t="shared" si="30"/>
        <v>0</v>
      </c>
      <c r="R21" s="12">
        <f t="shared" si="30"/>
        <v>0</v>
      </c>
      <c r="S21" s="12">
        <f t="shared" si="30"/>
        <v>0</v>
      </c>
      <c r="T21" s="12">
        <f t="shared" si="30"/>
        <v>0</v>
      </c>
      <c r="U21" s="12">
        <f t="shared" si="30"/>
        <v>0</v>
      </c>
      <c r="V21" s="12">
        <f t="shared" si="30"/>
        <v>0</v>
      </c>
      <c r="W21" s="12">
        <f t="shared" si="30"/>
        <v>0</v>
      </c>
      <c r="X21" s="12">
        <f t="shared" si="30"/>
        <v>0</v>
      </c>
      <c r="Y21" s="12">
        <f t="shared" si="30"/>
        <v>0</v>
      </c>
      <c r="Z21" s="12">
        <f t="shared" si="30"/>
        <v>0</v>
      </c>
      <c r="AA21" s="12">
        <f t="shared" si="30"/>
        <v>0</v>
      </c>
      <c r="AB21" s="12">
        <f t="shared" si="30"/>
        <v>0</v>
      </c>
      <c r="AC21" s="12">
        <f t="shared" si="30"/>
        <v>0</v>
      </c>
      <c r="AD21" s="12">
        <f t="shared" si="30"/>
        <v>0</v>
      </c>
      <c r="AE21" s="12">
        <f t="shared" si="30"/>
        <v>0</v>
      </c>
      <c r="AF21" s="12">
        <f t="shared" si="30"/>
        <v>0</v>
      </c>
      <c r="AG21" s="12">
        <f t="shared" si="30"/>
        <v>0</v>
      </c>
      <c r="AH21" s="12">
        <f t="shared" si="30"/>
        <v>0</v>
      </c>
      <c r="AI21" s="12">
        <f t="shared" ref="AI21:BN21" si="31">IF(AND(AI3&lt;0,AI9&gt;0),1,0)</f>
        <v>0</v>
      </c>
      <c r="AJ21" s="12">
        <f t="shared" si="31"/>
        <v>0</v>
      </c>
      <c r="AK21" s="12">
        <f t="shared" si="31"/>
        <v>0</v>
      </c>
      <c r="AL21" s="12">
        <f t="shared" si="31"/>
        <v>0</v>
      </c>
      <c r="AM21" s="12">
        <f t="shared" si="31"/>
        <v>0</v>
      </c>
      <c r="AN21" s="12">
        <f t="shared" si="31"/>
        <v>0</v>
      </c>
      <c r="AO21" s="12">
        <f t="shared" si="31"/>
        <v>0</v>
      </c>
      <c r="AP21" s="12">
        <f t="shared" si="31"/>
        <v>0</v>
      </c>
      <c r="AQ21" s="12">
        <f t="shared" si="31"/>
        <v>0</v>
      </c>
      <c r="AR21" s="12">
        <f t="shared" si="31"/>
        <v>0</v>
      </c>
      <c r="AS21" s="12">
        <f t="shared" si="31"/>
        <v>0</v>
      </c>
      <c r="AT21" s="12">
        <f t="shared" si="31"/>
        <v>0</v>
      </c>
      <c r="AU21" s="12">
        <f t="shared" si="31"/>
        <v>0</v>
      </c>
      <c r="AV21" s="12">
        <f t="shared" si="31"/>
        <v>0</v>
      </c>
      <c r="AW21" s="12">
        <f t="shared" si="31"/>
        <v>0</v>
      </c>
      <c r="AX21" s="12">
        <f t="shared" si="31"/>
        <v>0</v>
      </c>
      <c r="AY21" s="12">
        <f t="shared" si="31"/>
        <v>0</v>
      </c>
      <c r="AZ21" s="12">
        <f t="shared" si="31"/>
        <v>0</v>
      </c>
      <c r="BA21" s="12">
        <f t="shared" si="31"/>
        <v>0</v>
      </c>
      <c r="BB21" s="12">
        <f t="shared" si="31"/>
        <v>0</v>
      </c>
      <c r="BC21" s="12">
        <f t="shared" si="31"/>
        <v>0</v>
      </c>
      <c r="BD21" s="12">
        <f t="shared" si="31"/>
        <v>0</v>
      </c>
      <c r="BE21" s="12">
        <f t="shared" si="31"/>
        <v>0</v>
      </c>
      <c r="BF21" s="12">
        <f t="shared" si="31"/>
        <v>0</v>
      </c>
      <c r="BG21" s="12">
        <f t="shared" si="31"/>
        <v>0</v>
      </c>
      <c r="BH21" s="12">
        <f t="shared" si="31"/>
        <v>0</v>
      </c>
      <c r="BI21" s="12">
        <f t="shared" si="31"/>
        <v>0</v>
      </c>
      <c r="BJ21" s="12">
        <f t="shared" si="31"/>
        <v>0</v>
      </c>
      <c r="BK21" s="12">
        <f t="shared" si="31"/>
        <v>0</v>
      </c>
      <c r="BL21" s="12">
        <f t="shared" si="31"/>
        <v>0</v>
      </c>
      <c r="BM21" s="12">
        <f t="shared" si="31"/>
        <v>0</v>
      </c>
      <c r="BN21" s="12">
        <f t="shared" si="31"/>
        <v>0</v>
      </c>
      <c r="BO21" s="12">
        <f t="shared" ref="BO21:CT21" si="32">IF(AND(BO3&lt;0,BO9&gt;0),1,0)</f>
        <v>0</v>
      </c>
      <c r="BP21" s="12">
        <f t="shared" si="32"/>
        <v>0</v>
      </c>
      <c r="BQ21" s="12">
        <f t="shared" si="32"/>
        <v>0</v>
      </c>
      <c r="BR21" s="12">
        <f t="shared" si="32"/>
        <v>0</v>
      </c>
      <c r="BS21" s="12">
        <f t="shared" si="32"/>
        <v>0</v>
      </c>
      <c r="BT21" s="12">
        <f t="shared" si="32"/>
        <v>0</v>
      </c>
      <c r="BU21" s="12">
        <f t="shared" si="32"/>
        <v>0</v>
      </c>
      <c r="BV21" s="12">
        <f t="shared" si="32"/>
        <v>0</v>
      </c>
      <c r="BW21" s="12">
        <f t="shared" si="32"/>
        <v>0</v>
      </c>
      <c r="BX21" s="12">
        <f t="shared" si="32"/>
        <v>0</v>
      </c>
      <c r="BY21" s="12">
        <f t="shared" si="32"/>
        <v>0</v>
      </c>
      <c r="BZ21" s="12">
        <f t="shared" si="32"/>
        <v>0</v>
      </c>
      <c r="CA21" s="12">
        <f t="shared" si="32"/>
        <v>0</v>
      </c>
      <c r="CB21" s="12">
        <f t="shared" si="32"/>
        <v>0</v>
      </c>
      <c r="CC21" s="12">
        <f t="shared" si="32"/>
        <v>0</v>
      </c>
      <c r="CD21" s="12">
        <f t="shared" si="32"/>
        <v>0</v>
      </c>
      <c r="CE21" s="12">
        <f t="shared" si="32"/>
        <v>0</v>
      </c>
      <c r="CF21" s="12">
        <f t="shared" si="32"/>
        <v>0</v>
      </c>
      <c r="CG21" s="12">
        <f t="shared" si="32"/>
        <v>0</v>
      </c>
      <c r="CH21" s="12">
        <f t="shared" si="32"/>
        <v>0</v>
      </c>
      <c r="CI21" s="12">
        <f t="shared" si="32"/>
        <v>0</v>
      </c>
      <c r="CJ21" s="12">
        <f t="shared" si="32"/>
        <v>0</v>
      </c>
      <c r="CK21" s="12">
        <f t="shared" si="32"/>
        <v>0</v>
      </c>
      <c r="CL21" s="12">
        <f t="shared" si="32"/>
        <v>0</v>
      </c>
      <c r="CM21" s="12">
        <f t="shared" si="32"/>
        <v>0</v>
      </c>
      <c r="CN21" s="12">
        <f t="shared" si="32"/>
        <v>0</v>
      </c>
      <c r="CO21" s="12">
        <f t="shared" si="32"/>
        <v>0</v>
      </c>
      <c r="CP21" s="12">
        <f t="shared" si="32"/>
        <v>0</v>
      </c>
      <c r="CQ21" s="12">
        <f t="shared" si="32"/>
        <v>0</v>
      </c>
      <c r="CR21" s="12">
        <f t="shared" si="32"/>
        <v>0</v>
      </c>
      <c r="CS21" s="12">
        <f t="shared" si="32"/>
        <v>0</v>
      </c>
      <c r="CT21" s="12">
        <f t="shared" si="32"/>
        <v>0</v>
      </c>
      <c r="CU21" s="12">
        <f t="shared" ref="CU21:DZ21" si="33">IF(AND(CU3&lt;0,CU9&gt;0),1,0)</f>
        <v>0</v>
      </c>
      <c r="CV21" s="12">
        <f t="shared" si="33"/>
        <v>0</v>
      </c>
      <c r="CW21" s="12">
        <f t="shared" si="33"/>
        <v>0</v>
      </c>
      <c r="CX21" s="12">
        <f t="shared" si="33"/>
        <v>0</v>
      </c>
      <c r="CY21" s="12">
        <f t="shared" si="33"/>
        <v>0</v>
      </c>
      <c r="CZ21" s="12">
        <f t="shared" si="33"/>
        <v>0</v>
      </c>
      <c r="DA21" s="12">
        <f t="shared" si="33"/>
        <v>0</v>
      </c>
      <c r="DB21" s="12">
        <f t="shared" si="33"/>
        <v>0</v>
      </c>
      <c r="DC21" s="12">
        <f t="shared" si="33"/>
        <v>0</v>
      </c>
      <c r="DD21" s="12">
        <f t="shared" si="33"/>
        <v>0</v>
      </c>
      <c r="DE21" s="12">
        <f t="shared" si="33"/>
        <v>0</v>
      </c>
      <c r="DF21" s="12">
        <f t="shared" si="33"/>
        <v>0</v>
      </c>
      <c r="DG21" s="12">
        <f t="shared" si="33"/>
        <v>0</v>
      </c>
      <c r="DH21" s="12">
        <f t="shared" si="33"/>
        <v>0</v>
      </c>
      <c r="DI21" s="12">
        <f t="shared" si="33"/>
        <v>0</v>
      </c>
      <c r="DJ21" s="12">
        <f t="shared" si="33"/>
        <v>0</v>
      </c>
      <c r="DK21" s="12">
        <f t="shared" si="33"/>
        <v>0</v>
      </c>
      <c r="DL21" s="12">
        <f t="shared" si="33"/>
        <v>0</v>
      </c>
      <c r="DM21" s="12">
        <f t="shared" si="33"/>
        <v>0</v>
      </c>
      <c r="DN21" s="12">
        <f t="shared" si="33"/>
        <v>0</v>
      </c>
      <c r="DO21" s="12">
        <f t="shared" si="33"/>
        <v>0</v>
      </c>
      <c r="DP21" s="12">
        <f t="shared" si="33"/>
        <v>0</v>
      </c>
      <c r="DQ21" s="12">
        <f t="shared" si="33"/>
        <v>0</v>
      </c>
      <c r="DR21" s="12">
        <f t="shared" si="33"/>
        <v>0</v>
      </c>
      <c r="DS21" s="12">
        <f t="shared" si="33"/>
        <v>0</v>
      </c>
      <c r="DT21" s="12">
        <f t="shared" si="33"/>
        <v>0</v>
      </c>
      <c r="DU21" s="12">
        <f t="shared" si="33"/>
        <v>0</v>
      </c>
      <c r="DV21" s="12">
        <f t="shared" si="33"/>
        <v>0</v>
      </c>
      <c r="DW21" s="12">
        <f t="shared" si="33"/>
        <v>0</v>
      </c>
      <c r="DX21" s="12">
        <f t="shared" si="33"/>
        <v>0</v>
      </c>
      <c r="DY21" s="12">
        <f t="shared" si="33"/>
        <v>0</v>
      </c>
      <c r="DZ21" s="12">
        <f t="shared" si="33"/>
        <v>0</v>
      </c>
      <c r="EA21" s="12">
        <f t="shared" ref="EA21:EL21" si="34">IF(AND(EA3&lt;0,EA9&gt;0),1,0)</f>
        <v>0</v>
      </c>
      <c r="EB21" s="12">
        <f t="shared" si="34"/>
        <v>0</v>
      </c>
      <c r="EC21" s="12">
        <f t="shared" si="34"/>
        <v>0</v>
      </c>
      <c r="ED21" s="12">
        <f t="shared" si="34"/>
        <v>0</v>
      </c>
      <c r="EE21" s="12">
        <f t="shared" si="34"/>
        <v>0</v>
      </c>
      <c r="EF21" s="12">
        <f t="shared" si="34"/>
        <v>0</v>
      </c>
      <c r="EG21" s="12">
        <f t="shared" si="34"/>
        <v>0</v>
      </c>
      <c r="EH21" s="12">
        <f t="shared" si="34"/>
        <v>0</v>
      </c>
      <c r="EI21" s="12">
        <f t="shared" si="34"/>
        <v>0</v>
      </c>
      <c r="EJ21" s="12">
        <f t="shared" si="34"/>
        <v>0</v>
      </c>
      <c r="EK21" s="12">
        <f t="shared" si="34"/>
        <v>0</v>
      </c>
      <c r="EL21" s="12">
        <f t="shared" si="34"/>
        <v>0</v>
      </c>
    </row>
    <row r="22" spans="1:142" ht="25" customHeight="1" x14ac:dyDescent="0.55000000000000004">
      <c r="A22" s="12" t="s">
        <v>292</v>
      </c>
      <c r="B22" s="11" t="s">
        <v>144</v>
      </c>
      <c r="C22" s="12">
        <f t="shared" ref="C22:AH22" si="35">IF(AND(C4&lt;0,C10&gt;0),1,0)</f>
        <v>1</v>
      </c>
      <c r="D22" s="12">
        <f t="shared" si="35"/>
        <v>1</v>
      </c>
      <c r="E22" s="12">
        <f t="shared" si="35"/>
        <v>0</v>
      </c>
      <c r="F22" s="12">
        <f t="shared" si="35"/>
        <v>0</v>
      </c>
      <c r="G22" s="12">
        <f t="shared" si="35"/>
        <v>0</v>
      </c>
      <c r="H22" s="12">
        <f t="shared" si="35"/>
        <v>0</v>
      </c>
      <c r="I22" s="12">
        <f t="shared" si="35"/>
        <v>0</v>
      </c>
      <c r="J22" s="12">
        <f t="shared" si="35"/>
        <v>0</v>
      </c>
      <c r="K22" s="12">
        <f t="shared" si="35"/>
        <v>0</v>
      </c>
      <c r="L22" s="12">
        <f t="shared" si="35"/>
        <v>1</v>
      </c>
      <c r="M22" s="12">
        <f t="shared" si="35"/>
        <v>0</v>
      </c>
      <c r="N22" s="12">
        <f t="shared" si="35"/>
        <v>1</v>
      </c>
      <c r="O22" s="12">
        <f t="shared" si="35"/>
        <v>0</v>
      </c>
      <c r="P22" s="12">
        <f t="shared" si="35"/>
        <v>1</v>
      </c>
      <c r="Q22" s="12">
        <f t="shared" si="35"/>
        <v>1</v>
      </c>
      <c r="R22" s="12">
        <f t="shared" si="35"/>
        <v>1</v>
      </c>
      <c r="S22" s="12">
        <f t="shared" si="35"/>
        <v>1</v>
      </c>
      <c r="T22" s="12">
        <f t="shared" si="35"/>
        <v>0</v>
      </c>
      <c r="U22" s="12">
        <f t="shared" si="35"/>
        <v>0</v>
      </c>
      <c r="V22" s="12">
        <f t="shared" si="35"/>
        <v>0</v>
      </c>
      <c r="W22" s="12">
        <f t="shared" si="35"/>
        <v>0</v>
      </c>
      <c r="X22" s="12">
        <f t="shared" si="35"/>
        <v>0</v>
      </c>
      <c r="Y22" s="12">
        <f t="shared" si="35"/>
        <v>1</v>
      </c>
      <c r="Z22" s="12">
        <f t="shared" si="35"/>
        <v>0</v>
      </c>
      <c r="AA22" s="12">
        <f t="shared" si="35"/>
        <v>1</v>
      </c>
      <c r="AB22" s="12">
        <f t="shared" si="35"/>
        <v>0</v>
      </c>
      <c r="AC22" s="12">
        <f t="shared" si="35"/>
        <v>0</v>
      </c>
      <c r="AD22" s="12">
        <f t="shared" si="35"/>
        <v>0</v>
      </c>
      <c r="AE22" s="12">
        <f t="shared" si="35"/>
        <v>0</v>
      </c>
      <c r="AF22" s="12">
        <f t="shared" si="35"/>
        <v>1</v>
      </c>
      <c r="AG22" s="12">
        <f t="shared" si="35"/>
        <v>0</v>
      </c>
      <c r="AH22" s="12">
        <f t="shared" si="35"/>
        <v>1</v>
      </c>
      <c r="AI22" s="12">
        <f t="shared" ref="AI22:BN22" si="36">IF(AND(AI4&lt;0,AI10&gt;0),1,0)</f>
        <v>0</v>
      </c>
      <c r="AJ22" s="12">
        <f t="shared" si="36"/>
        <v>0</v>
      </c>
      <c r="AK22" s="12">
        <f t="shared" si="36"/>
        <v>0</v>
      </c>
      <c r="AL22" s="12">
        <f t="shared" si="36"/>
        <v>0</v>
      </c>
      <c r="AM22" s="12">
        <f t="shared" si="36"/>
        <v>0</v>
      </c>
      <c r="AN22" s="12">
        <f t="shared" si="36"/>
        <v>0</v>
      </c>
      <c r="AO22" s="12">
        <f t="shared" si="36"/>
        <v>1</v>
      </c>
      <c r="AP22" s="12">
        <f t="shared" si="36"/>
        <v>0</v>
      </c>
      <c r="AQ22" s="12">
        <f t="shared" si="36"/>
        <v>0</v>
      </c>
      <c r="AR22" s="12">
        <f t="shared" si="36"/>
        <v>0</v>
      </c>
      <c r="AS22" s="12">
        <f t="shared" si="36"/>
        <v>0</v>
      </c>
      <c r="AT22" s="12">
        <f t="shared" si="36"/>
        <v>1</v>
      </c>
      <c r="AU22" s="12">
        <f t="shared" si="36"/>
        <v>0</v>
      </c>
      <c r="AV22" s="12">
        <f t="shared" si="36"/>
        <v>1</v>
      </c>
      <c r="AW22" s="12">
        <f t="shared" si="36"/>
        <v>0</v>
      </c>
      <c r="AX22" s="12">
        <f t="shared" si="36"/>
        <v>1</v>
      </c>
      <c r="AY22" s="12">
        <f t="shared" si="36"/>
        <v>0</v>
      </c>
      <c r="AZ22" s="12">
        <f t="shared" si="36"/>
        <v>0</v>
      </c>
      <c r="BA22" s="12">
        <f t="shared" si="36"/>
        <v>1</v>
      </c>
      <c r="BB22" s="12">
        <f t="shared" si="36"/>
        <v>1</v>
      </c>
      <c r="BC22" s="12">
        <f t="shared" si="36"/>
        <v>0</v>
      </c>
      <c r="BD22" s="12">
        <f t="shared" si="36"/>
        <v>0</v>
      </c>
      <c r="BE22" s="12">
        <f t="shared" si="36"/>
        <v>0</v>
      </c>
      <c r="BF22" s="12">
        <f t="shared" si="36"/>
        <v>0</v>
      </c>
      <c r="BG22" s="12">
        <f t="shared" si="36"/>
        <v>0</v>
      </c>
      <c r="BH22" s="12">
        <f t="shared" si="36"/>
        <v>1</v>
      </c>
      <c r="BI22" s="12">
        <f t="shared" si="36"/>
        <v>0</v>
      </c>
      <c r="BJ22" s="12">
        <f t="shared" si="36"/>
        <v>0</v>
      </c>
      <c r="BK22" s="12">
        <f t="shared" si="36"/>
        <v>0</v>
      </c>
      <c r="BL22" s="12">
        <f t="shared" si="36"/>
        <v>0</v>
      </c>
      <c r="BM22" s="12">
        <f t="shared" si="36"/>
        <v>0</v>
      </c>
      <c r="BN22" s="12">
        <f t="shared" si="36"/>
        <v>1</v>
      </c>
      <c r="BO22" s="12">
        <f t="shared" ref="BO22:CT22" si="37">IF(AND(BO4&lt;0,BO10&gt;0),1,0)</f>
        <v>1</v>
      </c>
      <c r="BP22" s="12">
        <f t="shared" si="37"/>
        <v>0</v>
      </c>
      <c r="BQ22" s="12">
        <f t="shared" si="37"/>
        <v>1</v>
      </c>
      <c r="BR22" s="12">
        <f t="shared" si="37"/>
        <v>1</v>
      </c>
      <c r="BS22" s="12">
        <f t="shared" si="37"/>
        <v>1</v>
      </c>
      <c r="BT22" s="12">
        <f t="shared" si="37"/>
        <v>1</v>
      </c>
      <c r="BU22" s="12">
        <f t="shared" si="37"/>
        <v>0</v>
      </c>
      <c r="BV22" s="12">
        <f t="shared" si="37"/>
        <v>1</v>
      </c>
      <c r="BW22" s="12">
        <f t="shared" si="37"/>
        <v>0</v>
      </c>
      <c r="BX22" s="12">
        <f t="shared" si="37"/>
        <v>1</v>
      </c>
      <c r="BY22" s="12">
        <f t="shared" si="37"/>
        <v>0</v>
      </c>
      <c r="BZ22" s="12">
        <f t="shared" si="37"/>
        <v>1</v>
      </c>
      <c r="CA22" s="12">
        <f t="shared" si="37"/>
        <v>0</v>
      </c>
      <c r="CB22" s="12">
        <f t="shared" si="37"/>
        <v>1</v>
      </c>
      <c r="CC22" s="12">
        <f t="shared" si="37"/>
        <v>0</v>
      </c>
      <c r="CD22" s="12">
        <f t="shared" si="37"/>
        <v>0</v>
      </c>
      <c r="CE22" s="12">
        <f t="shared" si="37"/>
        <v>0</v>
      </c>
      <c r="CF22" s="12">
        <f t="shared" si="37"/>
        <v>0</v>
      </c>
      <c r="CG22" s="12">
        <f t="shared" si="37"/>
        <v>0</v>
      </c>
      <c r="CH22" s="12">
        <f t="shared" si="37"/>
        <v>0</v>
      </c>
      <c r="CI22" s="12">
        <f t="shared" si="37"/>
        <v>0</v>
      </c>
      <c r="CJ22" s="12">
        <f t="shared" si="37"/>
        <v>0</v>
      </c>
      <c r="CK22" s="12">
        <f t="shared" si="37"/>
        <v>0</v>
      </c>
      <c r="CL22" s="12">
        <f t="shared" si="37"/>
        <v>0</v>
      </c>
      <c r="CM22" s="12">
        <f t="shared" si="37"/>
        <v>0</v>
      </c>
      <c r="CN22" s="12">
        <f t="shared" si="37"/>
        <v>0</v>
      </c>
      <c r="CO22" s="12">
        <f t="shared" si="37"/>
        <v>0</v>
      </c>
      <c r="CP22" s="12">
        <f t="shared" si="37"/>
        <v>0</v>
      </c>
      <c r="CQ22" s="12">
        <f t="shared" si="37"/>
        <v>1</v>
      </c>
      <c r="CR22" s="12">
        <f t="shared" si="37"/>
        <v>1</v>
      </c>
      <c r="CS22" s="12">
        <f t="shared" si="37"/>
        <v>1</v>
      </c>
      <c r="CT22" s="12">
        <f t="shared" si="37"/>
        <v>0</v>
      </c>
      <c r="CU22" s="12">
        <f t="shared" ref="CU22:DZ22" si="38">IF(AND(CU4&lt;0,CU10&gt;0),1,0)</f>
        <v>0</v>
      </c>
      <c r="CV22" s="12">
        <f t="shared" si="38"/>
        <v>0</v>
      </c>
      <c r="CW22" s="12">
        <f t="shared" si="38"/>
        <v>1</v>
      </c>
      <c r="CX22" s="12">
        <f t="shared" si="38"/>
        <v>0</v>
      </c>
      <c r="CY22" s="12">
        <f t="shared" si="38"/>
        <v>1</v>
      </c>
      <c r="CZ22" s="12">
        <f t="shared" si="38"/>
        <v>0</v>
      </c>
      <c r="DA22" s="12">
        <f t="shared" si="38"/>
        <v>0</v>
      </c>
      <c r="DB22" s="12">
        <f t="shared" si="38"/>
        <v>1</v>
      </c>
      <c r="DC22" s="12">
        <f t="shared" si="38"/>
        <v>0</v>
      </c>
      <c r="DD22" s="12">
        <f t="shared" si="38"/>
        <v>0</v>
      </c>
      <c r="DE22" s="12">
        <f t="shared" si="38"/>
        <v>0</v>
      </c>
      <c r="DF22" s="12">
        <f t="shared" si="38"/>
        <v>0</v>
      </c>
      <c r="DG22" s="12">
        <f t="shared" si="38"/>
        <v>0</v>
      </c>
      <c r="DH22" s="12">
        <f t="shared" si="38"/>
        <v>0</v>
      </c>
      <c r="DI22" s="12">
        <f t="shared" si="38"/>
        <v>0</v>
      </c>
      <c r="DJ22" s="12">
        <f t="shared" si="38"/>
        <v>0</v>
      </c>
      <c r="DK22" s="12">
        <f t="shared" si="38"/>
        <v>0</v>
      </c>
      <c r="DL22" s="12">
        <f t="shared" si="38"/>
        <v>0</v>
      </c>
      <c r="DM22" s="12">
        <f t="shared" si="38"/>
        <v>1</v>
      </c>
      <c r="DN22" s="12">
        <f t="shared" si="38"/>
        <v>0</v>
      </c>
      <c r="DO22" s="12">
        <f t="shared" si="38"/>
        <v>1</v>
      </c>
      <c r="DP22" s="12">
        <f t="shared" si="38"/>
        <v>0</v>
      </c>
      <c r="DQ22" s="12">
        <f t="shared" si="38"/>
        <v>1</v>
      </c>
      <c r="DR22" s="12">
        <f t="shared" si="38"/>
        <v>1</v>
      </c>
      <c r="DS22" s="12">
        <f t="shared" si="38"/>
        <v>0</v>
      </c>
      <c r="DT22" s="12">
        <f t="shared" si="38"/>
        <v>0</v>
      </c>
      <c r="DU22" s="12">
        <f t="shared" si="38"/>
        <v>0</v>
      </c>
      <c r="DV22" s="12">
        <f t="shared" si="38"/>
        <v>0</v>
      </c>
      <c r="DW22" s="12">
        <f t="shared" si="38"/>
        <v>0</v>
      </c>
      <c r="DX22" s="12">
        <f t="shared" si="38"/>
        <v>0</v>
      </c>
      <c r="DY22" s="12">
        <f t="shared" si="38"/>
        <v>0</v>
      </c>
      <c r="DZ22" s="12">
        <f t="shared" si="38"/>
        <v>1</v>
      </c>
      <c r="EA22" s="12">
        <f t="shared" ref="EA22:EL22" si="39">IF(AND(EA4&lt;0,EA10&gt;0),1,0)</f>
        <v>1</v>
      </c>
      <c r="EB22" s="12">
        <f t="shared" si="39"/>
        <v>0</v>
      </c>
      <c r="EC22" s="12">
        <f t="shared" si="39"/>
        <v>0</v>
      </c>
      <c r="ED22" s="12">
        <f t="shared" si="39"/>
        <v>0</v>
      </c>
      <c r="EE22" s="12">
        <f t="shared" si="39"/>
        <v>0</v>
      </c>
      <c r="EF22" s="12">
        <f t="shared" si="39"/>
        <v>0</v>
      </c>
      <c r="EG22" s="12">
        <f t="shared" si="39"/>
        <v>1</v>
      </c>
      <c r="EH22" s="12">
        <f t="shared" si="39"/>
        <v>0</v>
      </c>
      <c r="EI22" s="12">
        <f t="shared" si="39"/>
        <v>1</v>
      </c>
      <c r="EJ22" s="12">
        <f t="shared" si="39"/>
        <v>1</v>
      </c>
      <c r="EK22" s="12">
        <f t="shared" si="39"/>
        <v>0</v>
      </c>
      <c r="EL22" s="12">
        <f t="shared" si="39"/>
        <v>0</v>
      </c>
    </row>
    <row r="23" spans="1:142" ht="25" customHeight="1" x14ac:dyDescent="0.55000000000000004">
      <c r="B23" s="14" t="s">
        <v>145</v>
      </c>
      <c r="C23" s="12">
        <f t="shared" ref="C23:AH23" si="40">IF(AND(C5&lt;0,C11&gt;0),1,0)</f>
        <v>0</v>
      </c>
      <c r="D23" s="12">
        <f t="shared" si="40"/>
        <v>0</v>
      </c>
      <c r="E23" s="12">
        <f t="shared" si="40"/>
        <v>0</v>
      </c>
      <c r="F23" s="12">
        <f t="shared" si="40"/>
        <v>0</v>
      </c>
      <c r="G23" s="12">
        <f t="shared" si="40"/>
        <v>0</v>
      </c>
      <c r="H23" s="12">
        <f t="shared" si="40"/>
        <v>0</v>
      </c>
      <c r="I23" s="12">
        <f t="shared" si="40"/>
        <v>0</v>
      </c>
      <c r="J23" s="12">
        <f t="shared" si="40"/>
        <v>0</v>
      </c>
      <c r="K23" s="12">
        <f t="shared" si="40"/>
        <v>0</v>
      </c>
      <c r="L23" s="12">
        <f t="shared" si="40"/>
        <v>0</v>
      </c>
      <c r="M23" s="12">
        <f t="shared" si="40"/>
        <v>0</v>
      </c>
      <c r="N23" s="12">
        <f t="shared" si="40"/>
        <v>0</v>
      </c>
      <c r="O23" s="12">
        <f t="shared" si="40"/>
        <v>0</v>
      </c>
      <c r="P23" s="12">
        <f t="shared" si="40"/>
        <v>0</v>
      </c>
      <c r="Q23" s="12">
        <f t="shared" si="40"/>
        <v>0</v>
      </c>
      <c r="R23" s="12">
        <f t="shared" si="40"/>
        <v>0</v>
      </c>
      <c r="S23" s="12">
        <f t="shared" si="40"/>
        <v>0</v>
      </c>
      <c r="T23" s="12">
        <f t="shared" si="40"/>
        <v>0</v>
      </c>
      <c r="U23" s="12">
        <f t="shared" si="40"/>
        <v>0</v>
      </c>
      <c r="V23" s="12">
        <f t="shared" si="40"/>
        <v>0</v>
      </c>
      <c r="W23" s="12">
        <f t="shared" si="40"/>
        <v>0</v>
      </c>
      <c r="X23" s="12">
        <f t="shared" si="40"/>
        <v>0</v>
      </c>
      <c r="Y23" s="12">
        <f t="shared" si="40"/>
        <v>0</v>
      </c>
      <c r="Z23" s="12">
        <f t="shared" si="40"/>
        <v>0</v>
      </c>
      <c r="AA23" s="12">
        <f t="shared" si="40"/>
        <v>0</v>
      </c>
      <c r="AB23" s="12">
        <f t="shared" si="40"/>
        <v>0</v>
      </c>
      <c r="AC23" s="12">
        <f t="shared" si="40"/>
        <v>0</v>
      </c>
      <c r="AD23" s="12">
        <f t="shared" si="40"/>
        <v>0</v>
      </c>
      <c r="AE23" s="12">
        <f t="shared" si="40"/>
        <v>0</v>
      </c>
      <c r="AF23" s="12">
        <f t="shared" si="40"/>
        <v>0</v>
      </c>
      <c r="AG23" s="12">
        <f t="shared" si="40"/>
        <v>0</v>
      </c>
      <c r="AH23" s="12">
        <f t="shared" si="40"/>
        <v>0</v>
      </c>
      <c r="AI23" s="12">
        <f t="shared" ref="AI23:BN23" si="41">IF(AND(AI5&lt;0,AI11&gt;0),1,0)</f>
        <v>0</v>
      </c>
      <c r="AJ23" s="12">
        <f t="shared" si="41"/>
        <v>0</v>
      </c>
      <c r="AK23" s="12">
        <f t="shared" si="41"/>
        <v>0</v>
      </c>
      <c r="AL23" s="12">
        <f t="shared" si="41"/>
        <v>0</v>
      </c>
      <c r="AM23" s="12">
        <f t="shared" si="41"/>
        <v>0</v>
      </c>
      <c r="AN23" s="12">
        <f t="shared" si="41"/>
        <v>0</v>
      </c>
      <c r="AO23" s="12">
        <f t="shared" si="41"/>
        <v>0</v>
      </c>
      <c r="AP23" s="12">
        <f t="shared" si="41"/>
        <v>0</v>
      </c>
      <c r="AQ23" s="12">
        <f t="shared" si="41"/>
        <v>0</v>
      </c>
      <c r="AR23" s="12">
        <f t="shared" si="41"/>
        <v>0</v>
      </c>
      <c r="AS23" s="12">
        <f t="shared" si="41"/>
        <v>0</v>
      </c>
      <c r="AT23" s="12">
        <f t="shared" si="41"/>
        <v>0</v>
      </c>
      <c r="AU23" s="12">
        <f t="shared" si="41"/>
        <v>0</v>
      </c>
      <c r="AV23" s="12">
        <f t="shared" si="41"/>
        <v>0</v>
      </c>
      <c r="AW23" s="12">
        <f t="shared" si="41"/>
        <v>0</v>
      </c>
      <c r="AX23" s="12">
        <f t="shared" si="41"/>
        <v>0</v>
      </c>
      <c r="AY23" s="12">
        <f t="shared" si="41"/>
        <v>0</v>
      </c>
      <c r="AZ23" s="12">
        <f t="shared" si="41"/>
        <v>0</v>
      </c>
      <c r="BA23" s="12">
        <f t="shared" si="41"/>
        <v>0</v>
      </c>
      <c r="BB23" s="12">
        <f t="shared" si="41"/>
        <v>0</v>
      </c>
      <c r="BC23" s="12">
        <f t="shared" si="41"/>
        <v>0</v>
      </c>
      <c r="BD23" s="12">
        <f t="shared" si="41"/>
        <v>1</v>
      </c>
      <c r="BE23" s="12">
        <f t="shared" si="41"/>
        <v>0</v>
      </c>
      <c r="BF23" s="12">
        <f t="shared" si="41"/>
        <v>0</v>
      </c>
      <c r="BG23" s="12">
        <f t="shared" si="41"/>
        <v>0</v>
      </c>
      <c r="BH23" s="12">
        <f t="shared" si="41"/>
        <v>1</v>
      </c>
      <c r="BI23" s="12">
        <f t="shared" si="41"/>
        <v>1</v>
      </c>
      <c r="BJ23" s="12">
        <f t="shared" si="41"/>
        <v>1</v>
      </c>
      <c r="BK23" s="12">
        <f t="shared" si="41"/>
        <v>1</v>
      </c>
      <c r="BL23" s="12">
        <f t="shared" si="41"/>
        <v>0</v>
      </c>
      <c r="BM23" s="12">
        <f t="shared" si="41"/>
        <v>0</v>
      </c>
      <c r="BN23" s="12">
        <f t="shared" si="41"/>
        <v>1</v>
      </c>
      <c r="BO23" s="12">
        <f t="shared" ref="BO23:CT23" si="42">IF(AND(BO5&lt;0,BO11&gt;0),1,0)</f>
        <v>0</v>
      </c>
      <c r="BP23" s="12">
        <f t="shared" si="42"/>
        <v>0</v>
      </c>
      <c r="BQ23" s="12">
        <f t="shared" si="42"/>
        <v>0</v>
      </c>
      <c r="BR23" s="12">
        <f t="shared" si="42"/>
        <v>0</v>
      </c>
      <c r="BS23" s="12">
        <f t="shared" si="42"/>
        <v>0</v>
      </c>
      <c r="BT23" s="12">
        <f t="shared" si="42"/>
        <v>0</v>
      </c>
      <c r="BU23" s="12">
        <f t="shared" si="42"/>
        <v>0</v>
      </c>
      <c r="BV23" s="12">
        <f t="shared" si="42"/>
        <v>0</v>
      </c>
      <c r="BW23" s="12">
        <f t="shared" si="42"/>
        <v>0</v>
      </c>
      <c r="BX23" s="12">
        <f t="shared" si="42"/>
        <v>0</v>
      </c>
      <c r="BY23" s="12">
        <f t="shared" si="42"/>
        <v>0</v>
      </c>
      <c r="BZ23" s="12">
        <f t="shared" si="42"/>
        <v>0</v>
      </c>
      <c r="CA23" s="12">
        <f t="shared" si="42"/>
        <v>0</v>
      </c>
      <c r="CB23" s="12">
        <f t="shared" si="42"/>
        <v>0</v>
      </c>
      <c r="CC23" s="12">
        <f t="shared" si="42"/>
        <v>0</v>
      </c>
      <c r="CD23" s="12">
        <f t="shared" si="42"/>
        <v>0</v>
      </c>
      <c r="CE23" s="12">
        <f t="shared" si="42"/>
        <v>0</v>
      </c>
      <c r="CF23" s="12">
        <f t="shared" si="42"/>
        <v>0</v>
      </c>
      <c r="CG23" s="12">
        <f t="shared" si="42"/>
        <v>0</v>
      </c>
      <c r="CH23" s="12">
        <f t="shared" si="42"/>
        <v>0</v>
      </c>
      <c r="CI23" s="12">
        <f t="shared" si="42"/>
        <v>1</v>
      </c>
      <c r="CJ23" s="12">
        <f t="shared" si="42"/>
        <v>0</v>
      </c>
      <c r="CK23" s="12">
        <f t="shared" si="42"/>
        <v>1</v>
      </c>
      <c r="CL23" s="12">
        <f t="shared" si="42"/>
        <v>0</v>
      </c>
      <c r="CM23" s="12">
        <f t="shared" si="42"/>
        <v>0</v>
      </c>
      <c r="CN23" s="12">
        <f t="shared" si="42"/>
        <v>0</v>
      </c>
      <c r="CO23" s="12">
        <f t="shared" si="42"/>
        <v>0</v>
      </c>
      <c r="CP23" s="12">
        <f t="shared" si="42"/>
        <v>0</v>
      </c>
      <c r="CQ23" s="12">
        <f t="shared" si="42"/>
        <v>0</v>
      </c>
      <c r="CR23" s="12">
        <f t="shared" si="42"/>
        <v>0</v>
      </c>
      <c r="CS23" s="12">
        <f t="shared" si="42"/>
        <v>0</v>
      </c>
      <c r="CT23" s="12">
        <f t="shared" si="42"/>
        <v>0</v>
      </c>
      <c r="CU23" s="12">
        <f t="shared" ref="CU23:DZ23" si="43">IF(AND(CU5&lt;0,CU11&gt;0),1,0)</f>
        <v>0</v>
      </c>
      <c r="CV23" s="12">
        <f t="shared" si="43"/>
        <v>0</v>
      </c>
      <c r="CW23" s="12">
        <f t="shared" si="43"/>
        <v>0</v>
      </c>
      <c r="CX23" s="12">
        <f t="shared" si="43"/>
        <v>1</v>
      </c>
      <c r="CY23" s="12">
        <f t="shared" si="43"/>
        <v>0</v>
      </c>
      <c r="CZ23" s="12">
        <f t="shared" si="43"/>
        <v>1</v>
      </c>
      <c r="DA23" s="12">
        <f t="shared" si="43"/>
        <v>0</v>
      </c>
      <c r="DB23" s="12">
        <f t="shared" si="43"/>
        <v>0</v>
      </c>
      <c r="DC23" s="12">
        <f t="shared" si="43"/>
        <v>0</v>
      </c>
      <c r="DD23" s="12">
        <f t="shared" si="43"/>
        <v>0</v>
      </c>
      <c r="DE23" s="12">
        <f t="shared" si="43"/>
        <v>0</v>
      </c>
      <c r="DF23" s="12">
        <f t="shared" si="43"/>
        <v>0</v>
      </c>
      <c r="DG23" s="12">
        <f t="shared" si="43"/>
        <v>0</v>
      </c>
      <c r="DH23" s="12">
        <f t="shared" si="43"/>
        <v>0</v>
      </c>
      <c r="DI23" s="12">
        <f t="shared" si="43"/>
        <v>0</v>
      </c>
      <c r="DJ23" s="12">
        <f t="shared" si="43"/>
        <v>0</v>
      </c>
      <c r="DK23" s="12">
        <f t="shared" si="43"/>
        <v>0</v>
      </c>
      <c r="DL23" s="12">
        <f t="shared" si="43"/>
        <v>0</v>
      </c>
      <c r="DM23" s="12">
        <f t="shared" si="43"/>
        <v>0</v>
      </c>
      <c r="DN23" s="12">
        <f t="shared" si="43"/>
        <v>0</v>
      </c>
      <c r="DO23" s="12">
        <f t="shared" si="43"/>
        <v>0</v>
      </c>
      <c r="DP23" s="12">
        <f t="shared" si="43"/>
        <v>0</v>
      </c>
      <c r="DQ23" s="12">
        <f t="shared" si="43"/>
        <v>0</v>
      </c>
      <c r="DR23" s="12">
        <f t="shared" si="43"/>
        <v>1</v>
      </c>
      <c r="DS23" s="12">
        <f t="shared" si="43"/>
        <v>0</v>
      </c>
      <c r="DT23" s="12">
        <f t="shared" si="43"/>
        <v>0</v>
      </c>
      <c r="DU23" s="12">
        <f t="shared" si="43"/>
        <v>0</v>
      </c>
      <c r="DV23" s="12">
        <f t="shared" si="43"/>
        <v>0</v>
      </c>
      <c r="DW23" s="12">
        <f t="shared" si="43"/>
        <v>0</v>
      </c>
      <c r="DX23" s="12">
        <f t="shared" si="43"/>
        <v>0</v>
      </c>
      <c r="DY23" s="12">
        <f t="shared" si="43"/>
        <v>0</v>
      </c>
      <c r="DZ23" s="12">
        <f t="shared" si="43"/>
        <v>0</v>
      </c>
      <c r="EA23" s="12">
        <f t="shared" ref="EA23:EL23" si="44">IF(AND(EA5&lt;0,EA11&gt;0),1,0)</f>
        <v>0</v>
      </c>
      <c r="EB23" s="12">
        <f t="shared" si="44"/>
        <v>0</v>
      </c>
      <c r="EC23" s="12">
        <f t="shared" si="44"/>
        <v>1</v>
      </c>
      <c r="ED23" s="12">
        <f t="shared" si="44"/>
        <v>0</v>
      </c>
      <c r="EE23" s="12">
        <f t="shared" si="44"/>
        <v>0</v>
      </c>
      <c r="EF23" s="12">
        <f t="shared" si="44"/>
        <v>0</v>
      </c>
      <c r="EG23" s="12">
        <f t="shared" si="44"/>
        <v>1</v>
      </c>
      <c r="EH23" s="12">
        <f t="shared" si="44"/>
        <v>1</v>
      </c>
      <c r="EI23" s="12">
        <f t="shared" si="44"/>
        <v>1</v>
      </c>
      <c r="EJ23" s="12">
        <f t="shared" si="44"/>
        <v>1</v>
      </c>
      <c r="EK23" s="12">
        <f t="shared" si="44"/>
        <v>1</v>
      </c>
      <c r="EL23" s="12">
        <f t="shared" si="44"/>
        <v>0</v>
      </c>
    </row>
    <row r="24" spans="1:142" ht="25" customHeight="1" x14ac:dyDescent="0.55000000000000004">
      <c r="B24" s="16" t="s">
        <v>291</v>
      </c>
      <c r="C24" s="12">
        <f>SUM(C21:C23)+SUM(D21:D23)+SUM(E21:E23)+SUM(F21:F23)+SUM(G21:G23)+SUM(H21:H23)+SUM(I21:I23)+SUM(J21:J23)+SUM(K21:K23)+SUM(L21:L23)+SUM(M21:M23)+SUM(N21:N23)+SUM(O21:O23)+SUM(P21:P23)+SUM(Q21:Q23)+SUM(R21:R23)+SUM(S21:S23)+SUM(T21:T23)+SUM(U21:U23)+SUM(V21:V23)+SUM(W21:W23)+SUM(X21:X23)+SUM(Y21:Y23)+SUM(Z21:Z23)+SUM(AA21:AA23)+SUM(AB21:AB23)+SUM(AC21:AC23)+SUM(AD21:AD23)+SUM(AE21:AE23)+SUM(AF21:AF23)+SUM(AG21:AG23)+SUM(AH21:AH23)+SUM(AI21:AI23)+SUM(AJ21:AJ23)+SUM(AK21:AK23)+SUM(AL21:AL23)+SUM(AM21:AM23)+SUM(AN21:AN23)+SUM(AO21:AO23)+SUM(AP21:AP23)+SUM(AQ21:AQ23)+SUM(AR21:AR23)+SUM(AS21:AS23)+SUM(AT21:AT23)+SUM(AU21:AU23)+SUM(AV21:AV23)+SUM(AW21:AW23)+SUM(AX21:AX23)+SUM(AY21:AY23)+SUM(AZ21:AZ23)+SUM(BA21:BA23)+SUM(BB21:BB23)+SUM(BC21:BC23)+SUM(BD21:BD23)+SUM(BE21:BE23)+SUM(BF21:BF23)+SUM(BG21:BG23)+SUM(BH21:BH23)+SUM(BI21:BI23)+SUM(BJ21:BJ23)+SUM(BK21:BK23)+SUM(BL21:BL23)+SUM(BM21:BM23)+SUM(BN21:BN23)+SUM(BO21:BO23)+SUM(BP21:BP23)+SUM(BQ21:BQ23)+SUM(BR21:BR23)+SUM(BS21:BS23)+SUM(BT21:BT23)+SUM(BU21:BU23)+SUM(BV21:BV23)+SUM(BW21:BW23)+SUM(BX21:BX23)+SUM(BY21:BY23)+SUM(BZ21:BZ23)+SUM(CA21:CA23)+SUM(CB21:CB23)+SUM(CC21:CC23)+SUM(CD21:CD23)+SUM(CE21:CE23)+SUM(CF21:CF23)+SUM(CG21:CG23)+SUM(CH21:CH23)+SUM(CI21:CI23)+SUM(CJ21:CJ23)+SUM(CK21:CK23)+SUM(CL21:CL23)+SUM(CM21:CM23)+SUM(CN21:CN23)+SUM(CO21:CO23)+SUM(CP21:CP23)+SUM(CQ21:CQ23)+SUM(CR21:CR23)+SUM(CS21:CS23)+SUM(CT21:CT23)+SUM(CU21:CU23)+SUM(CV21:CV23)+SUM(CW21:CW23)+SUM(CX21:CX23)+SUM(CY21:CY23)+SUM(CZ21:CZ23)+SUM(DA21:DA23)+SUM(DB21:DB23)+SUM(DC21:DC23)+SUM(DD21:DD23)+SUM(DE21:DE23)+SUM(DF21:DF23)+SUM(DG21:DG23)+SUM(DH21:DH23)+SUM(DI21:DI23)+SUM(DJ21:DJ23)+SUM(DK21:DK23)+SUM(DL21:DL23)+SUM(DM21:DM23)+SUM(DN21:DN23)+SUM(DO21:DO23)+SUM(DP21:DP23)+SUM(DQ21:DQ23)+SUM(DR21:DR23)+SUM(DS21:DS23)+SUM(DT21:DT23)+SUM(DU21:DU23)+SUM(DV21:DV23)+SUM(DW21:DW23)+SUM(DX21:DX23)+SUM(DY21:DY23)+SUM(DZ21:DZ23)+SUM(EA21:EA23)+SUM(EB21:EB23)+SUM(EC21:EC23)+SUM(ED21:ED23)+SUM(EE21:EE23)+SUM(EF21:EF23)+SUM(EG21:EG23)+SUM(EH21:EH23)+SUM(EI21:EI23)+SUM(EJ21:EJ23)+SUM(EK21:EK23)+SUM(EL21:EL23)</f>
        <v>61</v>
      </c>
    </row>
    <row r="25" spans="1:142" ht="25" customHeight="1" x14ac:dyDescent="0.55000000000000004">
      <c r="A25" s="12" t="s">
        <v>293</v>
      </c>
      <c r="B25" s="11" t="s">
        <v>143</v>
      </c>
      <c r="C25" s="12">
        <f t="shared" ref="C25:AH25" si="45">IF(AND(C3&lt;0,C9&lt;0),1,0)</f>
        <v>0</v>
      </c>
      <c r="D25" s="12">
        <f t="shared" si="45"/>
        <v>0</v>
      </c>
      <c r="E25" s="12">
        <f t="shared" si="45"/>
        <v>0</v>
      </c>
      <c r="F25" s="12">
        <f t="shared" si="45"/>
        <v>0</v>
      </c>
      <c r="G25" s="12">
        <f t="shared" si="45"/>
        <v>0</v>
      </c>
      <c r="H25" s="12">
        <f t="shared" si="45"/>
        <v>0</v>
      </c>
      <c r="I25" s="12">
        <f t="shared" si="45"/>
        <v>0</v>
      </c>
      <c r="J25" s="12">
        <f t="shared" si="45"/>
        <v>0</v>
      </c>
      <c r="K25" s="12">
        <f t="shared" si="45"/>
        <v>0</v>
      </c>
      <c r="L25" s="12">
        <f t="shared" si="45"/>
        <v>0</v>
      </c>
      <c r="M25" s="12">
        <f t="shared" si="45"/>
        <v>0</v>
      </c>
      <c r="N25" s="12">
        <f t="shared" si="45"/>
        <v>0</v>
      </c>
      <c r="O25" s="12">
        <f t="shared" si="45"/>
        <v>0</v>
      </c>
      <c r="P25" s="12">
        <f t="shared" si="45"/>
        <v>0</v>
      </c>
      <c r="Q25" s="12">
        <f t="shared" si="45"/>
        <v>0</v>
      </c>
      <c r="R25" s="12">
        <f t="shared" si="45"/>
        <v>0</v>
      </c>
      <c r="S25" s="12">
        <f t="shared" si="45"/>
        <v>0</v>
      </c>
      <c r="T25" s="12">
        <f t="shared" si="45"/>
        <v>0</v>
      </c>
      <c r="U25" s="12">
        <f t="shared" si="45"/>
        <v>0</v>
      </c>
      <c r="V25" s="12">
        <f t="shared" si="45"/>
        <v>0</v>
      </c>
      <c r="W25" s="12">
        <f t="shared" si="45"/>
        <v>0</v>
      </c>
      <c r="X25" s="12">
        <f t="shared" si="45"/>
        <v>0</v>
      </c>
      <c r="Y25" s="12">
        <f t="shared" si="45"/>
        <v>0</v>
      </c>
      <c r="Z25" s="12">
        <f t="shared" si="45"/>
        <v>0</v>
      </c>
      <c r="AA25" s="12">
        <f t="shared" si="45"/>
        <v>0</v>
      </c>
      <c r="AB25" s="12">
        <f t="shared" si="45"/>
        <v>0</v>
      </c>
      <c r="AC25" s="12">
        <f t="shared" si="45"/>
        <v>0</v>
      </c>
      <c r="AD25" s="12">
        <f t="shared" si="45"/>
        <v>0</v>
      </c>
      <c r="AE25" s="12">
        <f t="shared" si="45"/>
        <v>0</v>
      </c>
      <c r="AF25" s="12">
        <f t="shared" si="45"/>
        <v>0</v>
      </c>
      <c r="AG25" s="12">
        <f t="shared" si="45"/>
        <v>0</v>
      </c>
      <c r="AH25" s="12">
        <f t="shared" si="45"/>
        <v>0</v>
      </c>
      <c r="AI25" s="12">
        <f t="shared" ref="AI25:BN25" si="46">IF(AND(AI3&lt;0,AI9&lt;0),1,0)</f>
        <v>0</v>
      </c>
      <c r="AJ25" s="12">
        <f t="shared" si="46"/>
        <v>0</v>
      </c>
      <c r="AK25" s="12">
        <f t="shared" si="46"/>
        <v>0</v>
      </c>
      <c r="AL25" s="12">
        <f t="shared" si="46"/>
        <v>0</v>
      </c>
      <c r="AM25" s="12">
        <f t="shared" si="46"/>
        <v>0</v>
      </c>
      <c r="AN25" s="12">
        <f t="shared" si="46"/>
        <v>0</v>
      </c>
      <c r="AO25" s="12">
        <f t="shared" si="46"/>
        <v>0</v>
      </c>
      <c r="AP25" s="12">
        <f t="shared" si="46"/>
        <v>0</v>
      </c>
      <c r="AQ25" s="12">
        <f t="shared" si="46"/>
        <v>0</v>
      </c>
      <c r="AR25" s="12">
        <f t="shared" si="46"/>
        <v>0</v>
      </c>
      <c r="AS25" s="12">
        <f t="shared" si="46"/>
        <v>0</v>
      </c>
      <c r="AT25" s="12">
        <f t="shared" si="46"/>
        <v>0</v>
      </c>
      <c r="AU25" s="12">
        <f t="shared" si="46"/>
        <v>0</v>
      </c>
      <c r="AV25" s="12">
        <f t="shared" si="46"/>
        <v>0</v>
      </c>
      <c r="AW25" s="12">
        <f t="shared" si="46"/>
        <v>0</v>
      </c>
      <c r="AX25" s="12">
        <f t="shared" si="46"/>
        <v>0</v>
      </c>
      <c r="AY25" s="12">
        <f t="shared" si="46"/>
        <v>0</v>
      </c>
      <c r="AZ25" s="12">
        <f t="shared" si="46"/>
        <v>0</v>
      </c>
      <c r="BA25" s="12">
        <f t="shared" si="46"/>
        <v>0</v>
      </c>
      <c r="BB25" s="12">
        <f t="shared" si="46"/>
        <v>0</v>
      </c>
      <c r="BC25" s="12">
        <f t="shared" si="46"/>
        <v>0</v>
      </c>
      <c r="BD25" s="12">
        <f t="shared" si="46"/>
        <v>0</v>
      </c>
      <c r="BE25" s="12">
        <f t="shared" si="46"/>
        <v>0</v>
      </c>
      <c r="BF25" s="12">
        <f t="shared" si="46"/>
        <v>0</v>
      </c>
      <c r="BG25" s="12">
        <f t="shared" si="46"/>
        <v>0</v>
      </c>
      <c r="BH25" s="12">
        <f t="shared" si="46"/>
        <v>0</v>
      </c>
      <c r="BI25" s="12">
        <f t="shared" si="46"/>
        <v>0</v>
      </c>
      <c r="BJ25" s="12">
        <f t="shared" si="46"/>
        <v>0</v>
      </c>
      <c r="BK25" s="12">
        <f t="shared" si="46"/>
        <v>0</v>
      </c>
      <c r="BL25" s="12">
        <f t="shared" si="46"/>
        <v>0</v>
      </c>
      <c r="BM25" s="12">
        <f t="shared" si="46"/>
        <v>0</v>
      </c>
      <c r="BN25" s="12">
        <f t="shared" si="46"/>
        <v>0</v>
      </c>
      <c r="BO25" s="12">
        <f t="shared" ref="BO25:CT25" si="47">IF(AND(BO3&lt;0,BO9&lt;0),1,0)</f>
        <v>0</v>
      </c>
      <c r="BP25" s="12">
        <f t="shared" si="47"/>
        <v>0</v>
      </c>
      <c r="BQ25" s="12">
        <f t="shared" si="47"/>
        <v>0</v>
      </c>
      <c r="BR25" s="12">
        <f t="shared" si="47"/>
        <v>0</v>
      </c>
      <c r="BS25" s="12">
        <f t="shared" si="47"/>
        <v>0</v>
      </c>
      <c r="BT25" s="12">
        <f t="shared" si="47"/>
        <v>0</v>
      </c>
      <c r="BU25" s="12">
        <f t="shared" si="47"/>
        <v>0</v>
      </c>
      <c r="BV25" s="12">
        <f t="shared" si="47"/>
        <v>0</v>
      </c>
      <c r="BW25" s="12">
        <f t="shared" si="47"/>
        <v>0</v>
      </c>
      <c r="BX25" s="12">
        <f t="shared" si="47"/>
        <v>0</v>
      </c>
      <c r="BY25" s="12">
        <f t="shared" si="47"/>
        <v>0</v>
      </c>
      <c r="BZ25" s="12">
        <f t="shared" si="47"/>
        <v>0</v>
      </c>
      <c r="CA25" s="12">
        <f t="shared" si="47"/>
        <v>0</v>
      </c>
      <c r="CB25" s="12">
        <f t="shared" si="47"/>
        <v>0</v>
      </c>
      <c r="CC25" s="12">
        <f t="shared" si="47"/>
        <v>0</v>
      </c>
      <c r="CD25" s="12">
        <f t="shared" si="47"/>
        <v>0</v>
      </c>
      <c r="CE25" s="12">
        <f t="shared" si="47"/>
        <v>0</v>
      </c>
      <c r="CF25" s="12">
        <f t="shared" si="47"/>
        <v>0</v>
      </c>
      <c r="CG25" s="12">
        <f t="shared" si="47"/>
        <v>0</v>
      </c>
      <c r="CH25" s="12">
        <f t="shared" si="47"/>
        <v>0</v>
      </c>
      <c r="CI25" s="12">
        <f t="shared" si="47"/>
        <v>0</v>
      </c>
      <c r="CJ25" s="12">
        <f t="shared" si="47"/>
        <v>0</v>
      </c>
      <c r="CK25" s="12">
        <f t="shared" si="47"/>
        <v>0</v>
      </c>
      <c r="CL25" s="12">
        <f t="shared" si="47"/>
        <v>0</v>
      </c>
      <c r="CM25" s="12">
        <f t="shared" si="47"/>
        <v>0</v>
      </c>
      <c r="CN25" s="12">
        <f t="shared" si="47"/>
        <v>0</v>
      </c>
      <c r="CO25" s="12">
        <f t="shared" si="47"/>
        <v>0</v>
      </c>
      <c r="CP25" s="12">
        <f t="shared" si="47"/>
        <v>0</v>
      </c>
      <c r="CQ25" s="12">
        <f t="shared" si="47"/>
        <v>0</v>
      </c>
      <c r="CR25" s="12">
        <f t="shared" si="47"/>
        <v>0</v>
      </c>
      <c r="CS25" s="12">
        <f t="shared" si="47"/>
        <v>0</v>
      </c>
      <c r="CT25" s="12">
        <f t="shared" si="47"/>
        <v>0</v>
      </c>
      <c r="CU25" s="12">
        <f t="shared" ref="CU25:DZ25" si="48">IF(AND(CU3&lt;0,CU9&lt;0),1,0)</f>
        <v>0</v>
      </c>
      <c r="CV25" s="12">
        <f t="shared" si="48"/>
        <v>0</v>
      </c>
      <c r="CW25" s="12">
        <f t="shared" si="48"/>
        <v>0</v>
      </c>
      <c r="CX25" s="12">
        <f t="shared" si="48"/>
        <v>0</v>
      </c>
      <c r="CY25" s="12">
        <f t="shared" si="48"/>
        <v>0</v>
      </c>
      <c r="CZ25" s="12">
        <f t="shared" si="48"/>
        <v>0</v>
      </c>
      <c r="DA25" s="12">
        <f t="shared" si="48"/>
        <v>0</v>
      </c>
      <c r="DB25" s="12">
        <f t="shared" si="48"/>
        <v>0</v>
      </c>
      <c r="DC25" s="12">
        <f t="shared" si="48"/>
        <v>0</v>
      </c>
      <c r="DD25" s="12">
        <f t="shared" si="48"/>
        <v>0</v>
      </c>
      <c r="DE25" s="12">
        <f t="shared" si="48"/>
        <v>0</v>
      </c>
      <c r="DF25" s="12">
        <f t="shared" si="48"/>
        <v>0</v>
      </c>
      <c r="DG25" s="12">
        <f t="shared" si="48"/>
        <v>0</v>
      </c>
      <c r="DH25" s="12">
        <f t="shared" si="48"/>
        <v>0</v>
      </c>
      <c r="DI25" s="12">
        <f t="shared" si="48"/>
        <v>0</v>
      </c>
      <c r="DJ25" s="12">
        <f t="shared" si="48"/>
        <v>0</v>
      </c>
      <c r="DK25" s="12">
        <f t="shared" si="48"/>
        <v>0</v>
      </c>
      <c r="DL25" s="12">
        <f t="shared" si="48"/>
        <v>0</v>
      </c>
      <c r="DM25" s="12">
        <f t="shared" si="48"/>
        <v>0</v>
      </c>
      <c r="DN25" s="12">
        <f t="shared" si="48"/>
        <v>0</v>
      </c>
      <c r="DO25" s="12">
        <f t="shared" si="48"/>
        <v>0</v>
      </c>
      <c r="DP25" s="12">
        <f t="shared" si="48"/>
        <v>0</v>
      </c>
      <c r="DQ25" s="12">
        <f t="shared" si="48"/>
        <v>0</v>
      </c>
      <c r="DR25" s="12">
        <f t="shared" si="48"/>
        <v>0</v>
      </c>
      <c r="DS25" s="12">
        <f t="shared" si="48"/>
        <v>0</v>
      </c>
      <c r="DT25" s="12">
        <f t="shared" si="48"/>
        <v>0</v>
      </c>
      <c r="DU25" s="12">
        <f t="shared" si="48"/>
        <v>0</v>
      </c>
      <c r="DV25" s="12">
        <f t="shared" si="48"/>
        <v>0</v>
      </c>
      <c r="DW25" s="12">
        <f t="shared" si="48"/>
        <v>0</v>
      </c>
      <c r="DX25" s="12">
        <f t="shared" si="48"/>
        <v>0</v>
      </c>
      <c r="DY25" s="12">
        <f t="shared" si="48"/>
        <v>0</v>
      </c>
      <c r="DZ25" s="12">
        <f t="shared" si="48"/>
        <v>0</v>
      </c>
      <c r="EA25" s="12">
        <f t="shared" ref="EA25:EL25" si="49">IF(AND(EA3&lt;0,EA9&lt;0),1,0)</f>
        <v>0</v>
      </c>
      <c r="EB25" s="12">
        <f t="shared" si="49"/>
        <v>0</v>
      </c>
      <c r="EC25" s="12">
        <f t="shared" si="49"/>
        <v>0</v>
      </c>
      <c r="ED25" s="12">
        <f t="shared" si="49"/>
        <v>0</v>
      </c>
      <c r="EE25" s="12">
        <f t="shared" si="49"/>
        <v>0</v>
      </c>
      <c r="EF25" s="12">
        <f t="shared" si="49"/>
        <v>0</v>
      </c>
      <c r="EG25" s="12">
        <f t="shared" si="49"/>
        <v>0</v>
      </c>
      <c r="EH25" s="12">
        <f t="shared" si="49"/>
        <v>0</v>
      </c>
      <c r="EI25" s="12">
        <f t="shared" si="49"/>
        <v>0</v>
      </c>
      <c r="EJ25" s="12">
        <f t="shared" si="49"/>
        <v>0</v>
      </c>
      <c r="EK25" s="12">
        <f t="shared" si="49"/>
        <v>0</v>
      </c>
      <c r="EL25" s="12">
        <f t="shared" si="49"/>
        <v>0</v>
      </c>
    </row>
    <row r="26" spans="1:142" ht="25" customHeight="1" x14ac:dyDescent="0.55000000000000004">
      <c r="A26" s="12" t="s">
        <v>294</v>
      </c>
      <c r="B26" s="11" t="s">
        <v>144</v>
      </c>
      <c r="C26" s="12">
        <f t="shared" ref="C26:AH26" si="50">IF(AND(C4&lt;0,C10&lt;0),1,0)</f>
        <v>0</v>
      </c>
      <c r="D26" s="12">
        <f t="shared" si="50"/>
        <v>0</v>
      </c>
      <c r="E26" s="12">
        <f t="shared" si="50"/>
        <v>1</v>
      </c>
      <c r="F26" s="12">
        <f t="shared" si="50"/>
        <v>1</v>
      </c>
      <c r="G26" s="12">
        <f t="shared" si="50"/>
        <v>1</v>
      </c>
      <c r="H26" s="12">
        <f t="shared" si="50"/>
        <v>1</v>
      </c>
      <c r="I26" s="12">
        <f t="shared" si="50"/>
        <v>1</v>
      </c>
      <c r="J26" s="12">
        <f t="shared" si="50"/>
        <v>1</v>
      </c>
      <c r="K26" s="12">
        <f t="shared" si="50"/>
        <v>1</v>
      </c>
      <c r="L26" s="12">
        <f t="shared" si="50"/>
        <v>0</v>
      </c>
      <c r="M26" s="12">
        <f t="shared" si="50"/>
        <v>1</v>
      </c>
      <c r="N26" s="12">
        <f t="shared" si="50"/>
        <v>0</v>
      </c>
      <c r="O26" s="12">
        <f t="shared" si="50"/>
        <v>1</v>
      </c>
      <c r="P26" s="12">
        <f t="shared" si="50"/>
        <v>0</v>
      </c>
      <c r="Q26" s="12">
        <f t="shared" si="50"/>
        <v>0</v>
      </c>
      <c r="R26" s="12">
        <f t="shared" si="50"/>
        <v>0</v>
      </c>
      <c r="S26" s="12">
        <f t="shared" si="50"/>
        <v>0</v>
      </c>
      <c r="T26" s="12">
        <f t="shared" si="50"/>
        <v>1</v>
      </c>
      <c r="U26" s="12">
        <f t="shared" si="50"/>
        <v>1</v>
      </c>
      <c r="V26" s="12">
        <f t="shared" si="50"/>
        <v>1</v>
      </c>
      <c r="W26" s="12">
        <f t="shared" si="50"/>
        <v>1</v>
      </c>
      <c r="X26" s="12">
        <f t="shared" si="50"/>
        <v>1</v>
      </c>
      <c r="Y26" s="12">
        <f t="shared" si="50"/>
        <v>0</v>
      </c>
      <c r="Z26" s="12">
        <f t="shared" si="50"/>
        <v>1</v>
      </c>
      <c r="AA26" s="12">
        <f t="shared" si="50"/>
        <v>0</v>
      </c>
      <c r="AB26" s="12">
        <f t="shared" si="50"/>
        <v>1</v>
      </c>
      <c r="AC26" s="12">
        <f t="shared" si="50"/>
        <v>1</v>
      </c>
      <c r="AD26" s="12">
        <f t="shared" si="50"/>
        <v>1</v>
      </c>
      <c r="AE26" s="12">
        <f t="shared" si="50"/>
        <v>1</v>
      </c>
      <c r="AF26" s="12">
        <f t="shared" si="50"/>
        <v>0</v>
      </c>
      <c r="AG26" s="12">
        <f t="shared" si="50"/>
        <v>1</v>
      </c>
      <c r="AH26" s="12">
        <f t="shared" si="50"/>
        <v>0</v>
      </c>
      <c r="AI26" s="12">
        <f t="shared" ref="AI26:BN26" si="51">IF(AND(AI4&lt;0,AI10&lt;0),1,0)</f>
        <v>1</v>
      </c>
      <c r="AJ26" s="12">
        <f t="shared" si="51"/>
        <v>1</v>
      </c>
      <c r="AK26" s="12">
        <f t="shared" si="51"/>
        <v>1</v>
      </c>
      <c r="AL26" s="12">
        <f t="shared" si="51"/>
        <v>1</v>
      </c>
      <c r="AM26" s="12">
        <f t="shared" si="51"/>
        <v>1</v>
      </c>
      <c r="AN26" s="12">
        <f t="shared" si="51"/>
        <v>1</v>
      </c>
      <c r="AO26" s="12">
        <f t="shared" si="51"/>
        <v>0</v>
      </c>
      <c r="AP26" s="12">
        <f t="shared" si="51"/>
        <v>1</v>
      </c>
      <c r="AQ26" s="12">
        <f t="shared" si="51"/>
        <v>1</v>
      </c>
      <c r="AR26" s="12">
        <f t="shared" si="51"/>
        <v>1</v>
      </c>
      <c r="AS26" s="12">
        <f t="shared" si="51"/>
        <v>1</v>
      </c>
      <c r="AT26" s="12">
        <f t="shared" si="51"/>
        <v>0</v>
      </c>
      <c r="AU26" s="12">
        <f t="shared" si="51"/>
        <v>1</v>
      </c>
      <c r="AV26" s="12">
        <f t="shared" si="51"/>
        <v>0</v>
      </c>
      <c r="AW26" s="12">
        <f t="shared" si="51"/>
        <v>1</v>
      </c>
      <c r="AX26" s="12">
        <f t="shared" si="51"/>
        <v>0</v>
      </c>
      <c r="AY26" s="12">
        <f t="shared" si="51"/>
        <v>1</v>
      </c>
      <c r="AZ26" s="12">
        <f t="shared" si="51"/>
        <v>1</v>
      </c>
      <c r="BA26" s="12">
        <f t="shared" si="51"/>
        <v>0</v>
      </c>
      <c r="BB26" s="12">
        <f t="shared" si="51"/>
        <v>0</v>
      </c>
      <c r="BC26" s="12">
        <f t="shared" si="51"/>
        <v>1</v>
      </c>
      <c r="BD26" s="12">
        <f t="shared" si="51"/>
        <v>1</v>
      </c>
      <c r="BE26" s="12">
        <f t="shared" si="51"/>
        <v>1</v>
      </c>
      <c r="BF26" s="12">
        <f t="shared" si="51"/>
        <v>1</v>
      </c>
      <c r="BG26" s="12">
        <f t="shared" si="51"/>
        <v>1</v>
      </c>
      <c r="BH26" s="12">
        <f t="shared" si="51"/>
        <v>0</v>
      </c>
      <c r="BI26" s="12">
        <f t="shared" si="51"/>
        <v>1</v>
      </c>
      <c r="BJ26" s="12">
        <f t="shared" si="51"/>
        <v>1</v>
      </c>
      <c r="BK26" s="12">
        <f t="shared" si="51"/>
        <v>1</v>
      </c>
      <c r="BL26" s="12">
        <f t="shared" si="51"/>
        <v>1</v>
      </c>
      <c r="BM26" s="12">
        <f t="shared" si="51"/>
        <v>1</v>
      </c>
      <c r="BN26" s="12">
        <f t="shared" si="51"/>
        <v>0</v>
      </c>
      <c r="BO26" s="12">
        <f t="shared" ref="BO26:CT26" si="52">IF(AND(BO4&lt;0,BO10&lt;0),1,0)</f>
        <v>0</v>
      </c>
      <c r="BP26" s="12">
        <f t="shared" si="52"/>
        <v>1</v>
      </c>
      <c r="BQ26" s="12">
        <f t="shared" si="52"/>
        <v>0</v>
      </c>
      <c r="BR26" s="12">
        <f t="shared" si="52"/>
        <v>0</v>
      </c>
      <c r="BS26" s="12">
        <f t="shared" si="52"/>
        <v>0</v>
      </c>
      <c r="BT26" s="12">
        <f t="shared" si="52"/>
        <v>0</v>
      </c>
      <c r="BU26" s="12">
        <f t="shared" si="52"/>
        <v>1</v>
      </c>
      <c r="BV26" s="12">
        <f t="shared" si="52"/>
        <v>0</v>
      </c>
      <c r="BW26" s="12">
        <f t="shared" si="52"/>
        <v>0</v>
      </c>
      <c r="BX26" s="12">
        <f t="shared" si="52"/>
        <v>0</v>
      </c>
      <c r="BY26" s="12">
        <f t="shared" si="52"/>
        <v>1</v>
      </c>
      <c r="BZ26" s="12">
        <f t="shared" si="52"/>
        <v>0</v>
      </c>
      <c r="CA26" s="12">
        <f t="shared" si="52"/>
        <v>1</v>
      </c>
      <c r="CB26" s="12">
        <f t="shared" si="52"/>
        <v>0</v>
      </c>
      <c r="CC26" s="12">
        <f t="shared" si="52"/>
        <v>1</v>
      </c>
      <c r="CD26" s="12">
        <f t="shared" si="52"/>
        <v>1</v>
      </c>
      <c r="CE26" s="12">
        <f t="shared" si="52"/>
        <v>1</v>
      </c>
      <c r="CF26" s="12">
        <f t="shared" si="52"/>
        <v>1</v>
      </c>
      <c r="CG26" s="12">
        <f t="shared" si="52"/>
        <v>1</v>
      </c>
      <c r="CH26" s="12">
        <f t="shared" si="52"/>
        <v>1</v>
      </c>
      <c r="CI26" s="12">
        <f t="shared" si="52"/>
        <v>1</v>
      </c>
      <c r="CJ26" s="12">
        <f t="shared" si="52"/>
        <v>1</v>
      </c>
      <c r="CK26" s="12">
        <f t="shared" si="52"/>
        <v>1</v>
      </c>
      <c r="CL26" s="12">
        <f t="shared" si="52"/>
        <v>1</v>
      </c>
      <c r="CM26" s="12">
        <f t="shared" si="52"/>
        <v>1</v>
      </c>
      <c r="CN26" s="12">
        <f t="shared" si="52"/>
        <v>1</v>
      </c>
      <c r="CO26" s="12">
        <f t="shared" si="52"/>
        <v>0</v>
      </c>
      <c r="CP26" s="12">
        <f t="shared" si="52"/>
        <v>0</v>
      </c>
      <c r="CQ26" s="12">
        <f t="shared" si="52"/>
        <v>0</v>
      </c>
      <c r="CR26" s="12">
        <f t="shared" si="52"/>
        <v>0</v>
      </c>
      <c r="CS26" s="12">
        <f t="shared" si="52"/>
        <v>0</v>
      </c>
      <c r="CT26" s="12">
        <f t="shared" si="52"/>
        <v>1</v>
      </c>
      <c r="CU26" s="12">
        <f t="shared" ref="CU26:DZ26" si="53">IF(AND(CU4&lt;0,CU10&lt;0),1,0)</f>
        <v>1</v>
      </c>
      <c r="CV26" s="12">
        <f t="shared" si="53"/>
        <v>1</v>
      </c>
      <c r="CW26" s="12">
        <f t="shared" si="53"/>
        <v>0</v>
      </c>
      <c r="CX26" s="12">
        <f t="shared" si="53"/>
        <v>1</v>
      </c>
      <c r="CY26" s="12">
        <f t="shared" si="53"/>
        <v>0</v>
      </c>
      <c r="CZ26" s="12">
        <f t="shared" si="53"/>
        <v>1</v>
      </c>
      <c r="DA26" s="12">
        <f t="shared" si="53"/>
        <v>1</v>
      </c>
      <c r="DB26" s="12">
        <f t="shared" si="53"/>
        <v>0</v>
      </c>
      <c r="DC26" s="12">
        <f t="shared" si="53"/>
        <v>1</v>
      </c>
      <c r="DD26" s="12">
        <f t="shared" si="53"/>
        <v>1</v>
      </c>
      <c r="DE26" s="12">
        <f t="shared" si="53"/>
        <v>1</v>
      </c>
      <c r="DF26" s="12">
        <f t="shared" si="53"/>
        <v>1</v>
      </c>
      <c r="DG26" s="12">
        <f t="shared" si="53"/>
        <v>1</v>
      </c>
      <c r="DH26" s="12">
        <f t="shared" si="53"/>
        <v>1</v>
      </c>
      <c r="DI26" s="12">
        <f t="shared" si="53"/>
        <v>1</v>
      </c>
      <c r="DJ26" s="12">
        <f t="shared" si="53"/>
        <v>1</v>
      </c>
      <c r="DK26" s="12">
        <f t="shared" si="53"/>
        <v>1</v>
      </c>
      <c r="DL26" s="12">
        <f t="shared" si="53"/>
        <v>1</v>
      </c>
      <c r="DM26" s="12">
        <f t="shared" si="53"/>
        <v>0</v>
      </c>
      <c r="DN26" s="12">
        <f t="shared" si="53"/>
        <v>1</v>
      </c>
      <c r="DO26" s="12">
        <f t="shared" si="53"/>
        <v>0</v>
      </c>
      <c r="DP26" s="12">
        <f t="shared" si="53"/>
        <v>1</v>
      </c>
      <c r="DQ26" s="12">
        <f t="shared" si="53"/>
        <v>0</v>
      </c>
      <c r="DR26" s="12">
        <f t="shared" si="53"/>
        <v>0</v>
      </c>
      <c r="DS26" s="12">
        <f t="shared" si="53"/>
        <v>1</v>
      </c>
      <c r="DT26" s="12">
        <f t="shared" si="53"/>
        <v>1</v>
      </c>
      <c r="DU26" s="12">
        <f t="shared" si="53"/>
        <v>1</v>
      </c>
      <c r="DV26" s="12">
        <f t="shared" si="53"/>
        <v>1</v>
      </c>
      <c r="DW26" s="12">
        <f t="shared" si="53"/>
        <v>0</v>
      </c>
      <c r="DX26" s="12">
        <f t="shared" si="53"/>
        <v>1</v>
      </c>
      <c r="DY26" s="12">
        <f t="shared" si="53"/>
        <v>1</v>
      </c>
      <c r="DZ26" s="12">
        <f t="shared" si="53"/>
        <v>0</v>
      </c>
      <c r="EA26" s="12">
        <f t="shared" ref="EA26:EL26" si="54">IF(AND(EA4&lt;0,EA10&lt;0),1,0)</f>
        <v>0</v>
      </c>
      <c r="EB26" s="12">
        <f t="shared" si="54"/>
        <v>1</v>
      </c>
      <c r="EC26" s="12">
        <f t="shared" si="54"/>
        <v>1</v>
      </c>
      <c r="ED26" s="12">
        <f t="shared" si="54"/>
        <v>1</v>
      </c>
      <c r="EE26" s="12">
        <f t="shared" si="54"/>
        <v>1</v>
      </c>
      <c r="EF26" s="12">
        <f t="shared" si="54"/>
        <v>1</v>
      </c>
      <c r="EG26" s="12">
        <f t="shared" si="54"/>
        <v>0</v>
      </c>
      <c r="EH26" s="12">
        <f t="shared" si="54"/>
        <v>1</v>
      </c>
      <c r="EI26" s="12">
        <f t="shared" si="54"/>
        <v>0</v>
      </c>
      <c r="EJ26" s="12">
        <f t="shared" si="54"/>
        <v>0</v>
      </c>
      <c r="EK26" s="12">
        <f t="shared" si="54"/>
        <v>1</v>
      </c>
      <c r="EL26" s="12">
        <f t="shared" si="54"/>
        <v>0</v>
      </c>
    </row>
    <row r="27" spans="1:142" ht="25" customHeight="1" x14ac:dyDescent="0.55000000000000004">
      <c r="B27" s="14" t="s">
        <v>145</v>
      </c>
      <c r="C27" s="12">
        <f t="shared" ref="C27:AH27" si="55">IF(AND(C5&lt;0,C11&lt;0),1,0)</f>
        <v>0</v>
      </c>
      <c r="D27" s="12">
        <f t="shared" si="55"/>
        <v>0</v>
      </c>
      <c r="E27" s="12">
        <f t="shared" si="55"/>
        <v>0</v>
      </c>
      <c r="F27" s="12">
        <f t="shared" si="55"/>
        <v>0</v>
      </c>
      <c r="G27" s="12">
        <f t="shared" si="55"/>
        <v>0</v>
      </c>
      <c r="H27" s="12">
        <f t="shared" si="55"/>
        <v>0</v>
      </c>
      <c r="I27" s="12">
        <f t="shared" si="55"/>
        <v>0</v>
      </c>
      <c r="J27" s="12">
        <f t="shared" si="55"/>
        <v>0</v>
      </c>
      <c r="K27" s="12">
        <f t="shared" si="55"/>
        <v>0</v>
      </c>
      <c r="L27" s="12">
        <f t="shared" si="55"/>
        <v>0</v>
      </c>
      <c r="M27" s="12">
        <f t="shared" si="55"/>
        <v>0</v>
      </c>
      <c r="N27" s="12">
        <f t="shared" si="55"/>
        <v>0</v>
      </c>
      <c r="O27" s="12">
        <f t="shared" si="55"/>
        <v>0</v>
      </c>
      <c r="P27" s="12">
        <f t="shared" si="55"/>
        <v>0</v>
      </c>
      <c r="Q27" s="12">
        <f t="shared" si="55"/>
        <v>0</v>
      </c>
      <c r="R27" s="12">
        <f t="shared" si="55"/>
        <v>0</v>
      </c>
      <c r="S27" s="12">
        <f t="shared" si="55"/>
        <v>0</v>
      </c>
      <c r="T27" s="12">
        <f t="shared" si="55"/>
        <v>0</v>
      </c>
      <c r="U27" s="12">
        <f t="shared" si="55"/>
        <v>0</v>
      </c>
      <c r="V27" s="12">
        <f t="shared" si="55"/>
        <v>0</v>
      </c>
      <c r="W27" s="12">
        <f t="shared" si="55"/>
        <v>0</v>
      </c>
      <c r="X27" s="12">
        <f t="shared" si="55"/>
        <v>0</v>
      </c>
      <c r="Y27" s="12">
        <f t="shared" si="55"/>
        <v>0</v>
      </c>
      <c r="Z27" s="12">
        <f t="shared" si="55"/>
        <v>0</v>
      </c>
      <c r="AA27" s="12">
        <f t="shared" si="55"/>
        <v>0</v>
      </c>
      <c r="AB27" s="12">
        <f t="shared" si="55"/>
        <v>0</v>
      </c>
      <c r="AC27" s="12">
        <f t="shared" si="55"/>
        <v>0</v>
      </c>
      <c r="AD27" s="12">
        <f t="shared" si="55"/>
        <v>0</v>
      </c>
      <c r="AE27" s="12">
        <f t="shared" si="55"/>
        <v>0</v>
      </c>
      <c r="AF27" s="12">
        <f t="shared" si="55"/>
        <v>0</v>
      </c>
      <c r="AG27" s="12">
        <f t="shared" si="55"/>
        <v>0</v>
      </c>
      <c r="AH27" s="12">
        <f t="shared" si="55"/>
        <v>0</v>
      </c>
      <c r="AI27" s="12">
        <f t="shared" ref="AI27:BN27" si="56">IF(AND(AI5&lt;0,AI11&lt;0),1,0)</f>
        <v>0</v>
      </c>
      <c r="AJ27" s="12">
        <f t="shared" si="56"/>
        <v>0</v>
      </c>
      <c r="AK27" s="12">
        <f t="shared" si="56"/>
        <v>0</v>
      </c>
      <c r="AL27" s="12">
        <f t="shared" si="56"/>
        <v>0</v>
      </c>
      <c r="AM27" s="12">
        <f t="shared" si="56"/>
        <v>0</v>
      </c>
      <c r="AN27" s="12">
        <f t="shared" si="56"/>
        <v>0</v>
      </c>
      <c r="AO27" s="12">
        <f t="shared" si="56"/>
        <v>0</v>
      </c>
      <c r="AP27" s="12">
        <f t="shared" si="56"/>
        <v>0</v>
      </c>
      <c r="AQ27" s="12">
        <f t="shared" si="56"/>
        <v>0</v>
      </c>
      <c r="AR27" s="12">
        <f t="shared" si="56"/>
        <v>0</v>
      </c>
      <c r="AS27" s="12">
        <f t="shared" si="56"/>
        <v>0</v>
      </c>
      <c r="AT27" s="12">
        <f t="shared" si="56"/>
        <v>0</v>
      </c>
      <c r="AU27" s="12">
        <f t="shared" si="56"/>
        <v>0</v>
      </c>
      <c r="AV27" s="12">
        <f t="shared" si="56"/>
        <v>0</v>
      </c>
      <c r="AW27" s="12">
        <f t="shared" si="56"/>
        <v>0</v>
      </c>
      <c r="AX27" s="12">
        <f t="shared" si="56"/>
        <v>0</v>
      </c>
      <c r="AY27" s="12">
        <f t="shared" si="56"/>
        <v>0</v>
      </c>
      <c r="AZ27" s="12">
        <f t="shared" si="56"/>
        <v>0</v>
      </c>
      <c r="BA27" s="12">
        <f t="shared" si="56"/>
        <v>0</v>
      </c>
      <c r="BB27" s="12">
        <f t="shared" si="56"/>
        <v>0</v>
      </c>
      <c r="BC27" s="12">
        <f t="shared" si="56"/>
        <v>0</v>
      </c>
      <c r="BD27" s="12">
        <f t="shared" si="56"/>
        <v>0</v>
      </c>
      <c r="BE27" s="12">
        <f t="shared" si="56"/>
        <v>0</v>
      </c>
      <c r="BF27" s="12">
        <f t="shared" si="56"/>
        <v>0</v>
      </c>
      <c r="BG27" s="12">
        <f t="shared" si="56"/>
        <v>0</v>
      </c>
      <c r="BH27" s="12">
        <f t="shared" si="56"/>
        <v>0</v>
      </c>
      <c r="BI27" s="12">
        <f t="shared" si="56"/>
        <v>0</v>
      </c>
      <c r="BJ27" s="12">
        <f t="shared" si="56"/>
        <v>0</v>
      </c>
      <c r="BK27" s="12">
        <f t="shared" si="56"/>
        <v>0</v>
      </c>
      <c r="BL27" s="12">
        <f t="shared" si="56"/>
        <v>1</v>
      </c>
      <c r="BM27" s="12">
        <f t="shared" si="56"/>
        <v>1</v>
      </c>
      <c r="BN27" s="12">
        <f t="shared" si="56"/>
        <v>0</v>
      </c>
      <c r="BO27" s="12">
        <f t="shared" ref="BO27:CT27" si="57">IF(AND(BO5&lt;0,BO11&lt;0),1,0)</f>
        <v>1</v>
      </c>
      <c r="BP27" s="12">
        <f t="shared" si="57"/>
        <v>0</v>
      </c>
      <c r="BQ27" s="12">
        <f t="shared" si="57"/>
        <v>0</v>
      </c>
      <c r="BR27" s="12">
        <f t="shared" si="57"/>
        <v>0</v>
      </c>
      <c r="BS27" s="12">
        <f t="shared" si="57"/>
        <v>0</v>
      </c>
      <c r="BT27" s="12">
        <f t="shared" si="57"/>
        <v>0</v>
      </c>
      <c r="BU27" s="12">
        <f t="shared" si="57"/>
        <v>0</v>
      </c>
      <c r="BV27" s="12">
        <f t="shared" si="57"/>
        <v>0</v>
      </c>
      <c r="BW27" s="12">
        <f t="shared" si="57"/>
        <v>0</v>
      </c>
      <c r="BX27" s="12">
        <f t="shared" si="57"/>
        <v>0</v>
      </c>
      <c r="BY27" s="12">
        <f t="shared" si="57"/>
        <v>0</v>
      </c>
      <c r="BZ27" s="12">
        <f t="shared" si="57"/>
        <v>0</v>
      </c>
      <c r="CA27" s="12">
        <f t="shared" si="57"/>
        <v>0</v>
      </c>
      <c r="CB27" s="12">
        <f t="shared" si="57"/>
        <v>0</v>
      </c>
      <c r="CC27" s="12">
        <f t="shared" si="57"/>
        <v>0</v>
      </c>
      <c r="CD27" s="12">
        <f t="shared" si="57"/>
        <v>0</v>
      </c>
      <c r="CE27" s="12">
        <f t="shared" si="57"/>
        <v>0</v>
      </c>
      <c r="CF27" s="12">
        <f t="shared" si="57"/>
        <v>0</v>
      </c>
      <c r="CG27" s="12">
        <f t="shared" si="57"/>
        <v>0</v>
      </c>
      <c r="CH27" s="12">
        <f t="shared" si="57"/>
        <v>0</v>
      </c>
      <c r="CI27" s="12">
        <f t="shared" si="57"/>
        <v>0</v>
      </c>
      <c r="CJ27" s="12">
        <f t="shared" si="57"/>
        <v>1</v>
      </c>
      <c r="CK27" s="12">
        <f t="shared" si="57"/>
        <v>0</v>
      </c>
      <c r="CL27" s="12">
        <f t="shared" si="57"/>
        <v>0</v>
      </c>
      <c r="CM27" s="12">
        <f t="shared" si="57"/>
        <v>0</v>
      </c>
      <c r="CN27" s="12">
        <f t="shared" si="57"/>
        <v>0</v>
      </c>
      <c r="CO27" s="12">
        <f t="shared" si="57"/>
        <v>0</v>
      </c>
      <c r="CP27" s="12">
        <f t="shared" si="57"/>
        <v>0</v>
      </c>
      <c r="CQ27" s="12">
        <f t="shared" si="57"/>
        <v>0</v>
      </c>
      <c r="CR27" s="12">
        <f t="shared" si="57"/>
        <v>0</v>
      </c>
      <c r="CS27" s="12">
        <f t="shared" si="57"/>
        <v>1</v>
      </c>
      <c r="CT27" s="12">
        <f t="shared" si="57"/>
        <v>0</v>
      </c>
      <c r="CU27" s="12">
        <f t="shared" ref="CU27:DZ27" si="58">IF(AND(CU5&lt;0,CU11&lt;0),1,0)</f>
        <v>0</v>
      </c>
      <c r="CV27" s="12">
        <f t="shared" si="58"/>
        <v>0</v>
      </c>
      <c r="CW27" s="12">
        <f t="shared" si="58"/>
        <v>1</v>
      </c>
      <c r="CX27" s="12">
        <f t="shared" si="58"/>
        <v>0</v>
      </c>
      <c r="CY27" s="12">
        <f t="shared" si="58"/>
        <v>0</v>
      </c>
      <c r="CZ27" s="12">
        <f t="shared" si="58"/>
        <v>0</v>
      </c>
      <c r="DA27" s="12">
        <f t="shared" si="58"/>
        <v>0</v>
      </c>
      <c r="DB27" s="12">
        <f t="shared" si="58"/>
        <v>0</v>
      </c>
      <c r="DC27" s="12">
        <f t="shared" si="58"/>
        <v>0</v>
      </c>
      <c r="DD27" s="12">
        <f t="shared" si="58"/>
        <v>0</v>
      </c>
      <c r="DE27" s="12">
        <f t="shared" si="58"/>
        <v>0</v>
      </c>
      <c r="DF27" s="12">
        <f t="shared" si="58"/>
        <v>0</v>
      </c>
      <c r="DG27" s="12">
        <f t="shared" si="58"/>
        <v>1</v>
      </c>
      <c r="DH27" s="12">
        <f t="shared" si="58"/>
        <v>0</v>
      </c>
      <c r="DI27" s="12">
        <f t="shared" si="58"/>
        <v>1</v>
      </c>
      <c r="DJ27" s="12">
        <f t="shared" si="58"/>
        <v>0</v>
      </c>
      <c r="DK27" s="12">
        <f t="shared" si="58"/>
        <v>0</v>
      </c>
      <c r="DL27" s="12">
        <f t="shared" si="58"/>
        <v>0</v>
      </c>
      <c r="DM27" s="12">
        <f t="shared" si="58"/>
        <v>0</v>
      </c>
      <c r="DN27" s="12">
        <f t="shared" si="58"/>
        <v>0</v>
      </c>
      <c r="DO27" s="12">
        <f t="shared" si="58"/>
        <v>0</v>
      </c>
      <c r="DP27" s="12">
        <f t="shared" si="58"/>
        <v>0</v>
      </c>
      <c r="DQ27" s="12">
        <f t="shared" si="58"/>
        <v>0</v>
      </c>
      <c r="DR27" s="12">
        <f t="shared" si="58"/>
        <v>0</v>
      </c>
      <c r="DS27" s="12">
        <f t="shared" si="58"/>
        <v>0</v>
      </c>
      <c r="DT27" s="12">
        <f t="shared" si="58"/>
        <v>0</v>
      </c>
      <c r="DU27" s="12">
        <f t="shared" si="58"/>
        <v>0</v>
      </c>
      <c r="DV27" s="12">
        <f t="shared" si="58"/>
        <v>0</v>
      </c>
      <c r="DW27" s="12">
        <f t="shared" si="58"/>
        <v>0</v>
      </c>
      <c r="DX27" s="12">
        <f t="shared" si="58"/>
        <v>0</v>
      </c>
      <c r="DY27" s="12">
        <f t="shared" si="58"/>
        <v>0</v>
      </c>
      <c r="DZ27" s="12">
        <f t="shared" si="58"/>
        <v>0</v>
      </c>
      <c r="EA27" s="12">
        <f t="shared" ref="EA27:EL27" si="59">IF(AND(EA5&lt;0,EA11&lt;0),1,0)</f>
        <v>0</v>
      </c>
      <c r="EB27" s="12">
        <f t="shared" si="59"/>
        <v>0</v>
      </c>
      <c r="EC27" s="12">
        <f t="shared" si="59"/>
        <v>0</v>
      </c>
      <c r="ED27" s="12">
        <f t="shared" si="59"/>
        <v>1</v>
      </c>
      <c r="EE27" s="12">
        <f t="shared" si="59"/>
        <v>0</v>
      </c>
      <c r="EF27" s="12">
        <f t="shared" si="59"/>
        <v>0</v>
      </c>
      <c r="EG27" s="12">
        <f t="shared" si="59"/>
        <v>0</v>
      </c>
      <c r="EH27" s="12">
        <f t="shared" si="59"/>
        <v>0</v>
      </c>
      <c r="EI27" s="12">
        <f t="shared" si="59"/>
        <v>0</v>
      </c>
      <c r="EJ27" s="12">
        <f t="shared" si="59"/>
        <v>0</v>
      </c>
      <c r="EK27" s="12">
        <f t="shared" si="59"/>
        <v>0</v>
      </c>
      <c r="EL27" s="12">
        <f t="shared" si="59"/>
        <v>0</v>
      </c>
    </row>
    <row r="28" spans="1:142" ht="25" customHeight="1" x14ac:dyDescent="0.55000000000000004">
      <c r="B28" s="16" t="s">
        <v>293</v>
      </c>
      <c r="C28" s="12">
        <f>SUM(C25:C27)+SUM(D25:D27)+SUM(E25:E27)+SUM(F25:F27)+SUM(G25:G27)+SUM(H25:H27)+SUM(I25:I27)+SUM(J25:J27)+SUM(K25:K27)+SUM(L25:L27)+SUM(M25:M27)+SUM(N25:N27)+SUM(O25:O27)+SUM(P25:P27)+SUM(Q25:Q27)+SUM(R25:R27)+SUM(S25:S27)+SUM(T25:T27)+SUM(U25:U27)+SUM(V25:V27)+SUM(W25:W27)+SUM(X25:X27)+SUM(Y25:Y27)+SUM(Z25:Z27)+SUM(AA25:AA27)+SUM(AB25:AB27)+SUM(AC25:AC27)+SUM(AD25:AD27)+SUM(AE25:AE27)+SUM(AF25:AF27)+SUM(AG25:AG27)+SUM(AH25:AH27)+SUM(AI25:AI27)+SUM(AJ25:AJ27)+SUM(AK25:AK27)+SUM(AL25:AL27)+SUM(AM25:AM27)+SUM(AN25:AN27)+SUM(AO25:AO27)+SUM(AP25:AP27)+SUM(AQ25:AQ27)+SUM(AR25:AR27)+SUM(AS25:AS27)+SUM(AT25:AT27)+SUM(AU25:AU27)+SUM(AV25:AV27)+SUM(AW25:AW27)+SUM(AX25:AX27)+SUM(AY25:AY27)+SUM(AZ25:AZ27)+SUM(BA25:BA27)+SUM(BB25:BB27)+SUM(BC25:BC27)+SUM(BD25:BD27)+SUM(BE25:BE27)+SUM(BF25:BF27)+SUM(BG25:BG27)+SUM(BH25:BH27)+SUM(BI25:BI27)+SUM(BJ25:BJ27)+SUM(BK25:BK27)+SUM(BL25:BL27)+SUM(BM25:BM27)+SUM(BN25:BN27)+SUM(BO25:BO27)+SUM(BP25:BP27)+SUM(BQ25:BQ27)+SUM(BR25:BR27)+SUM(BS25:BS27)+SUM(BT25:BT27)+SUM(BU25:BU27)+SUM(BV25:BV27)+SUM(BW25:BW27)+SUM(BX25:BX27)+SUM(BY25:BY27)+SUM(BZ25:BZ27)+SUM(CA25:CA27)+SUM(CB25:CB27)+SUM(CC25:CC27)+SUM(CD25:CD27)+SUM(CE25:CE27)+SUM(CF25:CF27)+SUM(CG25:CG27)+SUM(CH25:CH27)+SUM(CI25:CI27)+SUM(CJ25:CJ27)+SUM(CK25:CK27)+SUM(CL25:CL27)+SUM(CM25:CM27)+SUM(CN25:CN27)+SUM(CO25:CO27)+SUM(CP25:CP27)+SUM(CQ25:CQ27)+SUM(CR25:CR27)+SUM(CS25:CS27)+SUM(CT25:CT27)+SUM(CU25:CU27)+SUM(CV25:CV27)+SUM(CW25:CW27)+SUM(CX25:CX27)+SUM(CY25:CY27)+SUM(CZ25:CZ27)+SUM(DA25:DA27)+SUM(DB25:DB27)+SUM(DC25:DC27)+SUM(DD25:DD27)+SUM(DE25:DE27)+SUM(DF25:DF27)+SUM(DG25:DG27)+SUM(DH25:DH27)+SUM(DI25:DI27)+SUM(DJ25:DJ27)+SUM(DK25:DK27)+SUM(DL25:DL27)+SUM(DM25:DM27)+SUM(DN25:DN27)+SUM(DO25:DO27)+SUM(DP25:DP27)+SUM(DQ25:DQ27)+SUM(DR25:DR27)+SUM(DS25:DS27)+SUM(DT25:DT27)+SUM(DU25:DU27)+SUM(DV25:DV27)+SUM(DW25:DW27)+SUM(DX25:DX27)+SUM(DY25:DY27)+SUM(DZ25:DZ27)+SUM(EA25:EA27)+SUM(EB25:EB27)+SUM(EC25:EC27)+SUM(ED25:ED27)+SUM(EE25:EE27)+SUM(EF25:EF27)+SUM(EG25:EG27)+SUM(EH25:EH27)+SUM(EI25:EI27)+SUM(EJ25:EJ27)+SUM(EK25:EK27)+SUM(EL25:EL27)</f>
        <v>100</v>
      </c>
    </row>
    <row r="30" spans="1:142" ht="25" customHeight="1" x14ac:dyDescent="0.55000000000000004">
      <c r="A30" s="12" t="s">
        <v>295</v>
      </c>
      <c r="B30" s="12" t="s">
        <v>296</v>
      </c>
      <c r="C30" s="15">
        <f>(C16+C28)/(C16+C28+C20+C24)</f>
        <v>0.6333333333333333</v>
      </c>
    </row>
    <row r="31" spans="1:142" ht="25" customHeight="1" x14ac:dyDescent="0.55000000000000004">
      <c r="A31" s="12" t="s">
        <v>297</v>
      </c>
      <c r="B31" s="12" t="s">
        <v>298</v>
      </c>
      <c r="C31" s="15">
        <f>C16/(C16+C20)</f>
        <v>0.64092664092664098</v>
      </c>
    </row>
    <row r="32" spans="1:142" ht="25" customHeight="1" x14ac:dyDescent="0.55000000000000004">
      <c r="A32" s="12" t="s">
        <v>299</v>
      </c>
      <c r="B32" s="12" t="s">
        <v>300</v>
      </c>
      <c r="C32" s="15">
        <f>C16/(C16+C24)</f>
        <v>0.7312775330396476</v>
      </c>
    </row>
    <row r="33" spans="1:3" ht="25" customHeight="1" x14ac:dyDescent="0.55000000000000004">
      <c r="A33" s="12" t="s">
        <v>301</v>
      </c>
      <c r="B33" s="12" t="s">
        <v>302</v>
      </c>
      <c r="C33" s="15">
        <f>2*(C31*C32)/(C31+C32)</f>
        <v>0.68312757201646102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圖表</vt:lpstr>
      </vt:variant>
      <vt:variant>
        <vt:i4>1</vt:i4>
      </vt:variant>
    </vt:vector>
  </HeadingPairs>
  <TitlesOfParts>
    <vt:vector size="8" baseType="lpstr">
      <vt:lpstr>真實IC</vt:lpstr>
      <vt:lpstr>預測IC</vt:lpstr>
      <vt:lpstr>勝率</vt:lpstr>
      <vt:lpstr>累積報酬</vt:lpstr>
      <vt:lpstr>R-square</vt:lpstr>
      <vt:lpstr>畫圖0</vt:lpstr>
      <vt:lpstr>混淆矩陣</vt:lpstr>
      <vt:lpstr>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Chen</dc:creator>
  <cp:lastModifiedBy>Raymond Chen</cp:lastModifiedBy>
  <dcterms:created xsi:type="dcterms:W3CDTF">2015-06-05T18:19:34Z</dcterms:created>
  <dcterms:modified xsi:type="dcterms:W3CDTF">2025-12-27T06:30:48Z</dcterms:modified>
</cp:coreProperties>
</file>