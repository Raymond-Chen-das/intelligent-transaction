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B8F3B6F7-695B-4D4D-B281-FA1992B7F59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O16" i="2" s="1"/>
  <c r="EM17" i="2"/>
  <c r="EM18" i="2"/>
  <c r="EM19" i="2"/>
  <c r="EM20" i="2"/>
  <c r="EM21" i="2"/>
  <c r="EM22" i="2"/>
  <c r="EM23" i="2"/>
  <c r="EO23" i="2" s="1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F25" i="7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E25" i="7"/>
  <c r="D25" i="7"/>
  <c r="G24" i="7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E24" i="7"/>
  <c r="F24" i="7" s="1"/>
  <c r="D24" i="7"/>
  <c r="F23" i="7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D23" i="7"/>
  <c r="E23" i="7" s="1"/>
  <c r="D22" i="7"/>
  <c r="E22" i="7" s="1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E21" i="7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D21" i="7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D19" i="7"/>
  <c r="D18" i="7"/>
  <c r="E18" i="7" s="1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7" i="7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D16" i="7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D15" i="7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E14" i="7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D14" i="7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L8" i="7"/>
  <c r="EI8" i="7"/>
  <c r="EH8" i="7"/>
  <c r="EE8" i="7"/>
  <c r="DW8" i="7"/>
  <c r="DV8" i="7"/>
  <c r="DT8" i="7"/>
  <c r="DN8" i="7"/>
  <c r="DM8" i="7"/>
  <c r="DL8" i="7"/>
  <c r="DK8" i="7"/>
  <c r="DI8" i="7"/>
  <c r="DG8" i="7"/>
  <c r="DF8" i="7"/>
  <c r="DD8" i="7"/>
  <c r="CY8" i="7"/>
  <c r="CX8" i="7"/>
  <c r="CR8" i="7"/>
  <c r="CO8" i="7"/>
  <c r="CF8" i="7"/>
  <c r="CE8" i="7"/>
  <c r="CD8" i="7"/>
  <c r="CC8" i="7"/>
  <c r="CB8" i="7"/>
  <c r="BT8" i="7"/>
  <c r="BS8" i="7"/>
  <c r="BQ8" i="7"/>
  <c r="BO8" i="7"/>
  <c r="BN8" i="7"/>
  <c r="BM8" i="7"/>
  <c r="BL8" i="7"/>
  <c r="BK8" i="7"/>
  <c r="BJ8" i="7"/>
  <c r="BH8" i="7"/>
  <c r="BF8" i="7"/>
  <c r="BE8" i="7"/>
  <c r="AW8" i="7"/>
  <c r="AU8" i="7"/>
  <c r="AS8" i="7"/>
  <c r="AR8" i="7"/>
  <c r="AQ8" i="7"/>
  <c r="AP8" i="7"/>
  <c r="AO8" i="7"/>
  <c r="AL8" i="7"/>
  <c r="AK8" i="7"/>
  <c r="AJ8" i="7"/>
  <c r="AH8" i="7"/>
  <c r="AF8" i="7"/>
  <c r="AC8" i="7"/>
  <c r="Y8" i="7"/>
  <c r="W8" i="7"/>
  <c r="P8" i="7"/>
  <c r="N8" i="7"/>
  <c r="M8" i="7"/>
  <c r="F8" i="7"/>
  <c r="E8" i="7"/>
  <c r="C8" i="7"/>
  <c r="EI7" i="7"/>
  <c r="EH7" i="7"/>
  <c r="EG7" i="7"/>
  <c r="EE7" i="7"/>
  <c r="DZ7" i="7"/>
  <c r="DY7" i="7"/>
  <c r="DV7" i="7"/>
  <c r="DT7" i="7"/>
  <c r="DK7" i="7"/>
  <c r="DJ7" i="7"/>
  <c r="DI7" i="7"/>
  <c r="DD7" i="7"/>
  <c r="DB7" i="7"/>
  <c r="DA7" i="7"/>
  <c r="CZ7" i="7"/>
  <c r="CR7" i="7"/>
  <c r="CM7" i="7"/>
  <c r="CL7" i="7"/>
  <c r="CG7" i="7"/>
  <c r="CF7" i="7"/>
  <c r="CE7" i="7"/>
  <c r="CD7" i="7"/>
  <c r="CC7" i="7"/>
  <c r="CB7" i="7"/>
  <c r="BY7" i="7"/>
  <c r="BT7" i="7"/>
  <c r="BS7" i="7"/>
  <c r="BQ7" i="7"/>
  <c r="BM7" i="7"/>
  <c r="BH7" i="7"/>
  <c r="BF7" i="7"/>
  <c r="BE7" i="7"/>
  <c r="AZ7" i="7"/>
  <c r="AY7" i="7"/>
  <c r="AX7" i="7"/>
  <c r="AW7" i="7"/>
  <c r="AV7" i="7"/>
  <c r="AU7" i="7"/>
  <c r="AT7" i="7"/>
  <c r="AS7" i="7"/>
  <c r="AL7" i="7"/>
  <c r="AK7" i="7"/>
  <c r="AJ7" i="7"/>
  <c r="AH7" i="7"/>
  <c r="AD7" i="7"/>
  <c r="AA7" i="7"/>
  <c r="Y7" i="7"/>
  <c r="T7" i="7"/>
  <c r="S7" i="7"/>
  <c r="O7" i="7"/>
  <c r="N7" i="7"/>
  <c r="M7" i="7"/>
  <c r="L7" i="7"/>
  <c r="K7" i="7"/>
  <c r="G7" i="7"/>
  <c r="E7" i="7"/>
  <c r="D7" i="7"/>
  <c r="C7" i="7"/>
  <c r="EL6" i="7" a="1"/>
  <c r="EL6" i="7"/>
  <c r="EL7" i="7" s="1"/>
  <c r="EK6" i="7" a="1"/>
  <c r="EK6" i="7" s="1"/>
  <c r="EJ6" i="7" a="1"/>
  <c r="EJ6" i="7"/>
  <c r="EJ7" i="7" s="1"/>
  <c r="EI6" i="7" a="1"/>
  <c r="EI6" i="7"/>
  <c r="EH6" i="7" a="1"/>
  <c r="EH6" i="7" s="1"/>
  <c r="EG6" i="7" a="1"/>
  <c r="EG6" i="7"/>
  <c r="EG8" i="7" s="1"/>
  <c r="EF6" i="7" a="1"/>
  <c r="EF6" i="7"/>
  <c r="EF8" i="7" s="1"/>
  <c r="EE6" i="7" a="1"/>
  <c r="EE6" i="7"/>
  <c r="ED6" i="7" a="1"/>
  <c r="ED6" i="7"/>
  <c r="EC6" i="7" a="1"/>
  <c r="EC6" i="7"/>
  <c r="EB6" i="7" a="1"/>
  <c r="EB6" i="7"/>
  <c r="EB8" i="7" s="1"/>
  <c r="EA6" i="7" a="1"/>
  <c r="EA6" i="7" s="1"/>
  <c r="DZ6" i="7" a="1"/>
  <c r="DZ6" i="7"/>
  <c r="DZ8" i="7" s="1"/>
  <c r="DY6" i="7" a="1"/>
  <c r="DY6" i="7"/>
  <c r="DY8" i="7" s="1"/>
  <c r="DX6" i="7" a="1"/>
  <c r="DX6" i="7" s="1"/>
  <c r="DW6" i="7" a="1"/>
  <c r="DW6" i="7" s="1"/>
  <c r="DW7" i="7" s="1"/>
  <c r="DV6" i="7" a="1"/>
  <c r="DV6" i="7"/>
  <c r="DU6" i="7" a="1"/>
  <c r="DU6" i="7"/>
  <c r="DT6" i="7" a="1"/>
  <c r="DT6" i="7"/>
  <c r="DS6" i="7" a="1"/>
  <c r="DS6" i="7"/>
  <c r="DR6" i="7" a="1"/>
  <c r="DR6" i="7"/>
  <c r="DR8" i="7" s="1"/>
  <c r="DQ6" i="7" a="1"/>
  <c r="DQ6" i="7" s="1"/>
  <c r="DQ8" i="7" s="1"/>
  <c r="DP6" i="7" a="1"/>
  <c r="DP6" i="7"/>
  <c r="DO6" i="7" a="1"/>
  <c r="DO6" i="7"/>
  <c r="DN6" i="7" a="1"/>
  <c r="DN6" i="7" s="1"/>
  <c r="DN7" i="7" s="1"/>
  <c r="DM6" i="7" a="1"/>
  <c r="DM6" i="7" s="1"/>
  <c r="DM7" i="7" s="1"/>
  <c r="DL6" i="7" a="1"/>
  <c r="DL6" i="7" s="1"/>
  <c r="DL7" i="7" s="1"/>
  <c r="DK6" i="7" a="1"/>
  <c r="DK6" i="7"/>
  <c r="DJ6" i="7" a="1"/>
  <c r="DJ6" i="7"/>
  <c r="DJ8" i="7" s="1"/>
  <c r="DI6" i="7" a="1"/>
  <c r="DI6" i="7"/>
  <c r="DH6" i="7" a="1"/>
  <c r="DH6" i="7"/>
  <c r="DH8" i="7" s="1"/>
  <c r="DG6" i="7" a="1"/>
  <c r="DG6" i="7"/>
  <c r="DG7" i="7" s="1"/>
  <c r="DF6" i="7" a="1"/>
  <c r="DF6" i="7"/>
  <c r="DF7" i="7" s="1"/>
  <c r="DE6" i="7" a="1"/>
  <c r="DE6" i="7"/>
  <c r="DD6" i="7" a="1"/>
  <c r="DD6" i="7"/>
  <c r="DC6" i="7" a="1"/>
  <c r="DC6" i="7"/>
  <c r="DC7" i="7" s="1"/>
  <c r="DB6" i="7" a="1"/>
  <c r="DB6" i="7"/>
  <c r="DB8" i="7" s="1"/>
  <c r="DA6" i="7" a="1"/>
  <c r="DA6" i="7" s="1"/>
  <c r="DA8" i="7" s="1"/>
  <c r="CZ6" i="7" a="1"/>
  <c r="CZ6" i="7"/>
  <c r="CZ8" i="7" s="1"/>
  <c r="CY6" i="7" a="1"/>
  <c r="CY6" i="7" s="1"/>
  <c r="CY7" i="7" s="1"/>
  <c r="CX6" i="7" a="1"/>
  <c r="CX6" i="7"/>
  <c r="CX7" i="7" s="1"/>
  <c r="CW6" i="7" a="1"/>
  <c r="CW6" i="7"/>
  <c r="CV6" i="7" a="1"/>
  <c r="CV6" i="7"/>
  <c r="CU6" i="7" a="1"/>
  <c r="CU6" i="7"/>
  <c r="CU8" i="7" s="1"/>
  <c r="CT6" i="7" a="1"/>
  <c r="CT6" i="7"/>
  <c r="CT7" i="7" s="1"/>
  <c r="CS6" i="7" a="1"/>
  <c r="CS6" i="7"/>
  <c r="CR6" i="7" a="1"/>
  <c r="CR6" i="7"/>
  <c r="CQ6" i="7" a="1"/>
  <c r="CQ6" i="7" s="1"/>
  <c r="CP6" i="7" a="1"/>
  <c r="CP6" i="7" s="1"/>
  <c r="CO6" i="7" a="1"/>
  <c r="CO6" i="7"/>
  <c r="CO7" i="7" s="1"/>
  <c r="CN6" i="7" a="1"/>
  <c r="CN6" i="7"/>
  <c r="CM6" i="7" a="1"/>
  <c r="CM6" i="7"/>
  <c r="CM8" i="7" s="1"/>
  <c r="CL6" i="7" a="1"/>
  <c r="CL6" i="7"/>
  <c r="CL8" i="7" s="1"/>
  <c r="CK6" i="7" a="1"/>
  <c r="CK6" i="7"/>
  <c r="CK8" i="7" s="1"/>
  <c r="CJ6" i="7" a="1"/>
  <c r="CJ6" i="7"/>
  <c r="CI6" i="7" a="1"/>
  <c r="CI6" i="7"/>
  <c r="CH6" i="7" a="1"/>
  <c r="CH6" i="7"/>
  <c r="CG6" i="7" a="1"/>
  <c r="CG6" i="7"/>
  <c r="CG8" i="7" s="1"/>
  <c r="CF6" i="7" a="1"/>
  <c r="CF6" i="7"/>
  <c r="CE6" i="7" a="1"/>
  <c r="CE6" i="7" s="1"/>
  <c r="CD6" i="7" a="1"/>
  <c r="CD6" i="7"/>
  <c r="CC6" i="7" a="1"/>
  <c r="CC6" i="7" s="1"/>
  <c r="CB6" i="7" a="1"/>
  <c r="CB6" i="7"/>
  <c r="CA6" i="7" a="1"/>
  <c r="CA6" i="7"/>
  <c r="BZ6" i="7" a="1"/>
  <c r="BZ6" i="7"/>
  <c r="BY6" i="7" a="1"/>
  <c r="BY6" i="7"/>
  <c r="BY8" i="7" s="1"/>
  <c r="BX6" i="7" a="1"/>
  <c r="BX6" i="7"/>
  <c r="BW6" i="7" a="1"/>
  <c r="BW6" i="7"/>
  <c r="BW7" i="7" s="1"/>
  <c r="BV6" i="7" a="1"/>
  <c r="BV6" i="7"/>
  <c r="BV7" i="7" s="1"/>
  <c r="BU6" i="7" a="1"/>
  <c r="BU6" i="7"/>
  <c r="BT6" i="7" a="1"/>
  <c r="BT6" i="7" s="1"/>
  <c r="BS6" i="7" a="1"/>
  <c r="BS6" i="7"/>
  <c r="BR6" i="7" a="1"/>
  <c r="BR6" i="7"/>
  <c r="BQ6" i="7" a="1"/>
  <c r="BQ6" i="7"/>
  <c r="BP6" i="7" a="1"/>
  <c r="BP6" i="7"/>
  <c r="BO6" i="7" a="1"/>
  <c r="BO6" i="7" s="1"/>
  <c r="BO7" i="7" s="1"/>
  <c r="BN6" i="7" a="1"/>
  <c r="BN6" i="7"/>
  <c r="BN7" i="7" s="1"/>
  <c r="BM6" i="7" a="1"/>
  <c r="BM6" i="7"/>
  <c r="BL6" i="7" a="1"/>
  <c r="BL6" i="7"/>
  <c r="BL7" i="7" s="1"/>
  <c r="BK6" i="7" a="1"/>
  <c r="BK6" i="7"/>
  <c r="BK7" i="7" s="1"/>
  <c r="BJ6" i="7" a="1"/>
  <c r="BJ6" i="7"/>
  <c r="BJ7" i="7" s="1"/>
  <c r="BI6" i="7" a="1"/>
  <c r="BI6" i="7" s="1"/>
  <c r="BH6" i="7" a="1"/>
  <c r="BH6" i="7"/>
  <c r="BG6" i="7" a="1"/>
  <c r="BG6" i="7"/>
  <c r="BF6" i="7" a="1"/>
  <c r="BF6" i="7"/>
  <c r="BE6" i="7" a="1"/>
  <c r="BE6" i="7"/>
  <c r="BD6" i="7" a="1"/>
  <c r="BD6" i="7"/>
  <c r="BC6" i="7" a="1"/>
  <c r="BC6" i="7"/>
  <c r="BB6" i="7" a="1"/>
  <c r="BB6" i="7"/>
  <c r="BA6" i="7" a="1"/>
  <c r="BA6" i="7"/>
  <c r="AZ6" i="7" a="1"/>
  <c r="AZ6" i="7"/>
  <c r="AZ8" i="7" s="1"/>
  <c r="AY6" i="7" a="1"/>
  <c r="AY6" i="7"/>
  <c r="AY8" i="7" s="1"/>
  <c r="AX6" i="7" a="1"/>
  <c r="AX6" i="7" s="1"/>
  <c r="AX8" i="7" s="1"/>
  <c r="AW6" i="7" a="1"/>
  <c r="AW6" i="7"/>
  <c r="AV6" i="7" a="1"/>
  <c r="AV6" i="7"/>
  <c r="AV8" i="7" s="1"/>
  <c r="AU6" i="7" a="1"/>
  <c r="AU6" i="7"/>
  <c r="AT6" i="7" a="1"/>
  <c r="AT6" i="7"/>
  <c r="AT8" i="7" s="1"/>
  <c r="AS6" i="7" a="1"/>
  <c r="AS6" i="7"/>
  <c r="AR6" i="7" a="1"/>
  <c r="AR6" i="7" s="1"/>
  <c r="AR7" i="7" s="1"/>
  <c r="AQ6" i="7" a="1"/>
  <c r="AQ6" i="7"/>
  <c r="AQ7" i="7" s="1"/>
  <c r="AP6" i="7" a="1"/>
  <c r="AP6" i="7"/>
  <c r="AP7" i="7" s="1"/>
  <c r="AO6" i="7" a="1"/>
  <c r="AO6" i="7"/>
  <c r="AO7" i="7" s="1"/>
  <c r="AN6" i="7" a="1"/>
  <c r="AN6" i="7"/>
  <c r="AN7" i="7" s="1"/>
  <c r="AM6" i="7" a="1"/>
  <c r="AM6" i="7" s="1"/>
  <c r="AL6" i="7" a="1"/>
  <c r="AL6" i="7"/>
  <c r="AK6" i="7" a="1"/>
  <c r="AK6" i="7" s="1"/>
  <c r="AJ6" i="7" a="1"/>
  <c r="AJ6" i="7"/>
  <c r="AI6" i="7" a="1"/>
  <c r="AI6" i="7"/>
  <c r="AI7" i="7" s="1"/>
  <c r="AH6" i="7" a="1"/>
  <c r="AH6" i="7" s="1"/>
  <c r="AG6" i="7" a="1"/>
  <c r="AG6" i="7" s="1"/>
  <c r="AF6" i="7" a="1"/>
  <c r="AF6" i="7"/>
  <c r="AF7" i="7" s="1"/>
  <c r="AE6" i="7" a="1"/>
  <c r="AE6" i="7"/>
  <c r="AD6" i="7" a="1"/>
  <c r="AD6" i="7"/>
  <c r="AD8" i="7" s="1"/>
  <c r="AC6" i="7" a="1"/>
  <c r="AC6" i="7"/>
  <c r="AC7" i="7" s="1"/>
  <c r="AB6" i="7" a="1"/>
  <c r="AB6" i="7" s="1"/>
  <c r="AA6" i="7" a="1"/>
  <c r="AA6" i="7"/>
  <c r="AA8" i="7" s="1"/>
  <c r="Z6" i="7" a="1"/>
  <c r="Z6" i="7"/>
  <c r="Y6" i="7" a="1"/>
  <c r="Y6" i="7"/>
  <c r="X6" i="7" a="1"/>
  <c r="X6" i="7"/>
  <c r="W6" i="7" a="1"/>
  <c r="W6" i="7"/>
  <c r="W7" i="7" s="1"/>
  <c r="V6" i="7" a="1"/>
  <c r="V6" i="7"/>
  <c r="U6" i="7" a="1"/>
  <c r="U6" i="7"/>
  <c r="T6" i="7" a="1"/>
  <c r="T6" i="7" s="1"/>
  <c r="T8" i="7" s="1"/>
  <c r="S6" i="7" a="1"/>
  <c r="S6" i="7"/>
  <c r="S8" i="7" s="1"/>
  <c r="R6" i="7" a="1"/>
  <c r="R6" i="7"/>
  <c r="R7" i="7" s="1"/>
  <c r="Q6" i="7" a="1"/>
  <c r="Q6" i="7" s="1"/>
  <c r="P6" i="7" a="1"/>
  <c r="P6" i="7"/>
  <c r="P7" i="7" s="1"/>
  <c r="O6" i="7" a="1"/>
  <c r="O6" i="7"/>
  <c r="O8" i="7" s="1"/>
  <c r="N6" i="7" a="1"/>
  <c r="N6" i="7"/>
  <c r="M6" i="7" a="1"/>
  <c r="M6" i="7"/>
  <c r="L6" i="7" a="1"/>
  <c r="L6" i="7"/>
  <c r="L8" i="7" s="1"/>
  <c r="K6" i="7" a="1"/>
  <c r="K6" i="7" s="1"/>
  <c r="K8" i="7" s="1"/>
  <c r="J6" i="7" a="1"/>
  <c r="J6" i="7"/>
  <c r="I6" i="7" a="1"/>
  <c r="I6" i="7" s="1"/>
  <c r="H6" i="7" a="1"/>
  <c r="H6" i="7" s="1"/>
  <c r="G6" i="7" a="1"/>
  <c r="G6" i="7"/>
  <c r="G8" i="7" s="1"/>
  <c r="F6" i="7" a="1"/>
  <c r="F6" i="7" s="1"/>
  <c r="F7" i="7" s="1"/>
  <c r="E6" i="7" a="1"/>
  <c r="E6" i="7"/>
  <c r="D6" i="7" a="1"/>
  <c r="D6" i="7"/>
  <c r="D8" i="7" s="1"/>
  <c r="C6" i="7" a="1"/>
  <c r="C6" i="7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B24" i="4"/>
  <c r="AE23" i="4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B23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B22" i="4"/>
  <c r="G21" i="4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F21" i="4"/>
  <c r="E21" i="4"/>
  <c r="D21" i="4"/>
  <c r="B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B20" i="4"/>
  <c r="F19" i="4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D19" i="4"/>
  <c r="E19" i="4" s="1"/>
  <c r="B19" i="4"/>
  <c r="H18" i="4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G18" i="4"/>
  <c r="E18" i="4"/>
  <c r="F18" i="4" s="1"/>
  <c r="D18" i="4"/>
  <c r="B18" i="4"/>
  <c r="E17" i="4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D17" i="4"/>
  <c r="B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B16" i="4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D15" i="4"/>
  <c r="B15" i="4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B14" i="4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D13" i="4"/>
  <c r="B13" i="4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B12" i="4"/>
  <c r="EL8" i="4"/>
  <c r="EK8" i="4"/>
  <c r="EJ8" i="4"/>
  <c r="EI8" i="4"/>
  <c r="EH8" i="4"/>
  <c r="EG8" i="4"/>
  <c r="EA8" i="4"/>
  <c r="DZ8" i="4"/>
  <c r="DY8" i="4"/>
  <c r="DP8" i="4"/>
  <c r="DO8" i="4"/>
  <c r="DN8" i="4"/>
  <c r="DM8" i="4"/>
  <c r="DL8" i="4"/>
  <c r="DK8" i="4"/>
  <c r="DJ8" i="4"/>
  <c r="DD8" i="4"/>
  <c r="DC8" i="4"/>
  <c r="DB8" i="4"/>
  <c r="DA8" i="4"/>
  <c r="CZ8" i="4"/>
  <c r="CY8" i="4"/>
  <c r="CW8" i="4"/>
  <c r="CV8" i="4"/>
  <c r="CR8" i="4"/>
  <c r="CQ8" i="4"/>
  <c r="CO8" i="4"/>
  <c r="CG8" i="4"/>
  <c r="CF8" i="4"/>
  <c r="CE8" i="4"/>
  <c r="CD8" i="4"/>
  <c r="CC8" i="4"/>
  <c r="CB8" i="4"/>
  <c r="CA8" i="4"/>
  <c r="BZ8" i="4"/>
  <c r="BY8" i="4"/>
  <c r="BW8" i="4"/>
  <c r="BV8" i="4"/>
  <c r="BS8" i="4"/>
  <c r="BO8" i="4"/>
  <c r="BK8" i="4"/>
  <c r="BJ8" i="4"/>
  <c r="AZ8" i="4"/>
  <c r="AV8" i="4"/>
  <c r="AU8" i="4"/>
  <c r="AS8" i="4"/>
  <c r="AR8" i="4"/>
  <c r="AI8" i="4"/>
  <c r="AH8" i="4"/>
  <c r="AG8" i="4"/>
  <c r="AF8" i="4"/>
  <c r="AE8" i="4"/>
  <c r="AD8" i="4"/>
  <c r="Y8" i="4"/>
  <c r="V8" i="4"/>
  <c r="U8" i="4"/>
  <c r="Q8" i="4"/>
  <c r="L8" i="4"/>
  <c r="H8" i="4"/>
  <c r="G8" i="4"/>
  <c r="F8" i="4"/>
  <c r="E8" i="4"/>
  <c r="EK7" i="4"/>
  <c r="EJ7" i="4"/>
  <c r="EI7" i="4"/>
  <c r="EA7" i="4"/>
  <c r="DZ7" i="4"/>
  <c r="DY7" i="4"/>
  <c r="DX7" i="4"/>
  <c r="DW7" i="4"/>
  <c r="DV7" i="4"/>
  <c r="DU7" i="4"/>
  <c r="DT7" i="4"/>
  <c r="DO7" i="4"/>
  <c r="DN7" i="4"/>
  <c r="DM7" i="4"/>
  <c r="DC7" i="4"/>
  <c r="DB7" i="4"/>
  <c r="DA7" i="4"/>
  <c r="CR7" i="4"/>
  <c r="CQ7" i="4"/>
  <c r="CJ7" i="4"/>
  <c r="CG7" i="4"/>
  <c r="CF7" i="4"/>
  <c r="CE7" i="4"/>
  <c r="CC7" i="4"/>
  <c r="BV7" i="4"/>
  <c r="BS7" i="4"/>
  <c r="BK7" i="4"/>
  <c r="BG7" i="4"/>
  <c r="BF7" i="4"/>
  <c r="BE7" i="4"/>
  <c r="BC7" i="4"/>
  <c r="BA7" i="4"/>
  <c r="AZ7" i="4"/>
  <c r="AY7" i="4"/>
  <c r="AX7" i="4"/>
  <c r="AV7" i="4"/>
  <c r="AU7" i="4"/>
  <c r="AT7" i="4"/>
  <c r="AO7" i="4"/>
  <c r="AJ7" i="4"/>
  <c r="AI7" i="4"/>
  <c r="AD7" i="4"/>
  <c r="Y7" i="4"/>
  <c r="X7" i="4"/>
  <c r="W7" i="4"/>
  <c r="S7" i="4"/>
  <c r="R7" i="4"/>
  <c r="Q7" i="4"/>
  <c r="P7" i="4"/>
  <c r="O7" i="4"/>
  <c r="N7" i="4"/>
  <c r="M7" i="4"/>
  <c r="L7" i="4"/>
  <c r="K7" i="4"/>
  <c r="H7" i="4"/>
  <c r="EL6" i="4" a="1"/>
  <c r="EL6" i="4"/>
  <c r="EL7" i="4" s="1"/>
  <c r="EK6" i="4" a="1"/>
  <c r="EK6" i="4" s="1"/>
  <c r="EJ6" i="4" a="1"/>
  <c r="EJ6" i="4"/>
  <c r="EI6" i="4" a="1"/>
  <c r="EI6" i="4"/>
  <c r="EH6" i="4" a="1"/>
  <c r="EH6" i="4"/>
  <c r="EH7" i="4" s="1"/>
  <c r="EG6" i="4" a="1"/>
  <c r="EG6" i="4"/>
  <c r="EG7" i="4" s="1"/>
  <c r="EF6" i="4" a="1"/>
  <c r="EF6" i="4"/>
  <c r="EE6" i="4" a="1"/>
  <c r="EE6" i="4"/>
  <c r="ED6" i="4" a="1"/>
  <c r="ED6" i="4" s="1"/>
  <c r="EC6" i="4" a="1"/>
  <c r="EC6" i="4"/>
  <c r="EB6" i="4" a="1"/>
  <c r="EB6" i="4" s="1"/>
  <c r="EA6" i="4" a="1"/>
  <c r="EA6" i="4"/>
  <c r="DZ6" i="4" a="1"/>
  <c r="DZ6" i="4" s="1"/>
  <c r="DY6" i="4" a="1"/>
  <c r="DY6" i="4"/>
  <c r="DX6" i="4" a="1"/>
  <c r="DX6" i="4"/>
  <c r="DX8" i="4" s="1"/>
  <c r="DW6" i="4" a="1"/>
  <c r="DW6" i="4"/>
  <c r="DW8" i="4" s="1"/>
  <c r="DV6" i="4" a="1"/>
  <c r="DV6" i="4"/>
  <c r="DV8" i="4" s="1"/>
  <c r="DU6" i="4" a="1"/>
  <c r="DU6" i="4"/>
  <c r="DU8" i="4" s="1"/>
  <c r="DT6" i="4" a="1"/>
  <c r="DT6" i="4"/>
  <c r="DT8" i="4" s="1"/>
  <c r="DS6" i="4" a="1"/>
  <c r="DS6" i="4"/>
  <c r="DR6" i="4" a="1"/>
  <c r="DR6" i="4"/>
  <c r="DQ6" i="4" a="1"/>
  <c r="DQ6" i="4"/>
  <c r="DP6" i="4" a="1"/>
  <c r="DP6" i="4" s="1"/>
  <c r="DP7" i="4" s="1"/>
  <c r="DO6" i="4" a="1"/>
  <c r="DO6" i="4" s="1"/>
  <c r="DN6" i="4" a="1"/>
  <c r="DN6" i="4"/>
  <c r="DM6" i="4" a="1"/>
  <c r="DM6" i="4"/>
  <c r="DL6" i="4" a="1"/>
  <c r="DL6" i="4"/>
  <c r="DL7" i="4" s="1"/>
  <c r="DK6" i="4" a="1"/>
  <c r="DK6" i="4"/>
  <c r="DK7" i="4" s="1"/>
  <c r="DJ6" i="4" a="1"/>
  <c r="DJ6" i="4"/>
  <c r="DJ7" i="4" s="1"/>
  <c r="DI6" i="4" a="1"/>
  <c r="DI6" i="4"/>
  <c r="DH6" i="4" a="1"/>
  <c r="DH6" i="4"/>
  <c r="DG6" i="4" a="1"/>
  <c r="DG6" i="4"/>
  <c r="DG8" i="4" s="1"/>
  <c r="DF6" i="4" a="1"/>
  <c r="DF6" i="4"/>
  <c r="DE6" i="4" a="1"/>
  <c r="DE6" i="4"/>
  <c r="DD6" i="4" a="1"/>
  <c r="DD6" i="4" s="1"/>
  <c r="DD7" i="4" s="1"/>
  <c r="DC6" i="4" a="1"/>
  <c r="DC6" i="4"/>
  <c r="DB6" i="4" a="1"/>
  <c r="DB6" i="4"/>
  <c r="DA6" i="4" a="1"/>
  <c r="DA6" i="4"/>
  <c r="CZ6" i="4" a="1"/>
  <c r="CZ6" i="4"/>
  <c r="CZ7" i="4" s="1"/>
  <c r="CY6" i="4" a="1"/>
  <c r="CY6" i="4"/>
  <c r="CY7" i="4" s="1"/>
  <c r="CX6" i="4" a="1"/>
  <c r="CX6" i="4"/>
  <c r="CW6" i="4" a="1"/>
  <c r="CW6" i="4"/>
  <c r="CW7" i="4" s="1"/>
  <c r="CV6" i="4" a="1"/>
  <c r="CV6" i="4"/>
  <c r="CV7" i="4" s="1"/>
  <c r="CU6" i="4" a="1"/>
  <c r="CU6" i="4" s="1"/>
  <c r="CU8" i="4" s="1"/>
  <c r="CT6" i="4" a="1"/>
  <c r="CT6" i="4"/>
  <c r="CS6" i="4" a="1"/>
  <c r="CS6" i="4" s="1"/>
  <c r="CR6" i="4" a="1"/>
  <c r="CR6" i="4"/>
  <c r="CQ6" i="4" a="1"/>
  <c r="CQ6" i="4"/>
  <c r="CP6" i="4" a="1"/>
  <c r="CP6" i="4"/>
  <c r="CO6" i="4" a="1"/>
  <c r="CO6" i="4"/>
  <c r="CO7" i="4" s="1"/>
  <c r="CN6" i="4" a="1"/>
  <c r="CN6" i="4"/>
  <c r="CM6" i="4" a="1"/>
  <c r="CM6" i="4"/>
  <c r="CL6" i="4" a="1"/>
  <c r="CL6" i="4"/>
  <c r="CK6" i="4" a="1"/>
  <c r="CK6" i="4"/>
  <c r="CJ6" i="4" a="1"/>
  <c r="CJ6" i="4"/>
  <c r="CJ8" i="4" s="1"/>
  <c r="CI6" i="4" a="1"/>
  <c r="CI6" i="4"/>
  <c r="CI8" i="4" s="1"/>
  <c r="CH6" i="4" a="1"/>
  <c r="CH6" i="4" s="1"/>
  <c r="CH8" i="4" s="1"/>
  <c r="CG6" i="4" a="1"/>
  <c r="CG6" i="4"/>
  <c r="CF6" i="4" a="1"/>
  <c r="CF6" i="4" s="1"/>
  <c r="CE6" i="4" a="1"/>
  <c r="CE6" i="4"/>
  <c r="CD6" i="4" a="1"/>
  <c r="CD6" i="4"/>
  <c r="CD7" i="4" s="1"/>
  <c r="CC6" i="4" a="1"/>
  <c r="CC6" i="4"/>
  <c r="CB6" i="4" a="1"/>
  <c r="CB6" i="4"/>
  <c r="CB7" i="4" s="1"/>
  <c r="CA6" i="4" a="1"/>
  <c r="CA6" i="4"/>
  <c r="CA7" i="4" s="1"/>
  <c r="BZ6" i="4" a="1"/>
  <c r="BZ6" i="4"/>
  <c r="BZ7" i="4" s="1"/>
  <c r="BY6" i="4" a="1"/>
  <c r="BY6" i="4"/>
  <c r="BY7" i="4" s="1"/>
  <c r="BX6" i="4" a="1"/>
  <c r="BX6" i="4" s="1"/>
  <c r="BW6" i="4" a="1"/>
  <c r="BW6" i="4" s="1"/>
  <c r="BW7" i="4" s="1"/>
  <c r="BV6" i="4" a="1"/>
  <c r="BV6" i="4"/>
  <c r="BU6" i="4" a="1"/>
  <c r="BU6" i="4"/>
  <c r="BU7" i="4" s="1"/>
  <c r="BT6" i="4" a="1"/>
  <c r="BT6" i="4" s="1"/>
  <c r="BT7" i="4" s="1"/>
  <c r="BS6" i="4" a="1"/>
  <c r="BS6" i="4"/>
  <c r="BR6" i="4" a="1"/>
  <c r="BR6" i="4"/>
  <c r="BR8" i="4" s="1"/>
  <c r="BQ6" i="4" a="1"/>
  <c r="BQ6" i="4"/>
  <c r="BP6" i="4" a="1"/>
  <c r="BP6" i="4"/>
  <c r="BO6" i="4" a="1"/>
  <c r="BO6" i="4"/>
  <c r="BO7" i="4" s="1"/>
  <c r="BN6" i="4" a="1"/>
  <c r="BN6" i="4"/>
  <c r="BM6" i="4" a="1"/>
  <c r="BM6" i="4"/>
  <c r="BM8" i="4" s="1"/>
  <c r="BL6" i="4" a="1"/>
  <c r="BL6" i="4" s="1"/>
  <c r="BL8" i="4" s="1"/>
  <c r="BK6" i="4" a="1"/>
  <c r="BK6" i="4"/>
  <c r="BJ6" i="4" a="1"/>
  <c r="BJ6" i="4" s="1"/>
  <c r="BJ7" i="4" s="1"/>
  <c r="BI6" i="4" a="1"/>
  <c r="BI6" i="4"/>
  <c r="BI7" i="4" s="1"/>
  <c r="BH6" i="4" a="1"/>
  <c r="BH6" i="4" s="1"/>
  <c r="BG6" i="4" a="1"/>
  <c r="BG6" i="4"/>
  <c r="BG8" i="4" s="1"/>
  <c r="BF6" i="4" a="1"/>
  <c r="BF6" i="4"/>
  <c r="BF8" i="4" s="1"/>
  <c r="BE6" i="4" a="1"/>
  <c r="BE6" i="4"/>
  <c r="BE8" i="4" s="1"/>
  <c r="BD6" i="4" a="1"/>
  <c r="BD6" i="4"/>
  <c r="BC6" i="4" a="1"/>
  <c r="BC6" i="4"/>
  <c r="BC8" i="4" s="1"/>
  <c r="BB6" i="4" a="1"/>
  <c r="BB6" i="4"/>
  <c r="BB7" i="4" s="1"/>
  <c r="BA6" i="4" a="1"/>
  <c r="BA6" i="4" s="1"/>
  <c r="BA8" i="4" s="1"/>
  <c r="AZ6" i="4" a="1"/>
  <c r="AZ6" i="4"/>
  <c r="AY6" i="4" a="1"/>
  <c r="AY6" i="4"/>
  <c r="AY8" i="4" s="1"/>
  <c r="AX6" i="4" a="1"/>
  <c r="AX6" i="4"/>
  <c r="AX8" i="4" s="1"/>
  <c r="AW6" i="4" a="1"/>
  <c r="AW6" i="4"/>
  <c r="AW8" i="4" s="1"/>
  <c r="AV6" i="4" a="1"/>
  <c r="AV6" i="4"/>
  <c r="AU6" i="4" a="1"/>
  <c r="AU6" i="4"/>
  <c r="AT6" i="4" a="1"/>
  <c r="AT6" i="4"/>
  <c r="AT8" i="4" s="1"/>
  <c r="AS6" i="4" a="1"/>
  <c r="AS6" i="4"/>
  <c r="AS7" i="4" s="1"/>
  <c r="AR6" i="4" a="1"/>
  <c r="AR6" i="4"/>
  <c r="AR7" i="4" s="1"/>
  <c r="AQ6" i="4" a="1"/>
  <c r="AQ6" i="4"/>
  <c r="AP6" i="4" a="1"/>
  <c r="AP6" i="4" s="1"/>
  <c r="AP8" i="4" s="1"/>
  <c r="AO6" i="4" a="1"/>
  <c r="AO6" i="4"/>
  <c r="AO8" i="4" s="1"/>
  <c r="AN6" i="4" a="1"/>
  <c r="AN6" i="4"/>
  <c r="AN7" i="4" s="1"/>
  <c r="AM6" i="4" a="1"/>
  <c r="AM6" i="4" s="1"/>
  <c r="AL6" i="4" a="1"/>
  <c r="AL6" i="4"/>
  <c r="AK6" i="4" a="1"/>
  <c r="AK6" i="4"/>
  <c r="AJ6" i="4" a="1"/>
  <c r="AJ6" i="4"/>
  <c r="AJ8" i="4" s="1"/>
  <c r="AI6" i="4" a="1"/>
  <c r="AI6" i="4"/>
  <c r="AH6" i="4" a="1"/>
  <c r="AH6" i="4"/>
  <c r="AH7" i="4" s="1"/>
  <c r="AG6" i="4" a="1"/>
  <c r="AG6" i="4"/>
  <c r="AG7" i="4" s="1"/>
  <c r="AF6" i="4" a="1"/>
  <c r="AF6" i="4"/>
  <c r="AF7" i="4" s="1"/>
  <c r="AE6" i="4" a="1"/>
  <c r="AE6" i="4" s="1"/>
  <c r="AE7" i="4" s="1"/>
  <c r="AD6" i="4" a="1"/>
  <c r="AD6" i="4"/>
  <c r="AC6" i="4" a="1"/>
  <c r="AC6" i="4"/>
  <c r="AB6" i="4" a="1"/>
  <c r="AB6" i="4"/>
  <c r="AB8" i="4" s="1"/>
  <c r="AA6" i="4" a="1"/>
  <c r="AA6" i="4"/>
  <c r="AA8" i="4" s="1"/>
  <c r="Z6" i="4" a="1"/>
  <c r="Z6" i="4"/>
  <c r="Y6" i="4" a="1"/>
  <c r="Y6" i="4"/>
  <c r="X6" i="4" a="1"/>
  <c r="X6" i="4"/>
  <c r="X8" i="4" s="1"/>
  <c r="W6" i="4" a="1"/>
  <c r="W6" i="4"/>
  <c r="W8" i="4" s="1"/>
  <c r="V6" i="4" a="1"/>
  <c r="V6" i="4"/>
  <c r="V7" i="4" s="1"/>
  <c r="U6" i="4" a="1"/>
  <c r="U6" i="4"/>
  <c r="U7" i="4" s="1"/>
  <c r="T6" i="4" a="1"/>
  <c r="T6" i="4" s="1"/>
  <c r="S6" i="4" a="1"/>
  <c r="S6" i="4"/>
  <c r="S8" i="4" s="1"/>
  <c r="R6" i="4" a="1"/>
  <c r="R6" i="4"/>
  <c r="R8" i="4" s="1"/>
  <c r="Q6" i="4" a="1"/>
  <c r="Q6" i="4" s="1"/>
  <c r="P6" i="4" a="1"/>
  <c r="P6" i="4" s="1"/>
  <c r="P8" i="4" s="1"/>
  <c r="O6" i="4" a="1"/>
  <c r="O6" i="4"/>
  <c r="O8" i="4" s="1"/>
  <c r="N6" i="4" a="1"/>
  <c r="N6" i="4"/>
  <c r="N8" i="4" s="1"/>
  <c r="M6" i="4" a="1"/>
  <c r="M6" i="4"/>
  <c r="M8" i="4" s="1"/>
  <c r="L6" i="4" a="1"/>
  <c r="L6" i="4"/>
  <c r="K6" i="4" a="1"/>
  <c r="K6" i="4"/>
  <c r="K8" i="4" s="1"/>
  <c r="J6" i="4" a="1"/>
  <c r="J6" i="4"/>
  <c r="I6" i="4" a="1"/>
  <c r="I6" i="4" s="1"/>
  <c r="H6" i="4" a="1"/>
  <c r="H6" i="4"/>
  <c r="G6" i="4" a="1"/>
  <c r="G6" i="4"/>
  <c r="G7" i="4" s="1"/>
  <c r="F6" i="4" a="1"/>
  <c r="F6" i="4"/>
  <c r="F7" i="4" s="1"/>
  <c r="E6" i="4" a="1"/>
  <c r="E6" i="4" s="1"/>
  <c r="E7" i="4" s="1"/>
  <c r="D6" i="4" a="1"/>
  <c r="D6" i="4"/>
  <c r="D7" i="4" s="1"/>
  <c r="C6" i="4" a="1"/>
  <c r="C6" i="4"/>
  <c r="C7" i="4" s="1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EM20" i="3" s="1"/>
  <c r="EN20" i="3" s="1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EM15" i="3" s="1"/>
  <c r="EN15" i="3" s="1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EM12" i="3" s="1"/>
  <c r="EN12" i="3" s="1"/>
  <c r="C12" i="3"/>
  <c r="B12" i="3"/>
  <c r="EL8" i="3"/>
  <c r="EE8" i="3"/>
  <c r="EB8" i="3"/>
  <c r="EA8" i="3"/>
  <c r="DZ8" i="3"/>
  <c r="DY8" i="3"/>
  <c r="DW8" i="3"/>
  <c r="DS8" i="3"/>
  <c r="DO8" i="3"/>
  <c r="DN8" i="3"/>
  <c r="DM8" i="3"/>
  <c r="DD8" i="3"/>
  <c r="DC8" i="3"/>
  <c r="DB8" i="3"/>
  <c r="CV8" i="3"/>
  <c r="CQ8" i="3"/>
  <c r="CP8" i="3"/>
  <c r="CO8" i="3"/>
  <c r="CN8" i="3"/>
  <c r="CM8" i="3"/>
  <c r="CK8" i="3"/>
  <c r="CD8" i="3"/>
  <c r="CC8" i="3"/>
  <c r="BY8" i="3"/>
  <c r="BS8" i="3"/>
  <c r="BN8" i="3"/>
  <c r="BH8" i="3"/>
  <c r="BG8" i="3"/>
  <c r="BF8" i="3"/>
  <c r="BC8" i="3"/>
  <c r="BB8" i="3"/>
  <c r="AS8" i="3"/>
  <c r="AR8" i="3"/>
  <c r="AQ8" i="3"/>
  <c r="AI8" i="3"/>
  <c r="AH8" i="3"/>
  <c r="AG8" i="3"/>
  <c r="AF8" i="3"/>
  <c r="AE8" i="3"/>
  <c r="W8" i="3"/>
  <c r="V8" i="3"/>
  <c r="U8" i="3"/>
  <c r="T8" i="3"/>
  <c r="S8" i="3"/>
  <c r="R8" i="3"/>
  <c r="J8" i="3"/>
  <c r="I8" i="3"/>
  <c r="H8" i="3"/>
  <c r="EL7" i="3"/>
  <c r="EE7" i="3"/>
  <c r="ED7" i="3"/>
  <c r="EC7" i="3"/>
  <c r="EA7" i="3"/>
  <c r="DZ7" i="3"/>
  <c r="DY7" i="3"/>
  <c r="DX7" i="3"/>
  <c r="DW7" i="3"/>
  <c r="DO7" i="3"/>
  <c r="DN7" i="3"/>
  <c r="DM7" i="3"/>
  <c r="DL7" i="3"/>
  <c r="DH7" i="3"/>
  <c r="DD7" i="3"/>
  <c r="DC7" i="3"/>
  <c r="CR7" i="3"/>
  <c r="CQ7" i="3"/>
  <c r="CP7" i="3"/>
  <c r="CK7" i="3"/>
  <c r="CG7" i="3"/>
  <c r="CF7" i="3"/>
  <c r="CE7" i="3"/>
  <c r="CD7" i="3"/>
  <c r="CC7" i="3"/>
  <c r="BT7" i="3"/>
  <c r="BS7" i="3"/>
  <c r="BR7" i="3"/>
  <c r="BQ7" i="3"/>
  <c r="BN7" i="3"/>
  <c r="BG7" i="3"/>
  <c r="BF7" i="3"/>
  <c r="BE7" i="3"/>
  <c r="AU7" i="3"/>
  <c r="AT7" i="3"/>
  <c r="AS7" i="3"/>
  <c r="AR7" i="3"/>
  <c r="AQ7" i="3"/>
  <c r="AI7" i="3"/>
  <c r="AH7" i="3"/>
  <c r="W7" i="3"/>
  <c r="V7" i="3"/>
  <c r="U7" i="3"/>
  <c r="T7" i="3"/>
  <c r="S7" i="3"/>
  <c r="R7" i="3"/>
  <c r="L7" i="3"/>
  <c r="J7" i="3"/>
  <c r="EM6" i="3" a="1"/>
  <c r="EM6" i="3"/>
  <c r="EL6" i="3" a="1"/>
  <c r="EL6" i="3"/>
  <c r="EK6" i="3" a="1"/>
  <c r="EK6" i="3"/>
  <c r="EJ6" i="3" a="1"/>
  <c r="EJ6" i="3"/>
  <c r="EI6" i="3" a="1"/>
  <c r="EI6" i="3"/>
  <c r="EI7" i="3" s="1"/>
  <c r="EH6" i="3" a="1"/>
  <c r="EH6" i="3"/>
  <c r="EG6" i="3" a="1"/>
  <c r="EG6" i="3" s="1"/>
  <c r="EF6" i="3" a="1"/>
  <c r="EF6" i="3"/>
  <c r="EE6" i="3" a="1"/>
  <c r="EE6" i="3"/>
  <c r="ED6" i="3" a="1"/>
  <c r="ED6" i="3"/>
  <c r="ED8" i="3" s="1"/>
  <c r="EC6" i="3" a="1"/>
  <c r="EC6" i="3"/>
  <c r="EC8" i="3" s="1"/>
  <c r="EB6" i="3" a="1"/>
  <c r="EB6" i="3" s="1"/>
  <c r="EB7" i="3" s="1"/>
  <c r="EA6" i="3" a="1"/>
  <c r="EA6" i="3"/>
  <c r="DZ6" i="3" a="1"/>
  <c r="DZ6" i="3" s="1"/>
  <c r="DY6" i="3" a="1"/>
  <c r="DY6" i="3"/>
  <c r="DX6" i="3" a="1"/>
  <c r="DX6" i="3"/>
  <c r="DX8" i="3" s="1"/>
  <c r="DW6" i="3" a="1"/>
  <c r="DW6" i="3"/>
  <c r="DV6" i="3" a="1"/>
  <c r="DV6" i="3" s="1"/>
  <c r="DU6" i="3" a="1"/>
  <c r="DU6" i="3"/>
  <c r="DU7" i="3" s="1"/>
  <c r="DT6" i="3" a="1"/>
  <c r="DT6" i="3" s="1"/>
  <c r="DT7" i="3" s="1"/>
  <c r="DS6" i="3" a="1"/>
  <c r="DS6" i="3"/>
  <c r="DS7" i="3" s="1"/>
  <c r="DR6" i="3" a="1"/>
  <c r="DR6" i="3"/>
  <c r="DQ6" i="3" a="1"/>
  <c r="DQ6" i="3" s="1"/>
  <c r="DP6" i="3" a="1"/>
  <c r="DP6" i="3"/>
  <c r="DO6" i="3" a="1"/>
  <c r="DO6" i="3"/>
  <c r="DN6" i="3" a="1"/>
  <c r="DN6" i="3" s="1"/>
  <c r="DM6" i="3" a="1"/>
  <c r="DM6" i="3"/>
  <c r="DL6" i="3" a="1"/>
  <c r="DL6" i="3"/>
  <c r="DL8" i="3" s="1"/>
  <c r="DK6" i="3" a="1"/>
  <c r="DK6" i="3" s="1"/>
  <c r="DK7" i="3" s="1"/>
  <c r="DJ6" i="3" a="1"/>
  <c r="DJ6" i="3"/>
  <c r="DJ7" i="3" s="1"/>
  <c r="DI6" i="3" a="1"/>
  <c r="DI6" i="3"/>
  <c r="DH6" i="3" a="1"/>
  <c r="DH6" i="3"/>
  <c r="DH8" i="3" s="1"/>
  <c r="DG6" i="3" a="1"/>
  <c r="DG6" i="3"/>
  <c r="DF6" i="3" a="1"/>
  <c r="DF6" i="3" s="1"/>
  <c r="DE6" i="3" a="1"/>
  <c r="DE6" i="3" s="1"/>
  <c r="DD6" i="3" a="1"/>
  <c r="DD6" i="3"/>
  <c r="DC6" i="3" a="1"/>
  <c r="DC6" i="3"/>
  <c r="DB6" i="3" a="1"/>
  <c r="DB6" i="3"/>
  <c r="DB7" i="3" s="1"/>
  <c r="DA6" i="3" a="1"/>
  <c r="DA6" i="3"/>
  <c r="DA8" i="3" s="1"/>
  <c r="CZ6" i="3" a="1"/>
  <c r="CZ6" i="3" s="1"/>
  <c r="CZ8" i="3" s="1"/>
  <c r="CY6" i="3" a="1"/>
  <c r="CY6" i="3"/>
  <c r="CY8" i="3" s="1"/>
  <c r="CX6" i="3" a="1"/>
  <c r="CX6" i="3"/>
  <c r="CW6" i="3" a="1"/>
  <c r="CW6" i="3" s="1"/>
  <c r="CV6" i="3" a="1"/>
  <c r="CV6" i="3"/>
  <c r="CV7" i="3" s="1"/>
  <c r="CU6" i="3" a="1"/>
  <c r="CU6" i="3"/>
  <c r="CT6" i="3" a="1"/>
  <c r="CT6" i="3"/>
  <c r="CS6" i="3" a="1"/>
  <c r="CS6" i="3" s="1"/>
  <c r="CR6" i="3" a="1"/>
  <c r="CR6" i="3"/>
  <c r="CR8" i="3" s="1"/>
  <c r="CQ6" i="3" a="1"/>
  <c r="CQ6" i="3"/>
  <c r="CP6" i="3" a="1"/>
  <c r="CP6" i="3"/>
  <c r="CO6" i="3" a="1"/>
  <c r="CO6" i="3" s="1"/>
  <c r="CO7" i="3" s="1"/>
  <c r="CN6" i="3" a="1"/>
  <c r="CN6" i="3"/>
  <c r="CN7" i="3" s="1"/>
  <c r="CM6" i="3" a="1"/>
  <c r="CM6" i="3"/>
  <c r="CM7" i="3" s="1"/>
  <c r="CL6" i="3" a="1"/>
  <c r="CL6" i="3"/>
  <c r="CK6" i="3" a="1"/>
  <c r="CK6" i="3"/>
  <c r="CJ6" i="3" a="1"/>
  <c r="CJ6" i="3"/>
  <c r="CJ8" i="3" s="1"/>
  <c r="CI6" i="3" a="1"/>
  <c r="CI6" i="3"/>
  <c r="CI7" i="3" s="1"/>
  <c r="CH6" i="3" a="1"/>
  <c r="CH6" i="3"/>
  <c r="CH7" i="3" s="1"/>
  <c r="CG6" i="3" a="1"/>
  <c r="CG6" i="3"/>
  <c r="CG8" i="3" s="1"/>
  <c r="CF6" i="3" a="1"/>
  <c r="CF6" i="3" s="1"/>
  <c r="CF8" i="3" s="1"/>
  <c r="CE6" i="3" a="1"/>
  <c r="CE6" i="3" s="1"/>
  <c r="CE8" i="3" s="1"/>
  <c r="CD6" i="3" a="1"/>
  <c r="CD6" i="3" s="1"/>
  <c r="CC6" i="3" a="1"/>
  <c r="CC6" i="3"/>
  <c r="CB6" i="3" a="1"/>
  <c r="CB6" i="3"/>
  <c r="CB7" i="3" s="1"/>
  <c r="CA6" i="3" a="1"/>
  <c r="CA6" i="3"/>
  <c r="CA7" i="3" s="1"/>
  <c r="BZ6" i="3" a="1"/>
  <c r="BZ6" i="3" s="1"/>
  <c r="BZ7" i="3" s="1"/>
  <c r="BY6" i="3" a="1"/>
  <c r="BY6" i="3"/>
  <c r="BY7" i="3" s="1"/>
  <c r="BX6" i="3" a="1"/>
  <c r="BX6" i="3"/>
  <c r="BW6" i="3" a="1"/>
  <c r="BW6" i="3"/>
  <c r="BV6" i="3" a="1"/>
  <c r="BV6" i="3"/>
  <c r="BU6" i="3" a="1"/>
  <c r="BU6" i="3"/>
  <c r="BT6" i="3" a="1"/>
  <c r="BT6" i="3"/>
  <c r="BT8" i="3" s="1"/>
  <c r="BS6" i="3" a="1"/>
  <c r="BS6" i="3" s="1"/>
  <c r="BR6" i="3" a="1"/>
  <c r="BR6" i="3"/>
  <c r="BR8" i="3" s="1"/>
  <c r="BQ6" i="3" a="1"/>
  <c r="BQ6" i="3"/>
  <c r="BQ8" i="3" s="1"/>
  <c r="BP6" i="3" a="1"/>
  <c r="BP6" i="3"/>
  <c r="BP8" i="3" s="1"/>
  <c r="BO6" i="3" a="1"/>
  <c r="BO6" i="3"/>
  <c r="BO8" i="3" s="1"/>
  <c r="BN6" i="3" a="1"/>
  <c r="BN6" i="3"/>
  <c r="BM6" i="3" a="1"/>
  <c r="BM6" i="3"/>
  <c r="BL6" i="3" a="1"/>
  <c r="BL6" i="3"/>
  <c r="BK6" i="3" a="1"/>
  <c r="BK6" i="3"/>
  <c r="BJ6" i="3" a="1"/>
  <c r="BJ6" i="3"/>
  <c r="BI6" i="3" a="1"/>
  <c r="BI6" i="3" s="1"/>
  <c r="BI7" i="3" s="1"/>
  <c r="BH6" i="3" a="1"/>
  <c r="BH6" i="3" s="1"/>
  <c r="BH7" i="3" s="1"/>
  <c r="BG6" i="3" a="1"/>
  <c r="BG6" i="3" s="1"/>
  <c r="BF6" i="3" a="1"/>
  <c r="BF6" i="3"/>
  <c r="BE6" i="3" a="1"/>
  <c r="BE6" i="3"/>
  <c r="BE8" i="3" s="1"/>
  <c r="BD6" i="3" a="1"/>
  <c r="BD6" i="3"/>
  <c r="BC6" i="3" a="1"/>
  <c r="BC6" i="3" s="1"/>
  <c r="BC7" i="3" s="1"/>
  <c r="BB6" i="3" a="1"/>
  <c r="BB6" i="3"/>
  <c r="BB7" i="3" s="1"/>
  <c r="BA6" i="3" a="1"/>
  <c r="BA6" i="3"/>
  <c r="AZ6" i="3" a="1"/>
  <c r="AZ6" i="3"/>
  <c r="AZ8" i="3" s="1"/>
  <c r="AY6" i="3" a="1"/>
  <c r="AY6" i="3"/>
  <c r="AY8" i="3" s="1"/>
  <c r="AX6" i="3" a="1"/>
  <c r="AX6" i="3"/>
  <c r="AX7" i="3" s="1"/>
  <c r="AW6" i="3" a="1"/>
  <c r="AW6" i="3" s="1"/>
  <c r="AW7" i="3" s="1"/>
  <c r="AV6" i="3" a="1"/>
  <c r="AV6" i="3" s="1"/>
  <c r="AV8" i="3" s="1"/>
  <c r="AU6" i="3" a="1"/>
  <c r="AU6" i="3" s="1"/>
  <c r="AU8" i="3" s="1"/>
  <c r="AT6" i="3" a="1"/>
  <c r="AT6" i="3"/>
  <c r="AT8" i="3" s="1"/>
  <c r="AS6" i="3" a="1"/>
  <c r="AS6" i="3"/>
  <c r="AR6" i="3" a="1"/>
  <c r="AR6" i="3"/>
  <c r="AQ6" i="3" a="1"/>
  <c r="AQ6" i="3"/>
  <c r="AP6" i="3" a="1"/>
  <c r="AP6" i="3"/>
  <c r="AP8" i="3" s="1"/>
  <c r="AO6" i="3" a="1"/>
  <c r="AO6" i="3"/>
  <c r="AO8" i="3" s="1"/>
  <c r="AN6" i="3" a="1"/>
  <c r="AN6" i="3"/>
  <c r="AM6" i="3" a="1"/>
  <c r="AM6" i="3"/>
  <c r="AL6" i="3" a="1"/>
  <c r="AL6" i="3" s="1"/>
  <c r="AK6" i="3" a="1"/>
  <c r="AK6" i="3"/>
  <c r="AJ6" i="3" a="1"/>
  <c r="AJ6" i="3" s="1"/>
  <c r="AI6" i="3" a="1"/>
  <c r="AI6" i="3"/>
  <c r="AH6" i="3" a="1"/>
  <c r="AH6" i="3"/>
  <c r="AG6" i="3" a="1"/>
  <c r="AG6" i="3"/>
  <c r="AG7" i="3" s="1"/>
  <c r="AF6" i="3" a="1"/>
  <c r="AF6" i="3" s="1"/>
  <c r="AF7" i="3" s="1"/>
  <c r="AE6" i="3" a="1"/>
  <c r="AE6" i="3"/>
  <c r="AE7" i="3" s="1"/>
  <c r="AD6" i="3" a="1"/>
  <c r="AD6" i="3"/>
  <c r="AC6" i="3" a="1"/>
  <c r="AC6" i="3"/>
  <c r="AB6" i="3" a="1"/>
  <c r="AB6" i="3"/>
  <c r="AA6" i="3" a="1"/>
  <c r="AA6" i="3" s="1"/>
  <c r="Z6" i="3" a="1"/>
  <c r="Z6" i="3"/>
  <c r="Y6" i="3" a="1"/>
  <c r="Y6" i="3"/>
  <c r="X6" i="3" a="1"/>
  <c r="X6" i="3" s="1"/>
  <c r="W6" i="3" a="1"/>
  <c r="W6" i="3"/>
  <c r="V6" i="3" a="1"/>
  <c r="V6" i="3"/>
  <c r="U6" i="3" a="1"/>
  <c r="U6" i="3"/>
  <c r="T6" i="3" a="1"/>
  <c r="T6" i="3"/>
  <c r="S6" i="3" a="1"/>
  <c r="S6" i="3"/>
  <c r="R6" i="3" a="1"/>
  <c r="R6" i="3"/>
  <c r="Q6" i="3" a="1"/>
  <c r="Q6" i="3"/>
  <c r="Q8" i="3" s="1"/>
  <c r="P6" i="3" a="1"/>
  <c r="P6" i="3" s="1"/>
  <c r="P7" i="3" s="1"/>
  <c r="O6" i="3" a="1"/>
  <c r="O6" i="3"/>
  <c r="O7" i="3" s="1"/>
  <c r="N6" i="3" a="1"/>
  <c r="N6" i="3"/>
  <c r="N8" i="3" s="1"/>
  <c r="M6" i="3" a="1"/>
  <c r="M6" i="3"/>
  <c r="M8" i="3" s="1"/>
  <c r="L6" i="3" a="1"/>
  <c r="L6" i="3" s="1"/>
  <c r="L8" i="3" s="1"/>
  <c r="K6" i="3" a="1"/>
  <c r="K6" i="3" s="1"/>
  <c r="J6" i="3" a="1"/>
  <c r="J6" i="3"/>
  <c r="I6" i="3" a="1"/>
  <c r="I6" i="3" s="1"/>
  <c r="I7" i="3" s="1"/>
  <c r="H6" i="3" a="1"/>
  <c r="H6" i="3"/>
  <c r="H7" i="3" s="1"/>
  <c r="G6" i="3" a="1"/>
  <c r="G6" i="3"/>
  <c r="F6" i="3" a="1"/>
  <c r="F6" i="3"/>
  <c r="F8" i="3" s="1"/>
  <c r="E6" i="3" a="1"/>
  <c r="E6" i="3" s="1"/>
  <c r="E8" i="3" s="1"/>
  <c r="D6" i="3" a="1"/>
  <c r="D6" i="3"/>
  <c r="D8" i="3" s="1"/>
  <c r="C6" i="3" a="1"/>
  <c r="C6" i="3"/>
  <c r="EN25" i="2"/>
  <c r="EM25" i="2"/>
  <c r="EO25" i="2" s="1"/>
  <c r="EN24" i="2"/>
  <c r="B24" i="2"/>
  <c r="EN23" i="2"/>
  <c r="B23" i="2"/>
  <c r="EO22" i="2"/>
  <c r="EN22" i="2"/>
  <c r="B22" i="2"/>
  <c r="EN21" i="2"/>
  <c r="EO21" i="2" s="1"/>
  <c r="B21" i="2"/>
  <c r="EN20" i="2"/>
  <c r="EO20" i="2" s="1"/>
  <c r="B20" i="2"/>
  <c r="EN19" i="2"/>
  <c r="EO19" i="2" s="1"/>
  <c r="B19" i="2"/>
  <c r="EN18" i="2"/>
  <c r="EO18" i="2" s="1"/>
  <c r="B18" i="2"/>
  <c r="EN17" i="2"/>
  <c r="EO17" i="2" s="1"/>
  <c r="B17" i="2"/>
  <c r="EN16" i="2"/>
  <c r="B16" i="2"/>
  <c r="EN15" i="2"/>
  <c r="EO15" i="2" s="1"/>
  <c r="B15" i="2"/>
  <c r="EN14" i="2"/>
  <c r="EO14" i="2" s="1"/>
  <c r="B14" i="2"/>
  <c r="EN13" i="2"/>
  <c r="EO13" i="2" s="1"/>
  <c r="B13" i="2"/>
  <c r="EN12" i="2"/>
  <c r="EO12" i="2" s="1"/>
  <c r="B12" i="2"/>
  <c r="EM8" i="2"/>
  <c r="EL8" i="2"/>
  <c r="EK8" i="2"/>
  <c r="EJ8" i="2"/>
  <c r="EI8" i="2"/>
  <c r="EH8" i="2"/>
  <c r="ED8" i="2"/>
  <c r="EB8" i="2"/>
  <c r="EA8" i="2"/>
  <c r="DW8" i="2"/>
  <c r="DU8" i="2"/>
  <c r="DL8" i="2"/>
  <c r="DK8" i="2"/>
  <c r="DJ8" i="2"/>
  <c r="DI8" i="2"/>
  <c r="DF8" i="2"/>
  <c r="DE8" i="2"/>
  <c r="DD8" i="2"/>
  <c r="CZ8" i="2"/>
  <c r="CY8" i="2"/>
  <c r="CW8" i="2"/>
  <c r="CR8" i="2"/>
  <c r="CQ8" i="2"/>
  <c r="CO8" i="2"/>
  <c r="CL8" i="2"/>
  <c r="CK8" i="2"/>
  <c r="CJ8" i="2"/>
  <c r="CC8" i="2"/>
  <c r="BX8" i="2"/>
  <c r="BW8" i="2"/>
  <c r="BS8" i="2"/>
  <c r="BR8" i="2"/>
  <c r="BQ8" i="2"/>
  <c r="BP8" i="2"/>
  <c r="BO8" i="2"/>
  <c r="BN8" i="2"/>
  <c r="BD8" i="2"/>
  <c r="BC8" i="2"/>
  <c r="BB8" i="2"/>
  <c r="BA8" i="2"/>
  <c r="AZ8" i="2"/>
  <c r="AX8" i="2"/>
  <c r="AU8" i="2"/>
  <c r="AP8" i="2"/>
  <c r="AN8" i="2"/>
  <c r="AM8" i="2"/>
  <c r="AH8" i="2"/>
  <c r="AG8" i="2"/>
  <c r="AD8" i="2"/>
  <c r="AB8" i="2"/>
  <c r="AA8" i="2"/>
  <c r="X8" i="2"/>
  <c r="W8" i="2"/>
  <c r="V8" i="2"/>
  <c r="U8" i="2"/>
  <c r="T8" i="2"/>
  <c r="Q8" i="2"/>
  <c r="P8" i="2"/>
  <c r="H8" i="2"/>
  <c r="G8" i="2"/>
  <c r="D8" i="2"/>
  <c r="EI7" i="2"/>
  <c r="EH7" i="2"/>
  <c r="ED7" i="2"/>
  <c r="DW7" i="2"/>
  <c r="DV7" i="2"/>
  <c r="DU7" i="2"/>
  <c r="DQ7" i="2"/>
  <c r="DP7" i="2"/>
  <c r="DL7" i="2"/>
  <c r="DK7" i="2"/>
  <c r="DF7" i="2"/>
  <c r="CZ7" i="2"/>
  <c r="CR7" i="2"/>
  <c r="CQ7" i="2"/>
  <c r="CP7" i="2"/>
  <c r="CO7" i="2"/>
  <c r="CN7" i="2"/>
  <c r="CM7" i="2"/>
  <c r="CL7" i="2"/>
  <c r="CJ7" i="2"/>
  <c r="CE7" i="2"/>
  <c r="CC7" i="2"/>
  <c r="BY7" i="2"/>
  <c r="BX7" i="2"/>
  <c r="BS7" i="2"/>
  <c r="BR7" i="2"/>
  <c r="BQ7" i="2"/>
  <c r="BP7" i="2"/>
  <c r="BM7" i="2"/>
  <c r="BL7" i="2"/>
  <c r="BG7" i="2"/>
  <c r="BF7" i="2"/>
  <c r="BE7" i="2"/>
  <c r="BD7" i="2"/>
  <c r="BC7" i="2"/>
  <c r="BB7" i="2"/>
  <c r="AU7" i="2"/>
  <c r="AT7" i="2"/>
  <c r="AP7" i="2"/>
  <c r="AI7" i="2"/>
  <c r="AH7" i="2"/>
  <c r="AG7" i="2"/>
  <c r="AE7" i="2"/>
  <c r="AD7" i="2"/>
  <c r="AC7" i="2"/>
  <c r="AB7" i="2"/>
  <c r="AA7" i="2"/>
  <c r="Y7" i="2"/>
  <c r="X7" i="2"/>
  <c r="M7" i="2"/>
  <c r="L7" i="2"/>
  <c r="K7" i="2"/>
  <c r="J7" i="2"/>
  <c r="I7" i="2"/>
  <c r="D7" i="2"/>
  <c r="C7" i="2"/>
  <c r="EM6" i="2" a="1"/>
  <c r="EM6" i="2" s="1"/>
  <c r="EM7" i="2" s="1"/>
  <c r="EL6" i="2" a="1"/>
  <c r="EL6" i="2"/>
  <c r="EL7" i="2" s="1"/>
  <c r="EK6" i="2" a="1"/>
  <c r="EK6" i="2"/>
  <c r="EK7" i="2" s="1"/>
  <c r="EJ6" i="2" a="1"/>
  <c r="EJ6" i="2"/>
  <c r="EJ7" i="2" s="1"/>
  <c r="EI6" i="2" a="1"/>
  <c r="EI6" i="2"/>
  <c r="EH6" i="2" a="1"/>
  <c r="EH6" i="2"/>
  <c r="EG6" i="2" a="1"/>
  <c r="EG6" i="2"/>
  <c r="EG7" i="2" s="1"/>
  <c r="EF6" i="2" a="1"/>
  <c r="EF6" i="2"/>
  <c r="EF7" i="2" s="1"/>
  <c r="EE6" i="2" a="1"/>
  <c r="EE6" i="2"/>
  <c r="EE7" i="2" s="1"/>
  <c r="ED6" i="2" a="1"/>
  <c r="ED6" i="2" s="1"/>
  <c r="EC6" i="2" a="1"/>
  <c r="EC6" i="2"/>
  <c r="EB6" i="2" a="1"/>
  <c r="EB6" i="2" s="1"/>
  <c r="EB7" i="2" s="1"/>
  <c r="EA6" i="2" a="1"/>
  <c r="EA6" i="2"/>
  <c r="EA7" i="2" s="1"/>
  <c r="DZ6" i="2" a="1"/>
  <c r="DZ6" i="2"/>
  <c r="DY6" i="2" a="1"/>
  <c r="DY6" i="2"/>
  <c r="DX6" i="2" a="1"/>
  <c r="DX6" i="2" s="1"/>
  <c r="DW6" i="2" a="1"/>
  <c r="DW6" i="2"/>
  <c r="DV6" i="2" a="1"/>
  <c r="DV6" i="2"/>
  <c r="DV8" i="2" s="1"/>
  <c r="DU6" i="2" a="1"/>
  <c r="DU6" i="2"/>
  <c r="DT6" i="2" a="1"/>
  <c r="DT6" i="2"/>
  <c r="DT8" i="2" s="1"/>
  <c r="DS6" i="2" a="1"/>
  <c r="DS6" i="2"/>
  <c r="DS8" i="2" s="1"/>
  <c r="DR6" i="2" a="1"/>
  <c r="DR6" i="2" s="1"/>
  <c r="DR8" i="2" s="1"/>
  <c r="DQ6" i="2" a="1"/>
  <c r="DQ6" i="2" s="1"/>
  <c r="DQ8" i="2" s="1"/>
  <c r="DP6" i="2" a="1"/>
  <c r="DP6" i="2"/>
  <c r="DP8" i="2" s="1"/>
  <c r="DO6" i="2" a="1"/>
  <c r="DO6" i="2"/>
  <c r="DO8" i="2" s="1"/>
  <c r="DN6" i="2" a="1"/>
  <c r="DN6" i="2"/>
  <c r="DN8" i="2" s="1"/>
  <c r="DM6" i="2" a="1"/>
  <c r="DM6" i="2"/>
  <c r="DM8" i="2" s="1"/>
  <c r="DL6" i="2" a="1"/>
  <c r="DL6" i="2"/>
  <c r="DK6" i="2" a="1"/>
  <c r="DK6" i="2"/>
  <c r="DJ6" i="2" a="1"/>
  <c r="DJ6" i="2"/>
  <c r="DJ7" i="2" s="1"/>
  <c r="DI6" i="2" a="1"/>
  <c r="DI6" i="2"/>
  <c r="DI7" i="2" s="1"/>
  <c r="DH6" i="2" a="1"/>
  <c r="DH6" i="2"/>
  <c r="DG6" i="2" a="1"/>
  <c r="DG6" i="2"/>
  <c r="DF6" i="2" a="1"/>
  <c r="DF6" i="2" s="1"/>
  <c r="DE6" i="2" a="1"/>
  <c r="DE6" i="2"/>
  <c r="DE7" i="2" s="1"/>
  <c r="DD6" i="2" a="1"/>
  <c r="DD6" i="2"/>
  <c r="DD7" i="2" s="1"/>
  <c r="DC6" i="2" a="1"/>
  <c r="DC6" i="2"/>
  <c r="DB6" i="2" a="1"/>
  <c r="DB6" i="2"/>
  <c r="DA6" i="2" a="1"/>
  <c r="DA6" i="2" s="1"/>
  <c r="DA8" i="2" s="1"/>
  <c r="CZ6" i="2" a="1"/>
  <c r="CZ6" i="2"/>
  <c r="CY6" i="2" a="1"/>
  <c r="CY6" i="2" s="1"/>
  <c r="CY7" i="2" s="1"/>
  <c r="CX6" i="2" a="1"/>
  <c r="CX6" i="2"/>
  <c r="CW6" i="2" a="1"/>
  <c r="CW6" i="2"/>
  <c r="CW7" i="2" s="1"/>
  <c r="CV6" i="2" a="1"/>
  <c r="CV6" i="2"/>
  <c r="CU6" i="2" a="1"/>
  <c r="CU6" i="2" s="1"/>
  <c r="CT6" i="2" a="1"/>
  <c r="CT6" i="2" s="1"/>
  <c r="CT7" i="2" s="1"/>
  <c r="CS6" i="2" a="1"/>
  <c r="CS6" i="2"/>
  <c r="CS7" i="2" s="1"/>
  <c r="CR6" i="2" a="1"/>
  <c r="CR6" i="2"/>
  <c r="CQ6" i="2" a="1"/>
  <c r="CQ6" i="2"/>
  <c r="CP6" i="2" a="1"/>
  <c r="CP6" i="2"/>
  <c r="CP8" i="2" s="1"/>
  <c r="CO6" i="2" a="1"/>
  <c r="CO6" i="2"/>
  <c r="CN6" i="2" a="1"/>
  <c r="CN6" i="2"/>
  <c r="CN8" i="2" s="1"/>
  <c r="CM6" i="2" a="1"/>
  <c r="CM6" i="2" s="1"/>
  <c r="CM8" i="2" s="1"/>
  <c r="CL6" i="2" a="1"/>
  <c r="CL6" i="2"/>
  <c r="CK6" i="2" a="1"/>
  <c r="CK6" i="2"/>
  <c r="CK7" i="2" s="1"/>
  <c r="CJ6" i="2" a="1"/>
  <c r="CJ6" i="2" s="1"/>
  <c r="CI6" i="2" a="1"/>
  <c r="CI6" i="2"/>
  <c r="CH6" i="2" a="1"/>
  <c r="CH6" i="2"/>
  <c r="CG6" i="2" a="1"/>
  <c r="CG6" i="2"/>
  <c r="CF6" i="2" a="1"/>
  <c r="CF6" i="2"/>
  <c r="CE6" i="2" a="1"/>
  <c r="CE6" i="2"/>
  <c r="CE8" i="2" s="1"/>
  <c r="CD6" i="2" a="1"/>
  <c r="CD6" i="2" s="1"/>
  <c r="CD8" i="2" s="1"/>
  <c r="CC6" i="2" a="1"/>
  <c r="CC6" i="2"/>
  <c r="CB6" i="2" a="1"/>
  <c r="CB6" i="2"/>
  <c r="CA6" i="2" a="1"/>
  <c r="CA6" i="2" s="1"/>
  <c r="CA7" i="2" s="1"/>
  <c r="BZ6" i="2" a="1"/>
  <c r="BZ6" i="2"/>
  <c r="BZ7" i="2" s="1"/>
  <c r="BY6" i="2" a="1"/>
  <c r="BY6" i="2" s="1"/>
  <c r="BY8" i="2" s="1"/>
  <c r="BX6" i="2" a="1"/>
  <c r="BX6" i="2"/>
  <c r="BW6" i="2" a="1"/>
  <c r="BW6" i="2"/>
  <c r="BW7" i="2" s="1"/>
  <c r="BV6" i="2" a="1"/>
  <c r="BV6" i="2"/>
  <c r="BU6" i="2" a="1"/>
  <c r="BU6" i="2"/>
  <c r="BT6" i="2" a="1"/>
  <c r="BT6" i="2" s="1"/>
  <c r="BS6" i="2" a="1"/>
  <c r="BS6" i="2"/>
  <c r="BR6" i="2" a="1"/>
  <c r="BR6" i="2"/>
  <c r="BQ6" i="2" a="1"/>
  <c r="BQ6" i="2"/>
  <c r="BP6" i="2" a="1"/>
  <c r="BP6" i="2"/>
  <c r="BO6" i="2" a="1"/>
  <c r="BO6" i="2"/>
  <c r="BO7" i="2" s="1"/>
  <c r="BN6" i="2" a="1"/>
  <c r="BN6" i="2" s="1"/>
  <c r="BN7" i="2" s="1"/>
  <c r="BM6" i="2" a="1"/>
  <c r="BM6" i="2"/>
  <c r="BM8" i="2" s="1"/>
  <c r="BL6" i="2" a="1"/>
  <c r="BL6" i="2"/>
  <c r="BL8" i="2" s="1"/>
  <c r="BK6" i="2" a="1"/>
  <c r="BK6" i="2" s="1"/>
  <c r="BK7" i="2" s="1"/>
  <c r="BJ6" i="2" a="1"/>
  <c r="BJ6" i="2"/>
  <c r="BI6" i="2" a="1"/>
  <c r="BI6" i="2"/>
  <c r="BH6" i="2" a="1"/>
  <c r="BH6" i="2" s="1"/>
  <c r="BG6" i="2" a="1"/>
  <c r="BG6" i="2" s="1"/>
  <c r="BG8" i="2" s="1"/>
  <c r="BF6" i="2" a="1"/>
  <c r="BF6" i="2"/>
  <c r="BF8" i="2" s="1"/>
  <c r="BE6" i="2" a="1"/>
  <c r="BE6" i="2"/>
  <c r="BE8" i="2" s="1"/>
  <c r="BD6" i="2" a="1"/>
  <c r="BD6" i="2"/>
  <c r="BC6" i="2" a="1"/>
  <c r="BC6" i="2" s="1"/>
  <c r="BB6" i="2" a="1"/>
  <c r="BB6" i="2"/>
  <c r="BA6" i="2" a="1"/>
  <c r="BA6" i="2" s="1"/>
  <c r="BA7" i="2" s="1"/>
  <c r="AZ6" i="2" a="1"/>
  <c r="AZ6" i="2"/>
  <c r="AZ7" i="2" s="1"/>
  <c r="AY6" i="2" a="1"/>
  <c r="AY6" i="2" s="1"/>
  <c r="AY8" i="2" s="1"/>
  <c r="AX6" i="2" a="1"/>
  <c r="AX6" i="2"/>
  <c r="AX7" i="2" s="1"/>
  <c r="AW6" i="2" a="1"/>
  <c r="AW6" i="2"/>
  <c r="AV6" i="2" a="1"/>
  <c r="AV6" i="2"/>
  <c r="AU6" i="2" a="1"/>
  <c r="AU6" i="2"/>
  <c r="AT6" i="2" a="1"/>
  <c r="AT6" i="2"/>
  <c r="AT8" i="2" s="1"/>
  <c r="AS6" i="2" a="1"/>
  <c r="AS6" i="2"/>
  <c r="AR6" i="2" a="1"/>
  <c r="AR6" i="2" s="1"/>
  <c r="AR7" i="2" s="1"/>
  <c r="AQ6" i="2" a="1"/>
  <c r="AQ6" i="2"/>
  <c r="AQ7" i="2" s="1"/>
  <c r="AP6" i="2" a="1"/>
  <c r="AP6" i="2"/>
  <c r="AO6" i="2" a="1"/>
  <c r="AO6" i="2" s="1"/>
  <c r="AO7" i="2" s="1"/>
  <c r="AN6" i="2" a="1"/>
  <c r="AN6" i="2"/>
  <c r="AN7" i="2" s="1"/>
  <c r="AM6" i="2" a="1"/>
  <c r="AM6" i="2"/>
  <c r="AM7" i="2" s="1"/>
  <c r="AL6" i="2" a="1"/>
  <c r="AL6" i="2"/>
  <c r="AK6" i="2" a="1"/>
  <c r="AK6" i="2"/>
  <c r="AJ6" i="2" a="1"/>
  <c r="AJ6" i="2" s="1"/>
  <c r="AI6" i="2" a="1"/>
  <c r="AI6" i="2"/>
  <c r="AI8" i="2" s="1"/>
  <c r="AH6" i="2" a="1"/>
  <c r="AH6" i="2"/>
  <c r="AG6" i="2" a="1"/>
  <c r="AG6" i="2" s="1"/>
  <c r="AF6" i="2" a="1"/>
  <c r="AF6" i="2"/>
  <c r="AE6" i="2" a="1"/>
  <c r="AE6" i="2"/>
  <c r="AE8" i="2" s="1"/>
  <c r="AD6" i="2" a="1"/>
  <c r="AD6" i="2"/>
  <c r="AC6" i="2" a="1"/>
  <c r="AC6" i="2" s="1"/>
  <c r="AC8" i="2" s="1"/>
  <c r="AB6" i="2" a="1"/>
  <c r="AB6" i="2"/>
  <c r="AA6" i="2" a="1"/>
  <c r="AA6" i="2"/>
  <c r="Z6" i="2" a="1"/>
  <c r="Z6" i="2" s="1"/>
  <c r="Y6" i="2" a="1"/>
  <c r="Y6" i="2"/>
  <c r="Y8" i="2" s="1"/>
  <c r="X6" i="2" a="1"/>
  <c r="X6" i="2"/>
  <c r="W6" i="2" a="1"/>
  <c r="W6" i="2"/>
  <c r="W7" i="2" s="1"/>
  <c r="V6" i="2" a="1"/>
  <c r="V6" i="2" s="1"/>
  <c r="V7" i="2" s="1"/>
  <c r="U6" i="2" a="1"/>
  <c r="U6" i="2"/>
  <c r="U7" i="2" s="1"/>
  <c r="T6" i="2" a="1"/>
  <c r="T6" i="2"/>
  <c r="T7" i="2" s="1"/>
  <c r="S6" i="2" a="1"/>
  <c r="S6" i="2" s="1"/>
  <c r="R6" i="2" a="1"/>
  <c r="R6" i="2"/>
  <c r="Q6" i="2" a="1"/>
  <c r="Q6" i="2" s="1"/>
  <c r="Q7" i="2" s="1"/>
  <c r="P6" i="2" a="1"/>
  <c r="P6" i="2"/>
  <c r="P7" i="2" s="1"/>
  <c r="O6" i="2" a="1"/>
  <c r="O6" i="2"/>
  <c r="N6" i="2" a="1"/>
  <c r="N6" i="2"/>
  <c r="M6" i="2" a="1"/>
  <c r="M6" i="2" s="1"/>
  <c r="M8" i="2" s="1"/>
  <c r="L6" i="2" a="1"/>
  <c r="L6" i="2"/>
  <c r="L8" i="2" s="1"/>
  <c r="K6" i="2" a="1"/>
  <c r="K6" i="2" s="1"/>
  <c r="K8" i="2" s="1"/>
  <c r="J6" i="2" a="1"/>
  <c r="J6" i="2"/>
  <c r="J8" i="2" s="1"/>
  <c r="I6" i="2" a="1"/>
  <c r="I6" i="2" s="1"/>
  <c r="I8" i="2" s="1"/>
  <c r="H6" i="2" a="1"/>
  <c r="H6" i="2"/>
  <c r="H7" i="2" s="1"/>
  <c r="G6" i="2" a="1"/>
  <c r="G6" i="2" s="1"/>
  <c r="G7" i="2" s="1"/>
  <c r="F6" i="2" a="1"/>
  <c r="F6" i="2"/>
  <c r="F7" i="2" s="1"/>
  <c r="E6" i="2" a="1"/>
  <c r="E6" i="2"/>
  <c r="E7" i="2" s="1"/>
  <c r="D6" i="2" a="1"/>
  <c r="D6" i="2"/>
  <c r="C6" i="2" a="1"/>
  <c r="C6" i="2"/>
  <c r="C8" i="2" s="1"/>
  <c r="EN25" i="1"/>
  <c r="EO25" i="1" s="1"/>
  <c r="EM25" i="1"/>
  <c r="EN24" i="1"/>
  <c r="EO24" i="1" s="1"/>
  <c r="EM24" i="1"/>
  <c r="B24" i="1"/>
  <c r="EN23" i="1"/>
  <c r="EM23" i="1"/>
  <c r="EO23" i="1" s="1"/>
  <c r="B23" i="1"/>
  <c r="EO22" i="1"/>
  <c r="EN22" i="1"/>
  <c r="EM22" i="1"/>
  <c r="B22" i="1"/>
  <c r="EN21" i="1"/>
  <c r="EM21" i="1"/>
  <c r="EO21" i="1" s="1"/>
  <c r="B21" i="1"/>
  <c r="EO20" i="1"/>
  <c r="EN20" i="1"/>
  <c r="EM20" i="1"/>
  <c r="B20" i="1"/>
  <c r="EO19" i="1"/>
  <c r="EN19" i="1"/>
  <c r="EM19" i="1"/>
  <c r="B19" i="1"/>
  <c r="EN18" i="1"/>
  <c r="EM18" i="1"/>
  <c r="EO18" i="1" s="1"/>
  <c r="B18" i="1"/>
  <c r="EN17" i="1"/>
  <c r="EM17" i="1"/>
  <c r="EO17" i="1" s="1"/>
  <c r="B17" i="1"/>
  <c r="EO16" i="1"/>
  <c r="EN16" i="1"/>
  <c r="EM16" i="1"/>
  <c r="B16" i="1"/>
  <c r="EN15" i="1"/>
  <c r="EM15" i="1"/>
  <c r="EO15" i="1" s="1"/>
  <c r="B15" i="1"/>
  <c r="EN14" i="1"/>
  <c r="EM14" i="1"/>
  <c r="EO14" i="1" s="1"/>
  <c r="B14" i="1"/>
  <c r="EN13" i="1"/>
  <c r="EO13" i="1" s="1"/>
  <c r="EM13" i="1"/>
  <c r="B13" i="1"/>
  <c r="EN12" i="1"/>
  <c r="EM12" i="1"/>
  <c r="EO12" i="1" s="1"/>
  <c r="B12" i="1"/>
  <c r="EM8" i="1"/>
  <c r="EK8" i="1"/>
  <c r="EJ8" i="1"/>
  <c r="EI8" i="1"/>
  <c r="EH8" i="1"/>
  <c r="EC8" i="1"/>
  <c r="EB8" i="1"/>
  <c r="DT8" i="1"/>
  <c r="DQ8" i="1"/>
  <c r="DP8" i="1"/>
  <c r="DM8" i="1"/>
  <c r="DL8" i="1"/>
  <c r="DK8" i="1"/>
  <c r="DJ8" i="1"/>
  <c r="DI8" i="1"/>
  <c r="DF8" i="1"/>
  <c r="DE8" i="1"/>
  <c r="DD8" i="1"/>
  <c r="CX8" i="1"/>
  <c r="CW8" i="1"/>
  <c r="CP8" i="1"/>
  <c r="CO8" i="1"/>
  <c r="CN8" i="1"/>
  <c r="CF8" i="1"/>
  <c r="CA8" i="1"/>
  <c r="BZ8" i="1"/>
  <c r="BY8" i="1"/>
  <c r="BX8" i="1"/>
  <c r="BW8" i="1"/>
  <c r="BV8" i="1"/>
  <c r="BU8" i="1"/>
  <c r="BT8" i="1"/>
  <c r="BO8" i="1"/>
  <c r="BN8" i="1"/>
  <c r="BM8" i="1"/>
  <c r="BJ8" i="1"/>
  <c r="AY8" i="1"/>
  <c r="AX8" i="1"/>
  <c r="AS8" i="1"/>
  <c r="AR8" i="1"/>
  <c r="AL8" i="1"/>
  <c r="AG8" i="1"/>
  <c r="AF8" i="1"/>
  <c r="AE8" i="1"/>
  <c r="AB8" i="1"/>
  <c r="AA8" i="1"/>
  <c r="Z8" i="1"/>
  <c r="V8" i="1"/>
  <c r="U8" i="1"/>
  <c r="T8" i="1"/>
  <c r="S8" i="1"/>
  <c r="R8" i="1"/>
  <c r="O8" i="1"/>
  <c r="I8" i="1"/>
  <c r="F8" i="1"/>
  <c r="E8" i="1"/>
  <c r="EM7" i="1"/>
  <c r="EL7" i="1"/>
  <c r="EK7" i="1"/>
  <c r="EJ7" i="1"/>
  <c r="EI7" i="1"/>
  <c r="EH7" i="1"/>
  <c r="EG7" i="1"/>
  <c r="EE7" i="1"/>
  <c r="EC7" i="1"/>
  <c r="EB7" i="1"/>
  <c r="DX7" i="1"/>
  <c r="DW7" i="1"/>
  <c r="DT7" i="1"/>
  <c r="DQ7" i="1"/>
  <c r="DP7" i="1"/>
  <c r="DM7" i="1"/>
  <c r="DL7" i="1"/>
  <c r="DK7" i="1"/>
  <c r="DI7" i="1"/>
  <c r="DH7" i="1"/>
  <c r="DG7" i="1"/>
  <c r="DF7" i="1"/>
  <c r="DE7" i="1"/>
  <c r="DA7" i="1"/>
  <c r="CZ7" i="1"/>
  <c r="CY7" i="1"/>
  <c r="CX7" i="1"/>
  <c r="CW7" i="1"/>
  <c r="CS7" i="1"/>
  <c r="CP7" i="1"/>
  <c r="CB7" i="1"/>
  <c r="CA7" i="1"/>
  <c r="BZ7" i="1"/>
  <c r="BY7" i="1"/>
  <c r="BX7" i="1"/>
  <c r="BW7" i="1"/>
  <c r="BV7" i="1"/>
  <c r="BU7" i="1"/>
  <c r="BT7" i="1"/>
  <c r="BQ7" i="1"/>
  <c r="BO7" i="1"/>
  <c r="BE7" i="1"/>
  <c r="BD7" i="1"/>
  <c r="BC7" i="1"/>
  <c r="AY7" i="1"/>
  <c r="AX7" i="1"/>
  <c r="AS7" i="1"/>
  <c r="AR7" i="1"/>
  <c r="AQ7" i="1"/>
  <c r="AP7" i="1"/>
  <c r="AO7" i="1"/>
  <c r="AF7" i="1"/>
  <c r="AD7" i="1"/>
  <c r="AB7" i="1"/>
  <c r="AA7" i="1"/>
  <c r="V7" i="1"/>
  <c r="U7" i="1"/>
  <c r="T7" i="1"/>
  <c r="S7" i="1"/>
  <c r="R7" i="1"/>
  <c r="Q7" i="1"/>
  <c r="I7" i="1"/>
  <c r="H7" i="1"/>
  <c r="G7" i="1"/>
  <c r="F7" i="1"/>
  <c r="EM6" i="1" a="1"/>
  <c r="EM6" i="1"/>
  <c r="EL6" i="1" a="1"/>
  <c r="EL6" i="1"/>
  <c r="EL8" i="1" s="1"/>
  <c r="EK6" i="1" a="1"/>
  <c r="EK6" i="1"/>
  <c r="EJ6" i="1" a="1"/>
  <c r="EJ6" i="1"/>
  <c r="EI6" i="1" a="1"/>
  <c r="EI6" i="1" s="1"/>
  <c r="EH6" i="1" a="1"/>
  <c r="EH6" i="1"/>
  <c r="EG6" i="1" a="1"/>
  <c r="EG6" i="1"/>
  <c r="EG8" i="1" s="1"/>
  <c r="EF6" i="1" a="1"/>
  <c r="EF6" i="1" s="1"/>
  <c r="EF7" i="1" s="1"/>
  <c r="EE6" i="1" a="1"/>
  <c r="EE6" i="1"/>
  <c r="EE8" i="1" s="1"/>
  <c r="ED6" i="1" a="1"/>
  <c r="ED6" i="1"/>
  <c r="ED7" i="1" s="1"/>
  <c r="EC6" i="1" a="1"/>
  <c r="EC6" i="1"/>
  <c r="EB6" i="1" a="1"/>
  <c r="EB6" i="1"/>
  <c r="EA6" i="1" a="1"/>
  <c r="EA6" i="1"/>
  <c r="DZ6" i="1" a="1"/>
  <c r="DZ6" i="1"/>
  <c r="DY6" i="1" a="1"/>
  <c r="DY6" i="1"/>
  <c r="DX6" i="1" a="1"/>
  <c r="DX6" i="1" s="1"/>
  <c r="DX8" i="1" s="1"/>
  <c r="DW6" i="1" a="1"/>
  <c r="DW6" i="1"/>
  <c r="DW8" i="1" s="1"/>
  <c r="DV6" i="1" a="1"/>
  <c r="DV6" i="1"/>
  <c r="DV8" i="1" s="1"/>
  <c r="DU6" i="1" a="1"/>
  <c r="DU6" i="1"/>
  <c r="DU8" i="1" s="1"/>
  <c r="DT6" i="1" a="1"/>
  <c r="DT6" i="1"/>
  <c r="DS6" i="1" a="1"/>
  <c r="DS6" i="1"/>
  <c r="DR6" i="1" a="1"/>
  <c r="DR6" i="1"/>
  <c r="DQ6" i="1" a="1"/>
  <c r="DQ6" i="1"/>
  <c r="DP6" i="1" a="1"/>
  <c r="DP6" i="1"/>
  <c r="DO6" i="1" a="1"/>
  <c r="DO6" i="1"/>
  <c r="DN6" i="1" a="1"/>
  <c r="DN6" i="1" s="1"/>
  <c r="DM6" i="1" a="1"/>
  <c r="DM6" i="1" s="1"/>
  <c r="DL6" i="1" a="1"/>
  <c r="DL6" i="1"/>
  <c r="DK6" i="1" a="1"/>
  <c r="DK6" i="1"/>
  <c r="DJ6" i="1" a="1"/>
  <c r="DJ6" i="1"/>
  <c r="DJ7" i="1" s="1"/>
  <c r="DI6" i="1" a="1"/>
  <c r="DI6" i="1" s="1"/>
  <c r="DH6" i="1" a="1"/>
  <c r="DH6" i="1"/>
  <c r="DH8" i="1" s="1"/>
  <c r="DG6" i="1" a="1"/>
  <c r="DG6" i="1"/>
  <c r="DG8" i="1" s="1"/>
  <c r="DF6" i="1" a="1"/>
  <c r="DF6" i="1"/>
  <c r="DE6" i="1" a="1"/>
  <c r="DE6" i="1"/>
  <c r="DD6" i="1" a="1"/>
  <c r="DD6" i="1"/>
  <c r="DD7" i="1" s="1"/>
  <c r="DC6" i="1" a="1"/>
  <c r="DC6" i="1" s="1"/>
  <c r="DB6" i="1" a="1"/>
  <c r="DB6" i="1" s="1"/>
  <c r="DA6" i="1" a="1"/>
  <c r="DA6" i="1"/>
  <c r="DA8" i="1" s="1"/>
  <c r="CZ6" i="1" a="1"/>
  <c r="CZ6" i="1"/>
  <c r="CZ8" i="1" s="1"/>
  <c r="CY6" i="1" a="1"/>
  <c r="CY6" i="1"/>
  <c r="CY8" i="1" s="1"/>
  <c r="CX6" i="1" a="1"/>
  <c r="CX6" i="1"/>
  <c r="CW6" i="1" a="1"/>
  <c r="CW6" i="1"/>
  <c r="CV6" i="1" a="1"/>
  <c r="CV6" i="1"/>
  <c r="CV8" i="1" s="1"/>
  <c r="CU6" i="1" a="1"/>
  <c r="CU6" i="1"/>
  <c r="CU8" i="1" s="1"/>
  <c r="CT6" i="1" a="1"/>
  <c r="CT6" i="1" s="1"/>
  <c r="CS6" i="1" a="1"/>
  <c r="CS6" i="1"/>
  <c r="CS8" i="1" s="1"/>
  <c r="CR6" i="1" a="1"/>
  <c r="CR6" i="1"/>
  <c r="CQ6" i="1" a="1"/>
  <c r="CQ6" i="1" s="1"/>
  <c r="CP6" i="1" a="1"/>
  <c r="CP6" i="1"/>
  <c r="CO6" i="1" a="1"/>
  <c r="CO6" i="1"/>
  <c r="CO7" i="1" s="1"/>
  <c r="CN6" i="1" a="1"/>
  <c r="CN6" i="1"/>
  <c r="CN7" i="1" s="1"/>
  <c r="CM6" i="1" a="1"/>
  <c r="CM6" i="1"/>
  <c r="CM7" i="1" s="1"/>
  <c r="CL6" i="1" a="1"/>
  <c r="CL6" i="1" s="1"/>
  <c r="CL7" i="1" s="1"/>
  <c r="CK6" i="1" a="1"/>
  <c r="CK6" i="1"/>
  <c r="CK7" i="1" s="1"/>
  <c r="CJ6" i="1" a="1"/>
  <c r="CJ6" i="1"/>
  <c r="CJ7" i="1" s="1"/>
  <c r="CI6" i="1" a="1"/>
  <c r="CI6" i="1"/>
  <c r="CI7" i="1" s="1"/>
  <c r="CH6" i="1" a="1"/>
  <c r="CH6" i="1" s="1"/>
  <c r="CH8" i="1" s="1"/>
  <c r="CG6" i="1" a="1"/>
  <c r="CG6" i="1"/>
  <c r="CF6" i="1" a="1"/>
  <c r="CF6" i="1" s="1"/>
  <c r="CF7" i="1" s="1"/>
  <c r="CE6" i="1" a="1"/>
  <c r="CE6" i="1"/>
  <c r="CE8" i="1" s="1"/>
  <c r="CD6" i="1" a="1"/>
  <c r="CD6" i="1" s="1"/>
  <c r="CC6" i="1" a="1"/>
  <c r="CC6" i="1" s="1"/>
  <c r="CB6" i="1" a="1"/>
  <c r="CB6" i="1"/>
  <c r="CB8" i="1" s="1"/>
  <c r="CA6" i="1" a="1"/>
  <c r="CA6" i="1"/>
  <c r="BZ6" i="1" a="1"/>
  <c r="BZ6" i="1"/>
  <c r="BY6" i="1" a="1"/>
  <c r="BY6" i="1"/>
  <c r="BX6" i="1" a="1"/>
  <c r="BX6" i="1"/>
  <c r="BW6" i="1" a="1"/>
  <c r="BW6" i="1"/>
  <c r="BV6" i="1" a="1"/>
  <c r="BV6" i="1"/>
  <c r="BU6" i="1" a="1"/>
  <c r="BU6" i="1" s="1"/>
  <c r="BT6" i="1" a="1"/>
  <c r="BT6" i="1"/>
  <c r="BS6" i="1" a="1"/>
  <c r="BS6" i="1"/>
  <c r="BS8" i="1" s="1"/>
  <c r="BR6" i="1" a="1"/>
  <c r="BR6" i="1" s="1"/>
  <c r="BQ6" i="1" a="1"/>
  <c r="BQ6" i="1"/>
  <c r="BQ8" i="1" s="1"/>
  <c r="BP6" i="1" a="1"/>
  <c r="BP6" i="1"/>
  <c r="BP8" i="1" s="1"/>
  <c r="BO6" i="1" a="1"/>
  <c r="BO6" i="1"/>
  <c r="BN6" i="1" a="1"/>
  <c r="BN6" i="1"/>
  <c r="BN7" i="1" s="1"/>
  <c r="BM6" i="1" a="1"/>
  <c r="BM6" i="1"/>
  <c r="BM7" i="1" s="1"/>
  <c r="BL6" i="1" a="1"/>
  <c r="BL6" i="1"/>
  <c r="BL7" i="1" s="1"/>
  <c r="BK6" i="1" a="1"/>
  <c r="BK6" i="1" s="1"/>
  <c r="BK7" i="1" s="1"/>
  <c r="BJ6" i="1" a="1"/>
  <c r="BJ6" i="1" s="1"/>
  <c r="BJ7" i="1" s="1"/>
  <c r="BI6" i="1" a="1"/>
  <c r="BI6" i="1"/>
  <c r="BI8" i="1" s="1"/>
  <c r="BH6" i="1" a="1"/>
  <c r="BH6" i="1"/>
  <c r="BG6" i="1" a="1"/>
  <c r="BG6" i="1"/>
  <c r="BF6" i="1" a="1"/>
  <c r="BF6" i="1" s="1"/>
  <c r="BE6" i="1" a="1"/>
  <c r="BE6" i="1"/>
  <c r="BE8" i="1" s="1"/>
  <c r="BD6" i="1" a="1"/>
  <c r="BD6" i="1"/>
  <c r="BD8" i="1" s="1"/>
  <c r="BC6" i="1" a="1"/>
  <c r="BC6" i="1"/>
  <c r="BC8" i="1" s="1"/>
  <c r="BB6" i="1" a="1"/>
  <c r="BB6" i="1"/>
  <c r="BB8" i="1" s="1"/>
  <c r="BA6" i="1" a="1"/>
  <c r="BA6" i="1"/>
  <c r="BA8" i="1" s="1"/>
  <c r="AZ6" i="1" a="1"/>
  <c r="AZ6" i="1"/>
  <c r="AZ8" i="1" s="1"/>
  <c r="AY6" i="1" a="1"/>
  <c r="AY6" i="1" s="1"/>
  <c r="AX6" i="1" a="1"/>
  <c r="AX6" i="1"/>
  <c r="AW6" i="1" a="1"/>
  <c r="AW6" i="1"/>
  <c r="AV6" i="1" a="1"/>
  <c r="AV6" i="1"/>
  <c r="AU6" i="1" a="1"/>
  <c r="AU6" i="1"/>
  <c r="AT6" i="1" a="1"/>
  <c r="AT6" i="1" s="1"/>
  <c r="AS6" i="1" a="1"/>
  <c r="AS6" i="1"/>
  <c r="AR6" i="1" a="1"/>
  <c r="AR6" i="1" s="1"/>
  <c r="AQ6" i="1" a="1"/>
  <c r="AQ6" i="1"/>
  <c r="AQ8" i="1" s="1"/>
  <c r="AP6" i="1" a="1"/>
  <c r="AP6" i="1"/>
  <c r="AP8" i="1" s="1"/>
  <c r="AO6" i="1" a="1"/>
  <c r="AO6" i="1"/>
  <c r="AO8" i="1" s="1"/>
  <c r="AN6" i="1" a="1"/>
  <c r="AN6" i="1" s="1"/>
  <c r="AM6" i="1" a="1"/>
  <c r="AM6" i="1"/>
  <c r="AM8" i="1" s="1"/>
  <c r="AL6" i="1" a="1"/>
  <c r="AL6" i="1"/>
  <c r="AL7" i="1" s="1"/>
  <c r="AK6" i="1" a="1"/>
  <c r="AK6" i="1"/>
  <c r="AK7" i="1" s="1"/>
  <c r="AJ6" i="1" a="1"/>
  <c r="AJ6" i="1"/>
  <c r="AI6" i="1" a="1"/>
  <c r="AI6" i="1"/>
  <c r="AI8" i="1" s="1"/>
  <c r="AH6" i="1" a="1"/>
  <c r="AH6" i="1"/>
  <c r="AG6" i="1" a="1"/>
  <c r="AG6" i="1"/>
  <c r="AG7" i="1" s="1"/>
  <c r="AF6" i="1" a="1"/>
  <c r="AF6" i="1"/>
  <c r="AE6" i="1" a="1"/>
  <c r="AE6" i="1"/>
  <c r="AE7" i="1" s="1"/>
  <c r="AD6" i="1" a="1"/>
  <c r="AD6" i="1"/>
  <c r="AD8" i="1" s="1"/>
  <c r="AC6" i="1" a="1"/>
  <c r="AC6" i="1" s="1"/>
  <c r="AC8" i="1" s="1"/>
  <c r="AB6" i="1" a="1"/>
  <c r="AB6" i="1"/>
  <c r="AA6" i="1" a="1"/>
  <c r="AA6" i="1"/>
  <c r="Z6" i="1" a="1"/>
  <c r="Z6" i="1"/>
  <c r="Z7" i="1" s="1"/>
  <c r="Y6" i="1" a="1"/>
  <c r="Y6" i="1"/>
  <c r="X6" i="1" a="1"/>
  <c r="X6" i="1"/>
  <c r="W6" i="1" a="1"/>
  <c r="W6" i="1"/>
  <c r="V6" i="1" a="1"/>
  <c r="V6" i="1"/>
  <c r="U6" i="1" a="1"/>
  <c r="U6" i="1" s="1"/>
  <c r="T6" i="1" a="1"/>
  <c r="T6" i="1"/>
  <c r="S6" i="1" a="1"/>
  <c r="S6" i="1"/>
  <c r="R6" i="1" a="1"/>
  <c r="R6" i="1" s="1"/>
  <c r="Q6" i="1" a="1"/>
  <c r="Q6" i="1"/>
  <c r="Q8" i="1" s="1"/>
  <c r="P6" i="1" a="1"/>
  <c r="P6" i="1"/>
  <c r="P7" i="1" s="1"/>
  <c r="O6" i="1" a="1"/>
  <c r="O6" i="1"/>
  <c r="O7" i="1" s="1"/>
  <c r="N6" i="1" a="1"/>
  <c r="N6" i="1"/>
  <c r="N7" i="1" s="1"/>
  <c r="M6" i="1" a="1"/>
  <c r="M6" i="1"/>
  <c r="L6" i="1" a="1"/>
  <c r="L6" i="1"/>
  <c r="K6" i="1" a="1"/>
  <c r="K6" i="1"/>
  <c r="J6" i="1" a="1"/>
  <c r="J6" i="1"/>
  <c r="I6" i="1" a="1"/>
  <c r="I6" i="1"/>
  <c r="H6" i="1" a="1"/>
  <c r="H6" i="1"/>
  <c r="H8" i="1" s="1"/>
  <c r="G6" i="1" a="1"/>
  <c r="G6" i="1" s="1"/>
  <c r="G8" i="1" s="1"/>
  <c r="F6" i="1" a="1"/>
  <c r="F6" i="1"/>
  <c r="E6" i="1" a="1"/>
  <c r="E6" i="1"/>
  <c r="E7" i="1" s="1"/>
  <c r="D6" i="1" a="1"/>
  <c r="D6" i="1" s="1"/>
  <c r="C6" i="1" a="1"/>
  <c r="C6" i="1"/>
  <c r="C8" i="1" s="1"/>
  <c r="EO24" i="2" l="1"/>
  <c r="DC7" i="1"/>
  <c r="DC8" i="1"/>
  <c r="CD8" i="1"/>
  <c r="CD7" i="1"/>
  <c r="BR7" i="1"/>
  <c r="BR8" i="1"/>
  <c r="BF8" i="1"/>
  <c r="BF7" i="1"/>
  <c r="Z7" i="2"/>
  <c r="Z8" i="2"/>
  <c r="DF7" i="3"/>
  <c r="DF8" i="3"/>
  <c r="K8" i="1"/>
  <c r="K7" i="1"/>
  <c r="AU8" i="1"/>
  <c r="AU7" i="1"/>
  <c r="EF8" i="3"/>
  <c r="EF7" i="3"/>
  <c r="EB7" i="4"/>
  <c r="EB8" i="4"/>
  <c r="DG8" i="3"/>
  <c r="DG7" i="3"/>
  <c r="DE7" i="4"/>
  <c r="DE8" i="4"/>
  <c r="EC8" i="4"/>
  <c r="EC7" i="4"/>
  <c r="L8" i="1"/>
  <c r="L7" i="1"/>
  <c r="AV7" i="1"/>
  <c r="AV8" i="1"/>
  <c r="AJ7" i="3"/>
  <c r="AJ8" i="3"/>
  <c r="BV8" i="3"/>
  <c r="BV7" i="3"/>
  <c r="CU7" i="3"/>
  <c r="CU8" i="3"/>
  <c r="EG7" i="3"/>
  <c r="EG8" i="3"/>
  <c r="BH8" i="4"/>
  <c r="BH7" i="4"/>
  <c r="CS8" i="4"/>
  <c r="CS7" i="4"/>
  <c r="AJ8" i="1"/>
  <c r="AJ7" i="1"/>
  <c r="BH7" i="1"/>
  <c r="BH8" i="1"/>
  <c r="X8" i="3"/>
  <c r="X7" i="3"/>
  <c r="AK8" i="3"/>
  <c r="AK7" i="3"/>
  <c r="BK7" i="3"/>
  <c r="BK8" i="3"/>
  <c r="EH7" i="3"/>
  <c r="EH8" i="3"/>
  <c r="AK7" i="4"/>
  <c r="AK8" i="4"/>
  <c r="CT7" i="4"/>
  <c r="CT8" i="4"/>
  <c r="DF8" i="4"/>
  <c r="DF7" i="4"/>
  <c r="DR7" i="4"/>
  <c r="DR8" i="4"/>
  <c r="ED8" i="4"/>
  <c r="ED7" i="4"/>
  <c r="M8" i="1"/>
  <c r="M7" i="1"/>
  <c r="Y8" i="1"/>
  <c r="Y7" i="1"/>
  <c r="DR7" i="1"/>
  <c r="DR8" i="1"/>
  <c r="Y7" i="3"/>
  <c r="Y8" i="3"/>
  <c r="AW8" i="3"/>
  <c r="CT8" i="1"/>
  <c r="CT7" i="1"/>
  <c r="AL8" i="3"/>
  <c r="AL7" i="3"/>
  <c r="BL7" i="3"/>
  <c r="BL8" i="3"/>
  <c r="AX8" i="3"/>
  <c r="EM24" i="3"/>
  <c r="EN24" i="3" s="1"/>
  <c r="BS7" i="1"/>
  <c r="Z7" i="3"/>
  <c r="Z8" i="3"/>
  <c r="AM8" i="3"/>
  <c r="AM7" i="3"/>
  <c r="BX8" i="3"/>
  <c r="BX7" i="3"/>
  <c r="CG7" i="2"/>
  <c r="CG8" i="2"/>
  <c r="AG7" i="7"/>
  <c r="AG8" i="7"/>
  <c r="BR8" i="7"/>
  <c r="BR7" i="7"/>
  <c r="DO8" i="7"/>
  <c r="DO7" i="7"/>
  <c r="BH8" i="2"/>
  <c r="BH7" i="2"/>
  <c r="BU8" i="2"/>
  <c r="BU7" i="2"/>
  <c r="DG7" i="2"/>
  <c r="DG8" i="2"/>
  <c r="AA8" i="3"/>
  <c r="AA7" i="3"/>
  <c r="AN8" i="3"/>
  <c r="AN7" i="3"/>
  <c r="CJ7" i="3"/>
  <c r="BI8" i="2"/>
  <c r="BI7" i="2"/>
  <c r="DR7" i="2"/>
  <c r="AB8" i="3"/>
  <c r="AB7" i="3"/>
  <c r="BI8" i="4"/>
  <c r="J7" i="7"/>
  <c r="J8" i="7"/>
  <c r="BG7" i="7"/>
  <c r="BG8" i="7"/>
  <c r="CQ8" i="7"/>
  <c r="CQ7" i="7"/>
  <c r="DP7" i="7"/>
  <c r="DP8" i="7"/>
  <c r="EC8" i="7"/>
  <c r="EC7" i="7"/>
  <c r="AV7" i="2"/>
  <c r="AV8" i="2"/>
  <c r="BV7" i="2"/>
  <c r="BV8" i="2"/>
  <c r="CU8" i="2"/>
  <c r="CU7" i="2"/>
  <c r="DH7" i="2"/>
  <c r="DH8" i="2"/>
  <c r="DS7" i="2"/>
  <c r="EE8" i="2"/>
  <c r="C7" i="3"/>
  <c r="C8" i="3"/>
  <c r="O8" i="3"/>
  <c r="AI8" i="7"/>
  <c r="C20" i="8"/>
  <c r="AJ8" i="2"/>
  <c r="AJ7" i="2"/>
  <c r="BJ7" i="2"/>
  <c r="BJ8" i="2"/>
  <c r="CI7" i="2"/>
  <c r="CI8" i="2"/>
  <c r="CV8" i="2"/>
  <c r="CV7" i="2"/>
  <c r="DT7" i="2"/>
  <c r="EF8" i="2"/>
  <c r="P8" i="3"/>
  <c r="BI8" i="3"/>
  <c r="CH7" i="4"/>
  <c r="ED7" i="7"/>
  <c r="ED8" i="7"/>
  <c r="DQ7" i="7"/>
  <c r="AK8" i="2"/>
  <c r="AK7" i="2"/>
  <c r="AW7" i="2"/>
  <c r="AW8" i="2"/>
  <c r="EG8" i="2"/>
  <c r="DT8" i="3"/>
  <c r="CI7" i="4"/>
  <c r="X8" i="7"/>
  <c r="X7" i="7"/>
  <c r="BU7" i="7"/>
  <c r="BU8" i="7"/>
  <c r="CS8" i="7"/>
  <c r="CS7" i="7"/>
  <c r="DE8" i="7"/>
  <c r="DE7" i="7"/>
  <c r="DR7" i="7"/>
  <c r="AV7" i="3"/>
  <c r="DU8" i="3"/>
  <c r="BI8" i="7"/>
  <c r="BI7" i="7"/>
  <c r="AL8" i="2"/>
  <c r="AL7" i="2"/>
  <c r="EM18" i="3"/>
  <c r="EN18" i="3" s="1"/>
  <c r="BT8" i="4"/>
  <c r="AI7" i="1"/>
  <c r="CS8" i="2"/>
  <c r="AY7" i="3"/>
  <c r="EM23" i="3"/>
  <c r="EN23" i="3" s="1"/>
  <c r="BU8" i="4"/>
  <c r="W8" i="1"/>
  <c r="W7" i="1"/>
  <c r="CQ7" i="1"/>
  <c r="CQ8" i="1"/>
  <c r="BU7" i="3"/>
  <c r="BU8" i="3"/>
  <c r="CT8" i="3"/>
  <c r="CT7" i="3"/>
  <c r="BG8" i="1"/>
  <c r="BG7" i="1"/>
  <c r="CR7" i="1"/>
  <c r="CR8" i="1"/>
  <c r="BJ7" i="3"/>
  <c r="BJ8" i="3"/>
  <c r="DQ8" i="4"/>
  <c r="DQ7" i="4"/>
  <c r="X8" i="1"/>
  <c r="X7" i="1"/>
  <c r="AW8" i="1"/>
  <c r="AW7" i="1"/>
  <c r="BW8" i="3"/>
  <c r="BW7" i="3"/>
  <c r="Z8" i="4"/>
  <c r="Z7" i="4"/>
  <c r="EE8" i="4"/>
  <c r="EE7" i="4"/>
  <c r="DI8" i="3"/>
  <c r="DI7" i="3"/>
  <c r="CW7" i="3"/>
  <c r="CW8" i="3"/>
  <c r="EA8" i="7"/>
  <c r="EA7" i="7"/>
  <c r="BT8" i="2"/>
  <c r="BT7" i="2"/>
  <c r="BM8" i="3"/>
  <c r="BM7" i="3"/>
  <c r="EM22" i="3"/>
  <c r="EN22" i="3" s="1"/>
  <c r="I7" i="7"/>
  <c r="I8" i="7"/>
  <c r="V8" i="7"/>
  <c r="V7" i="7"/>
  <c r="CP8" i="7"/>
  <c r="CP7" i="7"/>
  <c r="CH7" i="2"/>
  <c r="CH8" i="2"/>
  <c r="N8" i="2"/>
  <c r="N7" i="2"/>
  <c r="CT8" i="2"/>
  <c r="AZ7" i="3"/>
  <c r="EM16" i="3"/>
  <c r="EN16" i="3" s="1"/>
  <c r="AK8" i="1"/>
  <c r="M7" i="3"/>
  <c r="CH8" i="3"/>
  <c r="AW7" i="4"/>
  <c r="N7" i="3"/>
  <c r="CI8" i="3"/>
  <c r="DN7" i="1"/>
  <c r="DN8" i="1"/>
  <c r="DZ7" i="1"/>
  <c r="DZ8" i="1"/>
  <c r="DQ7" i="3"/>
  <c r="DQ8" i="3"/>
  <c r="CC8" i="1"/>
  <c r="CC7" i="1"/>
  <c r="DB8" i="1"/>
  <c r="DB7" i="1"/>
  <c r="DO7" i="1"/>
  <c r="DO8" i="1"/>
  <c r="DE7" i="3"/>
  <c r="DE8" i="3"/>
  <c r="DR8" i="3"/>
  <c r="DR7" i="3"/>
  <c r="DC8" i="7"/>
  <c r="AT8" i="1"/>
  <c r="AT7" i="1"/>
  <c r="EA7" i="1"/>
  <c r="EA8" i="1"/>
  <c r="CS8" i="3"/>
  <c r="CS7" i="3"/>
  <c r="Q7" i="3"/>
  <c r="DS8" i="7"/>
  <c r="DS7" i="7"/>
  <c r="AC8" i="3"/>
  <c r="AC7" i="3"/>
  <c r="CX7" i="3"/>
  <c r="CX8" i="3"/>
  <c r="DV8" i="3"/>
  <c r="DV7" i="3"/>
  <c r="Z8" i="7"/>
  <c r="Z7" i="7"/>
  <c r="DS7" i="1"/>
  <c r="DS8" i="1"/>
  <c r="CH7" i="7"/>
  <c r="CH8" i="7"/>
  <c r="BA8" i="3"/>
  <c r="BA7" i="3"/>
  <c r="CL8" i="3"/>
  <c r="CL7" i="3"/>
  <c r="AL8" i="4"/>
  <c r="AL7" i="4"/>
  <c r="DS7" i="4"/>
  <c r="DS8" i="4"/>
  <c r="EF8" i="4"/>
  <c r="EF7" i="4"/>
  <c r="AM8" i="7"/>
  <c r="AM7" i="7"/>
  <c r="CI8" i="7"/>
  <c r="CI7" i="7"/>
  <c r="EF7" i="7"/>
  <c r="D7" i="1"/>
  <c r="D8" i="1"/>
  <c r="AD8" i="3"/>
  <c r="AD7" i="3"/>
  <c r="EJ8" i="3"/>
  <c r="EJ7" i="3"/>
  <c r="EI8" i="3"/>
  <c r="AM8" i="4"/>
  <c r="AM7" i="4"/>
  <c r="BX7" i="4"/>
  <c r="BX8" i="4"/>
  <c r="DH8" i="4"/>
  <c r="DH7" i="4"/>
  <c r="CU7" i="4"/>
  <c r="AN8" i="7"/>
  <c r="BV8" i="7"/>
  <c r="AN7" i="1"/>
  <c r="AN8" i="1"/>
  <c r="DX8" i="2"/>
  <c r="DX7" i="2"/>
  <c r="CK8" i="4"/>
  <c r="CK7" i="4"/>
  <c r="C8" i="4"/>
  <c r="AN8" i="4"/>
  <c r="BX7" i="7"/>
  <c r="BX8" i="7"/>
  <c r="CJ7" i="7"/>
  <c r="CJ8" i="7"/>
  <c r="CV8" i="7"/>
  <c r="CV7" i="7"/>
  <c r="DU8" i="7"/>
  <c r="DU7" i="7"/>
  <c r="CU7" i="7"/>
  <c r="BW8" i="7"/>
  <c r="P8" i="1"/>
  <c r="CI8" i="1"/>
  <c r="DY8" i="2"/>
  <c r="DY7" i="2"/>
  <c r="EK8" i="3"/>
  <c r="EK7" i="3"/>
  <c r="CY7" i="3"/>
  <c r="EM14" i="3"/>
  <c r="EN14" i="3" s="1"/>
  <c r="DI8" i="4"/>
  <c r="DI7" i="4"/>
  <c r="D8" i="4"/>
  <c r="AB8" i="7"/>
  <c r="AB7" i="7"/>
  <c r="BA8" i="7"/>
  <c r="BA7" i="7"/>
  <c r="AZ7" i="1"/>
  <c r="CH7" i="1"/>
  <c r="CJ8" i="1"/>
  <c r="CB8" i="2"/>
  <c r="CB7" i="2"/>
  <c r="G8" i="3"/>
  <c r="G7" i="3"/>
  <c r="BD7" i="3"/>
  <c r="BD8" i="3"/>
  <c r="BO7" i="3"/>
  <c r="CZ7" i="3"/>
  <c r="AC7" i="4"/>
  <c r="AC8" i="4"/>
  <c r="CL8" i="4"/>
  <c r="CL7" i="4"/>
  <c r="CX8" i="4"/>
  <c r="CX7" i="4"/>
  <c r="BA7" i="1"/>
  <c r="CK8" i="1"/>
  <c r="R8" i="2"/>
  <c r="R7" i="2"/>
  <c r="DB8" i="2"/>
  <c r="DB7" i="2"/>
  <c r="DZ8" i="2"/>
  <c r="DZ7" i="2"/>
  <c r="BP7" i="3"/>
  <c r="DA7" i="3"/>
  <c r="BN8" i="4"/>
  <c r="BN7" i="4"/>
  <c r="AA7" i="4"/>
  <c r="BM7" i="4"/>
  <c r="Q7" i="7"/>
  <c r="Q8" i="7"/>
  <c r="BB7" i="1"/>
  <c r="DU7" i="1"/>
  <c r="CL8" i="1"/>
  <c r="DA7" i="2"/>
  <c r="E8" i="2"/>
  <c r="AO8" i="2"/>
  <c r="BZ8" i="2"/>
  <c r="DJ8" i="3"/>
  <c r="CM7" i="4"/>
  <c r="CM8" i="4"/>
  <c r="AB7" i="4"/>
  <c r="DV7" i="1"/>
  <c r="CM8" i="1"/>
  <c r="S8" i="2"/>
  <c r="S7" i="2"/>
  <c r="DC8" i="2"/>
  <c r="DC7" i="2"/>
  <c r="F8" i="2"/>
  <c r="CA8" i="2"/>
  <c r="BZ8" i="3"/>
  <c r="DK8" i="3"/>
  <c r="EM21" i="3"/>
  <c r="EN21" i="3" s="1"/>
  <c r="AQ8" i="4"/>
  <c r="AQ7" i="4"/>
  <c r="DG7" i="4"/>
  <c r="DX7" i="7"/>
  <c r="DX8" i="7"/>
  <c r="AF7" i="2"/>
  <c r="AF8" i="2"/>
  <c r="AS7" i="2"/>
  <c r="AS8" i="2"/>
  <c r="AQ8" i="2"/>
  <c r="CA8" i="3"/>
  <c r="EM19" i="3"/>
  <c r="EN19" i="3" s="1"/>
  <c r="CN7" i="4"/>
  <c r="CN8" i="4"/>
  <c r="CA7" i="7"/>
  <c r="CA8" i="7"/>
  <c r="ED8" i="1"/>
  <c r="AR8" i="2"/>
  <c r="D7" i="3"/>
  <c r="CB8" i="3"/>
  <c r="T8" i="4"/>
  <c r="T7" i="4"/>
  <c r="BP8" i="4"/>
  <c r="BP7" i="4"/>
  <c r="BD7" i="7"/>
  <c r="BD8" i="7"/>
  <c r="BP8" i="7"/>
  <c r="BP7" i="7"/>
  <c r="EK7" i="7"/>
  <c r="EK8" i="7"/>
  <c r="C24" i="8"/>
  <c r="CU7" i="1"/>
  <c r="EC7" i="2"/>
  <c r="EC8" i="2"/>
  <c r="DM7" i="2"/>
  <c r="DP8" i="3"/>
  <c r="DP7" i="3"/>
  <c r="E7" i="3"/>
  <c r="AO7" i="3"/>
  <c r="EM17" i="3"/>
  <c r="EN17" i="3" s="1"/>
  <c r="BD7" i="4"/>
  <c r="BD8" i="4"/>
  <c r="CN7" i="7"/>
  <c r="CN8" i="7"/>
  <c r="DH7" i="7"/>
  <c r="J7" i="1"/>
  <c r="J8" i="1"/>
  <c r="DY8" i="1"/>
  <c r="DY7" i="1"/>
  <c r="CV7" i="1"/>
  <c r="BK8" i="1"/>
  <c r="EF8" i="1"/>
  <c r="CF8" i="2"/>
  <c r="CF7" i="2"/>
  <c r="DN7" i="2"/>
  <c r="K7" i="3"/>
  <c r="K8" i="3"/>
  <c r="F7" i="3"/>
  <c r="AP7" i="3"/>
  <c r="BQ8" i="4"/>
  <c r="BQ7" i="4"/>
  <c r="BB8" i="4"/>
  <c r="H8" i="7"/>
  <c r="H7" i="7"/>
  <c r="U8" i="7"/>
  <c r="U7" i="7"/>
  <c r="AH8" i="1"/>
  <c r="AH7" i="1"/>
  <c r="AC7" i="1"/>
  <c r="BP7" i="1"/>
  <c r="BL8" i="1"/>
  <c r="CD7" i="2"/>
  <c r="DO7" i="2"/>
  <c r="AP7" i="4"/>
  <c r="CT8" i="7"/>
  <c r="EJ8" i="7"/>
  <c r="O8" i="2"/>
  <c r="O7" i="2"/>
  <c r="EM13" i="3"/>
  <c r="EN13" i="3" s="1"/>
  <c r="I8" i="4"/>
  <c r="I7" i="4"/>
  <c r="CP8" i="4"/>
  <c r="CP7" i="4"/>
  <c r="J7" i="4"/>
  <c r="J8" i="4"/>
  <c r="BR7" i="4"/>
  <c r="BB7" i="7"/>
  <c r="BB8" i="7"/>
  <c r="CW8" i="7"/>
  <c r="CW7" i="7"/>
  <c r="CK7" i="7"/>
  <c r="CG7" i="1"/>
  <c r="CG8" i="1"/>
  <c r="C7" i="1"/>
  <c r="AY7" i="2"/>
  <c r="BK8" i="2"/>
  <c r="C16" i="8"/>
  <c r="CX8" i="2"/>
  <c r="CX7" i="2"/>
  <c r="AE8" i="7"/>
  <c r="AE7" i="7"/>
  <c r="BC7" i="7"/>
  <c r="BC8" i="7"/>
  <c r="BZ7" i="7"/>
  <c r="BZ8" i="7"/>
  <c r="R8" i="7"/>
  <c r="N8" i="1"/>
  <c r="EM7" i="3"/>
  <c r="EM8" i="3"/>
  <c r="B21" i="6"/>
  <c r="EB7" i="7"/>
  <c r="BL7" i="4"/>
  <c r="CE7" i="1"/>
  <c r="BI7" i="1"/>
  <c r="C28" i="8"/>
  <c r="AM7" i="1"/>
  <c r="C32" i="8" l="1"/>
  <c r="C31" i="8"/>
  <c r="C33" i="8" s="1"/>
  <c r="C30" i="8"/>
</calcChain>
</file>

<file path=xl/sharedStrings.xml><?xml version="1.0" encoding="utf-8"?>
<sst xmlns="http://schemas.openxmlformats.org/spreadsheetml/2006/main" count="2658" uniqueCount="277">
  <si>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</si>
  <si>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</si>
  <si>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</si>
  <si>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</si>
  <si>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</si>
  <si>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</si>
  <si>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</si>
  <si>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</si>
  <si>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</si>
  <si>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</si>
  <si>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</si>
  <si>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</si>
  <si>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</si>
  <si>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</si>
  <si>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</si>
  <si>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</si>
  <si>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</si>
  <si>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</si>
  <si>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</si>
  <si>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</si>
  <si>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</si>
  <si>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</si>
  <si>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</si>
  <si>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</si>
  <si>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</si>
  <si>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</si>
  <si>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</si>
  <si>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</si>
  <si>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</si>
  <si>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</si>
  <si>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</si>
  <si>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</si>
  <si>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</si>
  <si>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</si>
  <si>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</si>
  <si>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</si>
  <si>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</si>
  <si>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</si>
  <si>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</si>
  <si>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</si>
  <si>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</si>
  <si>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</si>
  <si>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</si>
  <si>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</si>
  <si>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</si>
  <si>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</si>
  <si>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</si>
  <si>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</si>
  <si>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</si>
  <si>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</si>
  <si>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</si>
  <si>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</si>
  <si>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</si>
  <si>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</si>
  <si>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</si>
  <si>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</si>
  <si>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</si>
  <si>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</si>
  <si>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</si>
  <si>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</si>
  <si>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</si>
  <si>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</si>
  <si>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</si>
  <si>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</si>
  <si>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</si>
  <si>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</si>
  <si>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</si>
  <si>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</si>
  <si>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</si>
  <si>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</si>
  <si>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</si>
  <si>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</si>
  <si>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</si>
  <si>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</si>
  <si>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</si>
  <si>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</si>
  <si>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</si>
  <si>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</si>
  <si>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</si>
  <si>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</si>
  <si>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</si>
  <si>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</si>
  <si>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</si>
  <si>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</si>
  <si>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</si>
  <si>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</si>
  <si>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</si>
  <si>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</si>
  <si>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</si>
  <si>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</si>
  <si>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</si>
  <si>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</si>
  <si>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</si>
  <si>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</si>
  <si>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</si>
  <si>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</si>
  <si>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</si>
  <si>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</si>
  <si>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</si>
  <si>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</si>
  <si>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</si>
  <si>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</si>
  <si>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</si>
  <si>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</si>
  <si>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</si>
  <si>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</si>
  <si>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</si>
  <si>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</si>
  <si>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</si>
  <si>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</si>
  <si>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</si>
  <si>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</si>
  <si>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</si>
  <si>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</si>
  <si>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</si>
  <si>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</si>
  <si>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</si>
  <si>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</si>
  <si>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</si>
  <si>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</si>
  <si>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</si>
  <si>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</si>
  <si>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</si>
  <si>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</si>
  <si>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</si>
  <si>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</si>
  <si>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</si>
  <si>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</si>
  <si>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</si>
  <si>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</si>
  <si>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</si>
  <si>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</si>
  <si>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</si>
  <si>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</si>
  <si>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</si>
  <si>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</si>
  <si>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</si>
  <si>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</si>
  <si>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</si>
  <si>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</si>
  <si>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</si>
  <si>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</si>
  <si>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</si>
  <si>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</si>
  <si>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</si>
  <si>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</si>
  <si>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</si>
  <si>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</si>
  <si>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</si>
  <si>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</si>
  <si>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</si>
  <si>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</si>
  <si>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</si>
  <si>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</si>
  <si>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</si>
  <si>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</si>
  <si>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</si>
  <si>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低</t>
  </si>
  <si>
    <t>2540</t>
  </si>
  <si>
    <t>5455</t>
  </si>
  <si>
    <t>6114</t>
  </si>
  <si>
    <t>6291</t>
  </si>
  <si>
    <t>6103</t>
  </si>
  <si>
    <t>3176</t>
  </si>
  <si>
    <t>8044</t>
  </si>
  <si>
    <t>6225</t>
  </si>
  <si>
    <t>3205</t>
  </si>
  <si>
    <t>3272</t>
  </si>
  <si>
    <t>3095</t>
  </si>
  <si>
    <t>3043</t>
  </si>
  <si>
    <t>8067</t>
  </si>
  <si>
    <t>1475</t>
  </si>
  <si>
    <t>5310</t>
  </si>
  <si>
    <t>5348</t>
  </si>
  <si>
    <t>3064</t>
  </si>
  <si>
    <t>8070</t>
  </si>
  <si>
    <t>3228</t>
  </si>
  <si>
    <t>4304</t>
  </si>
  <si>
    <t>3443</t>
  </si>
  <si>
    <t>2321</t>
  </si>
  <si>
    <t>5345</t>
  </si>
  <si>
    <t>1519</t>
  </si>
  <si>
    <t>5314</t>
  </si>
  <si>
    <t>1101</t>
  </si>
  <si>
    <t>公司名稱</t>
  </si>
  <si>
    <t>愛山林</t>
  </si>
  <si>
    <t>昇益</t>
  </si>
  <si>
    <t>久威</t>
  </si>
  <si>
    <t>沛亨</t>
  </si>
  <si>
    <t>合邦</t>
  </si>
  <si>
    <t>基亞</t>
  </si>
  <si>
    <t>網家</t>
  </si>
  <si>
    <t>天瀚</t>
  </si>
  <si>
    <t>佰研</t>
  </si>
  <si>
    <t>東碩</t>
  </si>
  <si>
    <t>及成</t>
  </si>
  <si>
    <t>科風</t>
  </si>
  <si>
    <t>志旭</t>
  </si>
  <si>
    <t>業旺</t>
  </si>
  <si>
    <t>天剛</t>
  </si>
  <si>
    <t>正能量智能</t>
  </si>
  <si>
    <t>泰偉</t>
  </si>
  <si>
    <t>長華*</t>
  </si>
  <si>
    <t>金麗科</t>
  </si>
  <si>
    <t>勝昱</t>
  </si>
  <si>
    <t>創意</t>
  </si>
  <si>
    <t>東訊</t>
  </si>
  <si>
    <t>馥鴻</t>
  </si>
  <si>
    <t>華城</t>
  </si>
  <si>
    <t>世紀*</t>
  </si>
  <si>
    <t>台泥</t>
  </si>
  <si>
    <t>高</t>
  </si>
  <si>
    <t>3168</t>
  </si>
  <si>
    <t>2330</t>
  </si>
  <si>
    <t>2323</t>
  </si>
  <si>
    <t>2408</t>
  </si>
  <si>
    <t>4502</t>
  </si>
  <si>
    <t>3252</t>
  </si>
  <si>
    <t>1906</t>
  </si>
  <si>
    <t>9958</t>
  </si>
  <si>
    <t>8085</t>
  </si>
  <si>
    <t>2201</t>
  </si>
  <si>
    <t>3311</t>
  </si>
  <si>
    <t>5340</t>
  </si>
  <si>
    <t>5608</t>
  </si>
  <si>
    <t>1314</t>
  </si>
  <si>
    <t>9103</t>
  </si>
  <si>
    <t>1312</t>
  </si>
  <si>
    <t>2362</t>
  </si>
  <si>
    <t>2603</t>
  </si>
  <si>
    <t>2104</t>
  </si>
  <si>
    <t>9962</t>
  </si>
  <si>
    <t>眾福科</t>
  </si>
  <si>
    <t>台積電</t>
  </si>
  <si>
    <t>中環</t>
  </si>
  <si>
    <t>南亞科</t>
  </si>
  <si>
    <t>健信</t>
  </si>
  <si>
    <t>海灣</t>
  </si>
  <si>
    <t>寶隆</t>
  </si>
  <si>
    <t>世紀鋼</t>
  </si>
  <si>
    <t>福華</t>
  </si>
  <si>
    <t>裕隆</t>
  </si>
  <si>
    <t>閎暉</t>
  </si>
  <si>
    <t>建榮</t>
  </si>
  <si>
    <t>四維航</t>
  </si>
  <si>
    <t>中石化</t>
  </si>
  <si>
    <t>美德醫療-DR</t>
  </si>
  <si>
    <t>國喬</t>
  </si>
  <si>
    <t>藍天</t>
  </si>
  <si>
    <t>長榮</t>
  </si>
  <si>
    <t>國際中橡</t>
  </si>
  <si>
    <t>有益</t>
  </si>
  <si>
    <t>sum</t>
  </si>
  <si>
    <t>勝率</t>
  </si>
  <si>
    <t>RF</t>
  </si>
  <si>
    <t>差距平方</t>
  </si>
  <si>
    <t>真實平方</t>
  </si>
  <si>
    <t>R-Square</t>
  </si>
  <si>
    <t>NN5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</si>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</sst>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3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3" fillId="0" borderId="2" xfId="0" applyFont="1" applyBorder="1"/>
    <xf numFmtId="0" fontId="3" fillId="2" borderId="1" xfId="0" applyFont="1" applyFill="1" applyBorder="1"/>
    <xf numFmtId="0" fontId="5" fillId="0" borderId="0" xfId="0" applyFont="1"/>
    <xf numFmtId="0" fontId="6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8.5814582588294414E-2</c:v>
                </c:pt>
                <c:pt idx="2">
                  <c:v>0.10767104810768739</c:v>
                </c:pt>
                <c:pt idx="3">
                  <c:v>9.6064954533292238E-2</c:v>
                </c:pt>
                <c:pt idx="4">
                  <c:v>8.4949662415061383E-2</c:v>
                </c:pt>
                <c:pt idx="5">
                  <c:v>0.13249912309010525</c:v>
                </c:pt>
                <c:pt idx="6">
                  <c:v>0.17361181659656241</c:v>
                </c:pt>
                <c:pt idx="7">
                  <c:v>0.21549892583641617</c:v>
                </c:pt>
                <c:pt idx="8">
                  <c:v>0.22071286948655117</c:v>
                </c:pt>
                <c:pt idx="9">
                  <c:v>0.21305154838299509</c:v>
                </c:pt>
                <c:pt idx="10">
                  <c:v>0.19940940507838126</c:v>
                </c:pt>
                <c:pt idx="11">
                  <c:v>0.17426775372238082</c:v>
                </c:pt>
                <c:pt idx="12">
                  <c:v>0.16798237950835337</c:v>
                </c:pt>
                <c:pt idx="13">
                  <c:v>0.17321155834836657</c:v>
                </c:pt>
                <c:pt idx="14">
                  <c:v>0.1586480231034009</c:v>
                </c:pt>
                <c:pt idx="15">
                  <c:v>0.16519815878827773</c:v>
                </c:pt>
                <c:pt idx="16">
                  <c:v>0.13215415745043463</c:v>
                </c:pt>
                <c:pt idx="17">
                  <c:v>0.14179186541817712</c:v>
                </c:pt>
                <c:pt idx="18">
                  <c:v>0.14197262412967745</c:v>
                </c:pt>
                <c:pt idx="19">
                  <c:v>0.15690124657226756</c:v>
                </c:pt>
                <c:pt idx="20">
                  <c:v>0.22383945580610318</c:v>
                </c:pt>
                <c:pt idx="21">
                  <c:v>0.27676038943663239</c:v>
                </c:pt>
                <c:pt idx="22">
                  <c:v>0.24652546725070842</c:v>
                </c:pt>
                <c:pt idx="23">
                  <c:v>0.29684166667528894</c:v>
                </c:pt>
                <c:pt idx="24">
                  <c:v>0.27212204826525466</c:v>
                </c:pt>
                <c:pt idx="25">
                  <c:v>0.28492707089541125</c:v>
                </c:pt>
                <c:pt idx="26">
                  <c:v>0.32029285180355049</c:v>
                </c:pt>
                <c:pt idx="27">
                  <c:v>0.33115613756589246</c:v>
                </c:pt>
                <c:pt idx="28">
                  <c:v>0.37577151932394237</c:v>
                </c:pt>
                <c:pt idx="29">
                  <c:v>0.40006097948462715</c:v>
                </c:pt>
                <c:pt idx="30">
                  <c:v>0.42892478234966852</c:v>
                </c:pt>
                <c:pt idx="31">
                  <c:v>0.4602482173356095</c:v>
                </c:pt>
                <c:pt idx="32">
                  <c:v>0.44395291371236323</c:v>
                </c:pt>
                <c:pt idx="33">
                  <c:v>0.45811674233784216</c:v>
                </c:pt>
                <c:pt idx="34">
                  <c:v>0.48580839710464713</c:v>
                </c:pt>
                <c:pt idx="35">
                  <c:v>0.44016141431518324</c:v>
                </c:pt>
                <c:pt idx="36">
                  <c:v>0.46961992312111178</c:v>
                </c:pt>
                <c:pt idx="37">
                  <c:v>0.53812722491211396</c:v>
                </c:pt>
                <c:pt idx="38">
                  <c:v>0.55683637953822041</c:v>
                </c:pt>
                <c:pt idx="39">
                  <c:v>0.54628369030191704</c:v>
                </c:pt>
                <c:pt idx="40">
                  <c:v>0.54627465796202268</c:v>
                </c:pt>
                <c:pt idx="41">
                  <c:v>0.53010480286237394</c:v>
                </c:pt>
                <c:pt idx="42">
                  <c:v>0.54662559609072159</c:v>
                </c:pt>
                <c:pt idx="43">
                  <c:v>0.58918922170118826</c:v>
                </c:pt>
                <c:pt idx="44">
                  <c:v>0.65589625729670098</c:v>
                </c:pt>
                <c:pt idx="45">
                  <c:v>0.6444131398573707</c:v>
                </c:pt>
                <c:pt idx="46">
                  <c:v>0.63590059412016731</c:v>
                </c:pt>
                <c:pt idx="47">
                  <c:v>0.67421140595228224</c:v>
                </c:pt>
                <c:pt idx="48">
                  <c:v>0.68295147442736104</c:v>
                </c:pt>
                <c:pt idx="49">
                  <c:v>0.71212410203050658</c:v>
                </c:pt>
                <c:pt idx="50">
                  <c:v>0.68214578605732779</c:v>
                </c:pt>
                <c:pt idx="51">
                  <c:v>0.73644048463217882</c:v>
                </c:pt>
                <c:pt idx="52">
                  <c:v>0.75260825405034759</c:v>
                </c:pt>
                <c:pt idx="53">
                  <c:v>0.72709476827180952</c:v>
                </c:pt>
                <c:pt idx="54">
                  <c:v>0.68363864859219814</c:v>
                </c:pt>
                <c:pt idx="55">
                  <c:v>0.70575332226673293</c:v>
                </c:pt>
                <c:pt idx="56">
                  <c:v>0.70567482270554205</c:v>
                </c:pt>
                <c:pt idx="57">
                  <c:v>0.71939121060542099</c:v>
                </c:pt>
                <c:pt idx="58">
                  <c:v>0.71707334144474111</c:v>
                </c:pt>
                <c:pt idx="59">
                  <c:v>0.75470865318115088</c:v>
                </c:pt>
                <c:pt idx="60">
                  <c:v>0.72938554621627594</c:v>
                </c:pt>
                <c:pt idx="61">
                  <c:v>0.70001308695605458</c:v>
                </c:pt>
                <c:pt idx="62">
                  <c:v>0.71295906953602228</c:v>
                </c:pt>
                <c:pt idx="63">
                  <c:v>0.75279773257489813</c:v>
                </c:pt>
                <c:pt idx="64">
                  <c:v>0.77046355527137111</c:v>
                </c:pt>
                <c:pt idx="65">
                  <c:v>0.79129279509706396</c:v>
                </c:pt>
                <c:pt idx="66">
                  <c:v>0.79007092582014193</c:v>
                </c:pt>
                <c:pt idx="67">
                  <c:v>0.80818539639394371</c:v>
                </c:pt>
                <c:pt idx="68">
                  <c:v>0.79273933878749892</c:v>
                </c:pt>
                <c:pt idx="69">
                  <c:v>0.78638116551525727</c:v>
                </c:pt>
                <c:pt idx="70">
                  <c:v>0.76913327404547549</c:v>
                </c:pt>
                <c:pt idx="71">
                  <c:v>0.79936185246162206</c:v>
                </c:pt>
                <c:pt idx="72">
                  <c:v>0.84018298842278327</c:v>
                </c:pt>
                <c:pt idx="73">
                  <c:v>0.85199376871896249</c:v>
                </c:pt>
                <c:pt idx="74">
                  <c:v>0.92354203816319658</c:v>
                </c:pt>
                <c:pt idx="75">
                  <c:v>0.96807983059105362</c:v>
                </c:pt>
                <c:pt idx="76">
                  <c:v>0.91614903453877039</c:v>
                </c:pt>
                <c:pt idx="77">
                  <c:v>0.95033462976240846</c:v>
                </c:pt>
                <c:pt idx="78">
                  <c:v>0.96144697841917992</c:v>
                </c:pt>
                <c:pt idx="79">
                  <c:v>1.0055580740953074</c:v>
                </c:pt>
                <c:pt idx="80">
                  <c:v>1.0986408514285761</c:v>
                </c:pt>
                <c:pt idx="81">
                  <c:v>1.1268719203269031</c:v>
                </c:pt>
                <c:pt idx="82">
                  <c:v>1.1537558921546698</c:v>
                </c:pt>
                <c:pt idx="83">
                  <c:v>1.0740112092780554</c:v>
                </c:pt>
                <c:pt idx="84">
                  <c:v>1.05101625735103</c:v>
                </c:pt>
                <c:pt idx="85">
                  <c:v>1.0423147847357885</c:v>
                </c:pt>
                <c:pt idx="86">
                  <c:v>1.0727956645197239</c:v>
                </c:pt>
                <c:pt idx="87">
                  <c:v>1.109869739180922</c:v>
                </c:pt>
                <c:pt idx="88">
                  <c:v>1.0525964718309231</c:v>
                </c:pt>
                <c:pt idx="89">
                  <c:v>1.0640833466333317</c:v>
                </c:pt>
                <c:pt idx="90">
                  <c:v>1.1330096249197952</c:v>
                </c:pt>
                <c:pt idx="91">
                  <c:v>1.1519241296395153</c:v>
                </c:pt>
                <c:pt idx="92">
                  <c:v>1.2171524690031525</c:v>
                </c:pt>
                <c:pt idx="93">
                  <c:v>1.1614797057629143</c:v>
                </c:pt>
                <c:pt idx="94">
                  <c:v>1.1463639894873026</c:v>
                </c:pt>
                <c:pt idx="95">
                  <c:v>1.1978759611122523</c:v>
                </c:pt>
                <c:pt idx="96">
                  <c:v>1.2175261845913661</c:v>
                </c:pt>
                <c:pt idx="97">
                  <c:v>1.2263982273598766</c:v>
                </c:pt>
                <c:pt idx="98">
                  <c:v>1.2512193531408307</c:v>
                </c:pt>
                <c:pt idx="99">
                  <c:v>1.246974031709513</c:v>
                </c:pt>
                <c:pt idx="100">
                  <c:v>1.2583133049480746</c:v>
                </c:pt>
                <c:pt idx="101">
                  <c:v>1.2340622757078161</c:v>
                </c:pt>
                <c:pt idx="102">
                  <c:v>1.2599020064434736</c:v>
                </c:pt>
                <c:pt idx="103">
                  <c:v>1.3042649583717432</c:v>
                </c:pt>
                <c:pt idx="104">
                  <c:v>1.3358405581778492</c:v>
                </c:pt>
                <c:pt idx="105">
                  <c:v>1.346831305031722</c:v>
                </c:pt>
                <c:pt idx="106">
                  <c:v>1.3274194589033403</c:v>
                </c:pt>
                <c:pt idx="107">
                  <c:v>1.2678545414958253</c:v>
                </c:pt>
                <c:pt idx="108">
                  <c:v>1.2331024738569609</c:v>
                </c:pt>
                <c:pt idx="109">
                  <c:v>1.2559142868139705</c:v>
                </c:pt>
                <c:pt idx="110">
                  <c:v>1.2689926293858371</c:v>
                </c:pt>
                <c:pt idx="111">
                  <c:v>1.3007528450697625</c:v>
                </c:pt>
                <c:pt idx="112">
                  <c:v>1.2673357990238354</c:v>
                </c:pt>
                <c:pt idx="113">
                  <c:v>1.285972037609189</c:v>
                </c:pt>
                <c:pt idx="114">
                  <c:v>1.2590646778478618</c:v>
                </c:pt>
                <c:pt idx="115">
                  <c:v>1.2369029597550016</c:v>
                </c:pt>
                <c:pt idx="116">
                  <c:v>1.2508514301939968</c:v>
                </c:pt>
                <c:pt idx="117">
                  <c:v>1.3043002987535008</c:v>
                </c:pt>
                <c:pt idx="118">
                  <c:v>1.3069136475496215</c:v>
                </c:pt>
                <c:pt idx="119">
                  <c:v>1.2964114251090597</c:v>
                </c:pt>
                <c:pt idx="120">
                  <c:v>1.2542721219660835</c:v>
                </c:pt>
                <c:pt idx="121">
                  <c:v>1.27821391063631</c:v>
                </c:pt>
                <c:pt idx="122">
                  <c:v>1.242174859395403</c:v>
                </c:pt>
                <c:pt idx="123">
                  <c:v>1.2899094479267319</c:v>
                </c:pt>
                <c:pt idx="124">
                  <c:v>1.2761561041696636</c:v>
                </c:pt>
                <c:pt idx="125">
                  <c:v>1.2040662867558332</c:v>
                </c:pt>
                <c:pt idx="126">
                  <c:v>1.1978971441987392</c:v>
                </c:pt>
                <c:pt idx="127">
                  <c:v>1.2207618429234925</c:v>
                </c:pt>
                <c:pt idx="128">
                  <c:v>1.2929213715837751</c:v>
                </c:pt>
                <c:pt idx="129">
                  <c:v>1.3047361875750012</c:v>
                </c:pt>
                <c:pt idx="130">
                  <c:v>1.3365282589655818</c:v>
                </c:pt>
                <c:pt idx="131">
                  <c:v>1.2862098169062337</c:v>
                </c:pt>
                <c:pt idx="132">
                  <c:v>1.283876128208733</c:v>
                </c:pt>
                <c:pt idx="133">
                  <c:v>1.3285637341254624</c:v>
                </c:pt>
                <c:pt idx="134">
                  <c:v>1.3410073603516162</c:v>
                </c:pt>
                <c:pt idx="135">
                  <c:v>1.3251334221100157</c:v>
                </c:pt>
                <c:pt idx="136">
                  <c:v>1.2692480727369249</c:v>
                </c:pt>
                <c:pt idx="137">
                  <c:v>1.1863273217939443</c:v>
                </c:pt>
                <c:pt idx="138">
                  <c:v>1.1738661065472416</c:v>
                </c:pt>
                <c:pt idx="139">
                  <c:v>1.1659514882958504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0-406A-B256-67FA1B7150F6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7.7274246139023672E-2</c:v>
                </c:pt>
                <c:pt idx="2">
                  <c:v>9.2534620313087818E-2</c:v>
                </c:pt>
                <c:pt idx="3">
                  <c:v>6.2054329822281179E-2</c:v>
                </c:pt>
                <c:pt idx="4">
                  <c:v>2.6249835823607612E-2</c:v>
                </c:pt>
                <c:pt idx="5">
                  <c:v>7.1305035261551991E-2</c:v>
                </c:pt>
                <c:pt idx="6">
                  <c:v>0.12362421703268887</c:v>
                </c:pt>
                <c:pt idx="7">
                  <c:v>0.17780642769911967</c:v>
                </c:pt>
                <c:pt idx="8">
                  <c:v>0.1655446392650195</c:v>
                </c:pt>
                <c:pt idx="9">
                  <c:v>0.13623473197538832</c:v>
                </c:pt>
                <c:pt idx="10">
                  <c:v>0.13024005139495715</c:v>
                </c:pt>
                <c:pt idx="11">
                  <c:v>9.8433862168250896E-2</c:v>
                </c:pt>
                <c:pt idx="12">
                  <c:v>9.0532075004019885E-2</c:v>
                </c:pt>
                <c:pt idx="13">
                  <c:v>9.6870310088505024E-2</c:v>
                </c:pt>
                <c:pt idx="14">
                  <c:v>9.7302590048942594E-2</c:v>
                </c:pt>
                <c:pt idx="15">
                  <c:v>0.10349597856860931</c:v>
                </c:pt>
                <c:pt idx="16">
                  <c:v>6.4525338080833952E-2</c:v>
                </c:pt>
                <c:pt idx="17">
                  <c:v>5.8040505435441175E-2</c:v>
                </c:pt>
                <c:pt idx="18">
                  <c:v>2.7826559926482017E-2</c:v>
                </c:pt>
                <c:pt idx="19">
                  <c:v>2.9694068732866938E-2</c:v>
                </c:pt>
                <c:pt idx="20">
                  <c:v>0.11669840504561921</c:v>
                </c:pt>
                <c:pt idx="21">
                  <c:v>0.19223551607719527</c:v>
                </c:pt>
                <c:pt idx="22">
                  <c:v>0.16039641882911465</c:v>
                </c:pt>
                <c:pt idx="23">
                  <c:v>0.21124616884767225</c:v>
                </c:pt>
                <c:pt idx="24">
                  <c:v>0.20070046635037728</c:v>
                </c:pt>
                <c:pt idx="25">
                  <c:v>0.25203158504876938</c:v>
                </c:pt>
                <c:pt idx="26">
                  <c:v>0.28125512847365441</c:v>
                </c:pt>
                <c:pt idx="27">
                  <c:v>0.28114700718815616</c:v>
                </c:pt>
                <c:pt idx="28">
                  <c:v>0.35464018910567108</c:v>
                </c:pt>
                <c:pt idx="29">
                  <c:v>0.38949931262555593</c:v>
                </c:pt>
                <c:pt idx="30">
                  <c:v>0.42817829833942928</c:v>
                </c:pt>
                <c:pt idx="31">
                  <c:v>0.47302964217837912</c:v>
                </c:pt>
                <c:pt idx="32">
                  <c:v>0.44563245306342086</c:v>
                </c:pt>
                <c:pt idx="33">
                  <c:v>0.44490313150447747</c:v>
                </c:pt>
                <c:pt idx="34">
                  <c:v>0.49664380754768439</c:v>
                </c:pt>
                <c:pt idx="35">
                  <c:v>0.43901317893640135</c:v>
                </c:pt>
                <c:pt idx="36">
                  <c:v>0.47362270422975589</c:v>
                </c:pt>
                <c:pt idx="37">
                  <c:v>0.57204161031893219</c:v>
                </c:pt>
                <c:pt idx="38">
                  <c:v>0.59375074341011624</c:v>
                </c:pt>
                <c:pt idx="39">
                  <c:v>0.60376275124198064</c:v>
                </c:pt>
                <c:pt idx="40">
                  <c:v>0.6234726694006385</c:v>
                </c:pt>
                <c:pt idx="41">
                  <c:v>0.58927343590567949</c:v>
                </c:pt>
                <c:pt idx="42">
                  <c:v>0.59730445799707876</c:v>
                </c:pt>
                <c:pt idx="43">
                  <c:v>0.63285726824574251</c:v>
                </c:pt>
                <c:pt idx="44">
                  <c:v>0.68920967720806248</c:v>
                </c:pt>
                <c:pt idx="45">
                  <c:v>0.71402311050675282</c:v>
                </c:pt>
                <c:pt idx="46">
                  <c:v>0.72861490338181878</c:v>
                </c:pt>
                <c:pt idx="47">
                  <c:v>0.77349456069923272</c:v>
                </c:pt>
                <c:pt idx="48">
                  <c:v>0.77812294874994314</c:v>
                </c:pt>
                <c:pt idx="49">
                  <c:v>0.81275130422486763</c:v>
                </c:pt>
                <c:pt idx="50">
                  <c:v>0.7993799327706379</c:v>
                </c:pt>
                <c:pt idx="51">
                  <c:v>0.84338377528943009</c:v>
                </c:pt>
                <c:pt idx="52">
                  <c:v>0.83444018213536697</c:v>
                </c:pt>
                <c:pt idx="53">
                  <c:v>0.81579287147391855</c:v>
                </c:pt>
                <c:pt idx="54">
                  <c:v>0.7886329953918163</c:v>
                </c:pt>
                <c:pt idx="55">
                  <c:v>0.81380612152843113</c:v>
                </c:pt>
                <c:pt idx="56">
                  <c:v>0.81909637225590548</c:v>
                </c:pt>
                <c:pt idx="57">
                  <c:v>0.84772588329637621</c:v>
                </c:pt>
                <c:pt idx="58">
                  <c:v>0.81381926408852623</c:v>
                </c:pt>
                <c:pt idx="59">
                  <c:v>0.86408213390171085</c:v>
                </c:pt>
                <c:pt idx="60">
                  <c:v>0.84815836186414162</c:v>
                </c:pt>
                <c:pt idx="61">
                  <c:v>0.81367241636001619</c:v>
                </c:pt>
                <c:pt idx="62">
                  <c:v>0.85464424718770227</c:v>
                </c:pt>
                <c:pt idx="63">
                  <c:v>0.90357438041913696</c:v>
                </c:pt>
                <c:pt idx="64">
                  <c:v>0.88878919660255884</c:v>
                </c:pt>
                <c:pt idx="65">
                  <c:v>0.90841663052048582</c:v>
                </c:pt>
                <c:pt idx="66">
                  <c:v>0.89824570908824486</c:v>
                </c:pt>
                <c:pt idx="67">
                  <c:v>0.90268978186311422</c:v>
                </c:pt>
                <c:pt idx="68">
                  <c:v>0.88175192852633211</c:v>
                </c:pt>
                <c:pt idx="69">
                  <c:v>0.86864259812864264</c:v>
                </c:pt>
                <c:pt idx="70">
                  <c:v>0.85004649916199049</c:v>
                </c:pt>
                <c:pt idx="71">
                  <c:v>0.88252618803055771</c:v>
                </c:pt>
                <c:pt idx="72">
                  <c:v>0.9426331122619287</c:v>
                </c:pt>
                <c:pt idx="73">
                  <c:v>0.96020854313216408</c:v>
                </c:pt>
                <c:pt idx="74">
                  <c:v>1.0367764730773927</c:v>
                </c:pt>
                <c:pt idx="75">
                  <c:v>1.1251049383279497</c:v>
                </c:pt>
                <c:pt idx="76">
                  <c:v>1.0783666206222153</c:v>
                </c:pt>
                <c:pt idx="77">
                  <c:v>1.1214675430931038</c:v>
                </c:pt>
                <c:pt idx="78">
                  <c:v>1.1358639429101001</c:v>
                </c:pt>
                <c:pt idx="79">
                  <c:v>1.2067954991790522</c:v>
                </c:pt>
                <c:pt idx="80">
                  <c:v>1.3118037592506346</c:v>
                </c:pt>
                <c:pt idx="81">
                  <c:v>1.3502713665963746</c:v>
                </c:pt>
                <c:pt idx="82">
                  <c:v>1.3883132834173628</c:v>
                </c:pt>
                <c:pt idx="83">
                  <c:v>1.3123768422228432</c:v>
                </c:pt>
                <c:pt idx="84">
                  <c:v>1.324883761056036</c:v>
                </c:pt>
                <c:pt idx="85">
                  <c:v>1.3177706404352665</c:v>
                </c:pt>
                <c:pt idx="86">
                  <c:v>1.3270240386987244</c:v>
                </c:pt>
                <c:pt idx="87">
                  <c:v>1.3423187539410741</c:v>
                </c:pt>
                <c:pt idx="88">
                  <c:v>1.2904509810413733</c:v>
                </c:pt>
                <c:pt idx="89">
                  <c:v>1.3159739586972727</c:v>
                </c:pt>
                <c:pt idx="90">
                  <c:v>1.3701230095639236</c:v>
                </c:pt>
                <c:pt idx="91">
                  <c:v>1.3618875615232129</c:v>
                </c:pt>
                <c:pt idx="92">
                  <c:v>1.4225679081525422</c:v>
                </c:pt>
                <c:pt idx="93">
                  <c:v>1.3281442039095717</c:v>
                </c:pt>
                <c:pt idx="94">
                  <c:v>1.3146803998805539</c:v>
                </c:pt>
                <c:pt idx="95">
                  <c:v>1.3361032648642341</c:v>
                </c:pt>
                <c:pt idx="96">
                  <c:v>1.3508023316147901</c:v>
                </c:pt>
                <c:pt idx="97">
                  <c:v>1.3645960591313422</c:v>
                </c:pt>
                <c:pt idx="98">
                  <c:v>1.3971063688478742</c:v>
                </c:pt>
                <c:pt idx="99">
                  <c:v>1.3866772033888051</c:v>
                </c:pt>
                <c:pt idx="100">
                  <c:v>1.3980677325336757</c:v>
                </c:pt>
                <c:pt idx="101">
                  <c:v>1.3672124779055481</c:v>
                </c:pt>
                <c:pt idx="102">
                  <c:v>1.3972477897837439</c:v>
                </c:pt>
                <c:pt idx="103">
                  <c:v>1.4536434300330843</c:v>
                </c:pt>
                <c:pt idx="104">
                  <c:v>1.4880081415823518</c:v>
                </c:pt>
                <c:pt idx="105">
                  <c:v>1.4744053414554092</c:v>
                </c:pt>
                <c:pt idx="106">
                  <c:v>1.4678253263714172</c:v>
                </c:pt>
                <c:pt idx="107">
                  <c:v>1.361157997254977</c:v>
                </c:pt>
                <c:pt idx="108">
                  <c:v>1.3225858081828785</c:v>
                </c:pt>
                <c:pt idx="109">
                  <c:v>1.3539249141200222</c:v>
                </c:pt>
                <c:pt idx="110">
                  <c:v>1.3571943185665964</c:v>
                </c:pt>
                <c:pt idx="111">
                  <c:v>1.398573633449496</c:v>
                </c:pt>
                <c:pt idx="112">
                  <c:v>1.3635691707822628</c:v>
                </c:pt>
                <c:pt idx="113">
                  <c:v>1.4003292482290006</c:v>
                </c:pt>
                <c:pt idx="114">
                  <c:v>1.3509675449234184</c:v>
                </c:pt>
                <c:pt idx="115">
                  <c:v>1.3339898492370337</c:v>
                </c:pt>
                <c:pt idx="116">
                  <c:v>1.3569135038332827</c:v>
                </c:pt>
                <c:pt idx="117">
                  <c:v>1.399194343357536</c:v>
                </c:pt>
                <c:pt idx="118">
                  <c:v>1.4118211914147765</c:v>
                </c:pt>
                <c:pt idx="119">
                  <c:v>1.4124015543933028</c:v>
                </c:pt>
                <c:pt idx="120">
                  <c:v>1.3797133650495745</c:v>
                </c:pt>
                <c:pt idx="121">
                  <c:v>1.4313015928405111</c:v>
                </c:pt>
                <c:pt idx="122">
                  <c:v>1.4026672219383949</c:v>
                </c:pt>
                <c:pt idx="123">
                  <c:v>1.478428497615935</c:v>
                </c:pt>
                <c:pt idx="124">
                  <c:v>1.4480355292590097</c:v>
                </c:pt>
                <c:pt idx="125">
                  <c:v>1.3789869827353924</c:v>
                </c:pt>
                <c:pt idx="126">
                  <c:v>1.3941205905186667</c:v>
                </c:pt>
                <c:pt idx="127">
                  <c:v>1.400183895849217</c:v>
                </c:pt>
                <c:pt idx="128">
                  <c:v>1.4594352979459595</c:v>
                </c:pt>
                <c:pt idx="129">
                  <c:v>1.4540580973176154</c:v>
                </c:pt>
                <c:pt idx="130">
                  <c:v>1.4664071378574721</c:v>
                </c:pt>
                <c:pt idx="131">
                  <c:v>1.3953114550539829</c:v>
                </c:pt>
                <c:pt idx="132">
                  <c:v>1.3891263589984273</c:v>
                </c:pt>
                <c:pt idx="133">
                  <c:v>1.4335361946452194</c:v>
                </c:pt>
                <c:pt idx="134">
                  <c:v>1.4466837167731412</c:v>
                </c:pt>
                <c:pt idx="135">
                  <c:v>1.4424034216185349</c:v>
                </c:pt>
                <c:pt idx="136">
                  <c:v>1.3855052719142666</c:v>
                </c:pt>
                <c:pt idx="137">
                  <c:v>1.2911799002327162</c:v>
                </c:pt>
                <c:pt idx="138">
                  <c:v>1.2715424158219875</c:v>
                </c:pt>
                <c:pt idx="139">
                  <c:v>1.2657197222844248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00-406A-B256-67FA1B7150F6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8.2715330924087394E-2</c:v>
                </c:pt>
                <c:pt idx="2">
                  <c:v>7.4838406566096485E-2</c:v>
                </c:pt>
                <c:pt idx="3">
                  <c:v>3.9233501951639466E-3</c:v>
                </c:pt>
                <c:pt idx="4">
                  <c:v>-4.8318100649385021E-2</c:v>
                </c:pt>
                <c:pt idx="5">
                  <c:v>-2.6252965940186581E-2</c:v>
                </c:pt>
                <c:pt idx="6">
                  <c:v>5.2265505131023182E-2</c:v>
                </c:pt>
                <c:pt idx="7">
                  <c:v>0.1108535567333013</c:v>
                </c:pt>
                <c:pt idx="8">
                  <c:v>1.1434414116861039E-2</c:v>
                </c:pt>
                <c:pt idx="9">
                  <c:v>-1.5127084461882712E-2</c:v>
                </c:pt>
                <c:pt idx="10">
                  <c:v>1.7639538930985639E-2</c:v>
                </c:pt>
                <c:pt idx="11">
                  <c:v>-5.65430328024124E-2</c:v>
                </c:pt>
                <c:pt idx="12">
                  <c:v>-2.9761012448447342E-2</c:v>
                </c:pt>
                <c:pt idx="13">
                  <c:v>2.3513760770004475E-2</c:v>
                </c:pt>
                <c:pt idx="14">
                  <c:v>-1.443698366959234E-3</c:v>
                </c:pt>
                <c:pt idx="15">
                  <c:v>4.6845721054180556E-2</c:v>
                </c:pt>
                <c:pt idx="16">
                  <c:v>1.2612212174503062E-2</c:v>
                </c:pt>
                <c:pt idx="17">
                  <c:v>8.744605190003564E-3</c:v>
                </c:pt>
                <c:pt idx="18">
                  <c:v>-8.0842692929464943E-2</c:v>
                </c:pt>
                <c:pt idx="19">
                  <c:v>-8.0947152071264267E-2</c:v>
                </c:pt>
                <c:pt idx="20">
                  <c:v>8.5565220222720562E-3</c:v>
                </c:pt>
                <c:pt idx="21">
                  <c:v>0.11793928530599676</c:v>
                </c:pt>
                <c:pt idx="22">
                  <c:v>9.5657017080534826E-2</c:v>
                </c:pt>
                <c:pt idx="23">
                  <c:v>0.15284142000756151</c:v>
                </c:pt>
                <c:pt idx="24">
                  <c:v>0.12008631561920993</c:v>
                </c:pt>
                <c:pt idx="25">
                  <c:v>0.16991895694336198</c:v>
                </c:pt>
                <c:pt idx="26">
                  <c:v>0.17738910553859341</c:v>
                </c:pt>
                <c:pt idx="27">
                  <c:v>0.18383913595553694</c:v>
                </c:pt>
                <c:pt idx="28">
                  <c:v>0.29629021358725643</c:v>
                </c:pt>
                <c:pt idx="29">
                  <c:v>0.30403710885719082</c:v>
                </c:pt>
                <c:pt idx="30">
                  <c:v>0.3541798257542863</c:v>
                </c:pt>
                <c:pt idx="31">
                  <c:v>0.37933388118378675</c:v>
                </c:pt>
                <c:pt idx="32">
                  <c:v>0.29841614434865071</c:v>
                </c:pt>
                <c:pt idx="33">
                  <c:v>0.21961069630940419</c:v>
                </c:pt>
                <c:pt idx="34">
                  <c:v>0.22978599932368859</c:v>
                </c:pt>
                <c:pt idx="35">
                  <c:v>0.16852140896110165</c:v>
                </c:pt>
                <c:pt idx="36">
                  <c:v>0.20918716689160399</c:v>
                </c:pt>
                <c:pt idx="37">
                  <c:v>0.31917407811219017</c:v>
                </c:pt>
                <c:pt idx="38">
                  <c:v>0.34813061923808625</c:v>
                </c:pt>
                <c:pt idx="39">
                  <c:v>0.36614293553429827</c:v>
                </c:pt>
                <c:pt idx="40">
                  <c:v>0.36092374675427363</c:v>
                </c:pt>
                <c:pt idx="41">
                  <c:v>0.33132770159154107</c:v>
                </c:pt>
                <c:pt idx="42">
                  <c:v>0.38610252363757103</c:v>
                </c:pt>
                <c:pt idx="43">
                  <c:v>0.38799741190166454</c:v>
                </c:pt>
                <c:pt idx="44">
                  <c:v>0.49316881842065025</c:v>
                </c:pt>
                <c:pt idx="45">
                  <c:v>0.55858329185305233</c:v>
                </c:pt>
                <c:pt idx="46">
                  <c:v>0.59255994252783806</c:v>
                </c:pt>
                <c:pt idx="47">
                  <c:v>0.60440028345493091</c:v>
                </c:pt>
                <c:pt idx="48">
                  <c:v>0.65709917034273169</c:v>
                </c:pt>
                <c:pt idx="49">
                  <c:v>0.68976548926772008</c:v>
                </c:pt>
                <c:pt idx="50">
                  <c:v>0.68403458756522006</c:v>
                </c:pt>
                <c:pt idx="51">
                  <c:v>0.74149880989840466</c:v>
                </c:pt>
                <c:pt idx="52">
                  <c:v>0.74291360613826762</c:v>
                </c:pt>
                <c:pt idx="53">
                  <c:v>0.77315265971351266</c:v>
                </c:pt>
                <c:pt idx="54">
                  <c:v>0.74668747822791803</c:v>
                </c:pt>
                <c:pt idx="55">
                  <c:v>0.73783645852240798</c:v>
                </c:pt>
                <c:pt idx="56">
                  <c:v>0.72315235419666701</c:v>
                </c:pt>
                <c:pt idx="57">
                  <c:v>0.74515583248135453</c:v>
                </c:pt>
                <c:pt idx="58">
                  <c:v>0.71308988387647354</c:v>
                </c:pt>
                <c:pt idx="59">
                  <c:v>0.80479474729266987</c:v>
                </c:pt>
                <c:pt idx="60">
                  <c:v>0.79657426385635577</c:v>
                </c:pt>
                <c:pt idx="61">
                  <c:v>0.77194920073114226</c:v>
                </c:pt>
                <c:pt idx="62">
                  <c:v>0.81113138488901715</c:v>
                </c:pt>
                <c:pt idx="63">
                  <c:v>0.91406519453765944</c:v>
                </c:pt>
                <c:pt idx="64">
                  <c:v>0.90069462156484759</c:v>
                </c:pt>
                <c:pt idx="65">
                  <c:v>0.94939759506579979</c:v>
                </c:pt>
                <c:pt idx="66">
                  <c:v>0.92707881506436618</c:v>
                </c:pt>
                <c:pt idx="67">
                  <c:v>0.95495124211276061</c:v>
                </c:pt>
                <c:pt idx="68">
                  <c:v>0.93472784155282507</c:v>
                </c:pt>
                <c:pt idx="69">
                  <c:v>0.90762093117007725</c:v>
                </c:pt>
                <c:pt idx="70">
                  <c:v>0.88021934566500892</c:v>
                </c:pt>
                <c:pt idx="71">
                  <c:v>0.90900003628666226</c:v>
                </c:pt>
                <c:pt idx="72">
                  <c:v>0.98941370044990185</c:v>
                </c:pt>
                <c:pt idx="73">
                  <c:v>1.020850492009113</c:v>
                </c:pt>
                <c:pt idx="74">
                  <c:v>1.1225387163492726</c:v>
                </c:pt>
                <c:pt idx="75">
                  <c:v>1.2157453215857923</c:v>
                </c:pt>
                <c:pt idx="76">
                  <c:v>1.2088233599495388</c:v>
                </c:pt>
                <c:pt idx="77">
                  <c:v>1.234186460913798</c:v>
                </c:pt>
                <c:pt idx="78">
                  <c:v>1.2440059746065666</c:v>
                </c:pt>
                <c:pt idx="79">
                  <c:v>1.3208586066662229</c:v>
                </c:pt>
                <c:pt idx="80">
                  <c:v>1.412017315906763</c:v>
                </c:pt>
                <c:pt idx="81">
                  <c:v>1.4388895357459477</c:v>
                </c:pt>
                <c:pt idx="82">
                  <c:v>1.4699616821281407</c:v>
                </c:pt>
                <c:pt idx="83">
                  <c:v>1.4140034261586472</c:v>
                </c:pt>
                <c:pt idx="84">
                  <c:v>1.3686668694569817</c:v>
                </c:pt>
                <c:pt idx="85">
                  <c:v>1.3976947275584715</c:v>
                </c:pt>
                <c:pt idx="86">
                  <c:v>1.4487196751893869</c:v>
                </c:pt>
                <c:pt idx="87">
                  <c:v>1.4895097429599442</c:v>
                </c:pt>
                <c:pt idx="88">
                  <c:v>1.4514240020443401</c:v>
                </c:pt>
                <c:pt idx="89">
                  <c:v>1.5510977495192686</c:v>
                </c:pt>
                <c:pt idx="90">
                  <c:v>1.6670916544279504</c:v>
                </c:pt>
                <c:pt idx="91">
                  <c:v>1.6564313145131522</c:v>
                </c:pt>
                <c:pt idx="92">
                  <c:v>1.7265132303251201</c:v>
                </c:pt>
                <c:pt idx="93">
                  <c:v>1.7103021739169899</c:v>
                </c:pt>
                <c:pt idx="94">
                  <c:v>1.6729653410356442</c:v>
                </c:pt>
                <c:pt idx="95">
                  <c:v>1.7188120573287953</c:v>
                </c:pt>
                <c:pt idx="96">
                  <c:v>1.7655765417635183</c:v>
                </c:pt>
                <c:pt idx="97">
                  <c:v>1.769246748470845</c:v>
                </c:pt>
                <c:pt idx="98">
                  <c:v>1.8124908862312883</c:v>
                </c:pt>
                <c:pt idx="99">
                  <c:v>1.8480110310436524</c:v>
                </c:pt>
                <c:pt idx="100">
                  <c:v>1.8336428600156232</c:v>
                </c:pt>
                <c:pt idx="101">
                  <c:v>1.7927616433020457</c:v>
                </c:pt>
                <c:pt idx="102">
                  <c:v>1.7992997592781952</c:v>
                </c:pt>
                <c:pt idx="103">
                  <c:v>1.8518973830573651</c:v>
                </c:pt>
                <c:pt idx="104">
                  <c:v>1.8907501642615718</c:v>
                </c:pt>
                <c:pt idx="105">
                  <c:v>1.8127423863987415</c:v>
                </c:pt>
                <c:pt idx="106">
                  <c:v>1.8464605895085946</c:v>
                </c:pt>
                <c:pt idx="107">
                  <c:v>1.6823130940050341</c:v>
                </c:pt>
                <c:pt idx="108">
                  <c:v>1.6389161087534514</c:v>
                </c:pt>
                <c:pt idx="109">
                  <c:v>1.6614651095992921</c:v>
                </c:pt>
                <c:pt idx="110">
                  <c:v>1.6407370443200577</c:v>
                </c:pt>
                <c:pt idx="111">
                  <c:v>1.6779419158873434</c:v>
                </c:pt>
                <c:pt idx="112">
                  <c:v>1.67443854191117</c:v>
                </c:pt>
                <c:pt idx="113">
                  <c:v>1.7129728245721254</c:v>
                </c:pt>
                <c:pt idx="114">
                  <c:v>1.6746842519918632</c:v>
                </c:pt>
                <c:pt idx="115">
                  <c:v>1.6042145994581574</c:v>
                </c:pt>
                <c:pt idx="116">
                  <c:v>1.6343014800131723</c:v>
                </c:pt>
                <c:pt idx="117">
                  <c:v>1.6798748282256966</c:v>
                </c:pt>
                <c:pt idx="118">
                  <c:v>1.6940155680389648</c:v>
                </c:pt>
                <c:pt idx="119">
                  <c:v>1.679152193366422</c:v>
                </c:pt>
                <c:pt idx="120">
                  <c:v>1.6227732175108065</c:v>
                </c:pt>
                <c:pt idx="121">
                  <c:v>1.6394337408756623</c:v>
                </c:pt>
                <c:pt idx="122">
                  <c:v>1.6133776059306095</c:v>
                </c:pt>
                <c:pt idx="123">
                  <c:v>1.7004219746038403</c:v>
                </c:pt>
                <c:pt idx="124">
                  <c:v>1.7014512858124253</c:v>
                </c:pt>
                <c:pt idx="125">
                  <c:v>1.5849229034524352</c:v>
                </c:pt>
                <c:pt idx="126">
                  <c:v>1.6100706661801734</c:v>
                </c:pt>
                <c:pt idx="127">
                  <c:v>1.5808410434266964</c:v>
                </c:pt>
                <c:pt idx="128">
                  <c:v>1.5879190367976499</c:v>
                </c:pt>
                <c:pt idx="129">
                  <c:v>1.5521592046134378</c:v>
                </c:pt>
                <c:pt idx="130">
                  <c:v>1.545454024592571</c:v>
                </c:pt>
                <c:pt idx="131">
                  <c:v>1.465894707805979</c:v>
                </c:pt>
                <c:pt idx="132">
                  <c:v>1.4555292199920979</c:v>
                </c:pt>
                <c:pt idx="133">
                  <c:v>1.4943923920147508</c:v>
                </c:pt>
                <c:pt idx="134">
                  <c:v>1.4998402752469548</c:v>
                </c:pt>
                <c:pt idx="135">
                  <c:v>1.4904819998451995</c:v>
                </c:pt>
                <c:pt idx="136">
                  <c:v>1.4398447661337193</c:v>
                </c:pt>
                <c:pt idx="137">
                  <c:v>1.3477310782310965</c:v>
                </c:pt>
                <c:pt idx="138">
                  <c:v>1.3367418412920029</c:v>
                </c:pt>
                <c:pt idx="139">
                  <c:v>1.3055501915963177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0-406A-B256-67FA1B7150F6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7.2259251415250011E-2</c:v>
                </c:pt>
                <c:pt idx="2">
                  <c:v>8.5005363587523142E-2</c:v>
                </c:pt>
                <c:pt idx="3">
                  <c:v>-1.2403265624902349E-4</c:v>
                </c:pt>
                <c:pt idx="4">
                  <c:v>-9.7581702219923461E-2</c:v>
                </c:pt>
                <c:pt idx="5">
                  <c:v>-1.5120303360174586E-2</c:v>
                </c:pt>
                <c:pt idx="6">
                  <c:v>3.4513366301635831E-2</c:v>
                </c:pt>
                <c:pt idx="7">
                  <c:v>0.12101414869887622</c:v>
                </c:pt>
                <c:pt idx="8">
                  <c:v>0.10362338889797247</c:v>
                </c:pt>
                <c:pt idx="9">
                  <c:v>4.4029128320102202E-2</c:v>
                </c:pt>
                <c:pt idx="10">
                  <c:v>6.7149338426673519E-2</c:v>
                </c:pt>
                <c:pt idx="11">
                  <c:v>-3.2829264695606625E-2</c:v>
                </c:pt>
                <c:pt idx="12">
                  <c:v>1.0992322904315732E-4</c:v>
                </c:pt>
                <c:pt idx="13">
                  <c:v>9.3006417079799703E-2</c:v>
                </c:pt>
                <c:pt idx="14">
                  <c:v>6.8539498300107665E-2</c:v>
                </c:pt>
                <c:pt idx="15">
                  <c:v>0.11756159194919513</c:v>
                </c:pt>
                <c:pt idx="16">
                  <c:v>4.171703387517936E-2</c:v>
                </c:pt>
                <c:pt idx="17">
                  <c:v>-1.6657976672682623E-2</c:v>
                </c:pt>
                <c:pt idx="18">
                  <c:v>-0.15471100307205832</c:v>
                </c:pt>
                <c:pt idx="19">
                  <c:v>-0.16155346675868767</c:v>
                </c:pt>
                <c:pt idx="20">
                  <c:v>-4.3170221053244473E-2</c:v>
                </c:pt>
                <c:pt idx="21">
                  <c:v>8.5639670701674636E-2</c:v>
                </c:pt>
                <c:pt idx="22">
                  <c:v>4.8208378169962783E-2</c:v>
                </c:pt>
                <c:pt idx="23">
                  <c:v>6.5500821361015177E-2</c:v>
                </c:pt>
                <c:pt idx="24">
                  <c:v>3.2728903636584789E-3</c:v>
                </c:pt>
                <c:pt idx="25">
                  <c:v>5.3113413626078236E-2</c:v>
                </c:pt>
                <c:pt idx="26">
                  <c:v>9.4049756542206639E-2</c:v>
                </c:pt>
                <c:pt idx="27">
                  <c:v>8.4107591272024246E-2</c:v>
                </c:pt>
                <c:pt idx="28">
                  <c:v>0.10273944293963021</c:v>
                </c:pt>
                <c:pt idx="29">
                  <c:v>7.839945095209927E-2</c:v>
                </c:pt>
                <c:pt idx="30">
                  <c:v>0.11926840423179344</c:v>
                </c:pt>
                <c:pt idx="31">
                  <c:v>0.16211577767071519</c:v>
                </c:pt>
                <c:pt idx="32">
                  <c:v>3.32478967814826E-2</c:v>
                </c:pt>
                <c:pt idx="33">
                  <c:v>5.6426235354830871E-2</c:v>
                </c:pt>
                <c:pt idx="34">
                  <c:v>6.3685092176395661E-2</c:v>
                </c:pt>
                <c:pt idx="35">
                  <c:v>1.2244159933224023E-2</c:v>
                </c:pt>
                <c:pt idx="36">
                  <c:v>6.2745993058393623E-2</c:v>
                </c:pt>
                <c:pt idx="37">
                  <c:v>0.18334708068131594</c:v>
                </c:pt>
                <c:pt idx="38">
                  <c:v>0.20871046024919429</c:v>
                </c:pt>
                <c:pt idx="39">
                  <c:v>0.20664612796489398</c:v>
                </c:pt>
                <c:pt idx="40">
                  <c:v>0.17834590047043536</c:v>
                </c:pt>
                <c:pt idx="41">
                  <c:v>0.15467342728110386</c:v>
                </c:pt>
                <c:pt idx="42">
                  <c:v>0.28711132306379705</c:v>
                </c:pt>
                <c:pt idx="43">
                  <c:v>0.29966881150332103</c:v>
                </c:pt>
                <c:pt idx="44">
                  <c:v>0.46016381272008144</c:v>
                </c:pt>
                <c:pt idx="45">
                  <c:v>0.53889011301950773</c:v>
                </c:pt>
                <c:pt idx="46">
                  <c:v>0.58183310979294278</c:v>
                </c:pt>
                <c:pt idx="47">
                  <c:v>0.61385666177009124</c:v>
                </c:pt>
                <c:pt idx="48">
                  <c:v>0.67455067621333209</c:v>
                </c:pt>
                <c:pt idx="49">
                  <c:v>0.71651180014269267</c:v>
                </c:pt>
                <c:pt idx="50">
                  <c:v>0.69363039862502529</c:v>
                </c:pt>
                <c:pt idx="51">
                  <c:v>0.79959106903543298</c:v>
                </c:pt>
                <c:pt idx="52">
                  <c:v>0.83323529839739052</c:v>
                </c:pt>
                <c:pt idx="53">
                  <c:v>0.84398744119862557</c:v>
                </c:pt>
                <c:pt idx="54">
                  <c:v>0.79324962952175371</c:v>
                </c:pt>
                <c:pt idx="55">
                  <c:v>0.8060747512573504</c:v>
                </c:pt>
                <c:pt idx="56">
                  <c:v>0.73474861433929994</c:v>
                </c:pt>
                <c:pt idx="57">
                  <c:v>0.75168367386344426</c:v>
                </c:pt>
                <c:pt idx="58">
                  <c:v>0.67736119815146612</c:v>
                </c:pt>
                <c:pt idx="59">
                  <c:v>0.78535830527355266</c:v>
                </c:pt>
                <c:pt idx="60">
                  <c:v>0.75975725788180859</c:v>
                </c:pt>
                <c:pt idx="61">
                  <c:v>0.72714460882946963</c:v>
                </c:pt>
                <c:pt idx="62">
                  <c:v>0.72772321063533141</c:v>
                </c:pt>
                <c:pt idx="63">
                  <c:v>0.7936422661537883</c:v>
                </c:pt>
                <c:pt idx="64">
                  <c:v>0.77422762167748649</c:v>
                </c:pt>
                <c:pt idx="65">
                  <c:v>0.86057834026665403</c:v>
                </c:pt>
                <c:pt idx="66">
                  <c:v>0.83984692229260105</c:v>
                </c:pt>
                <c:pt idx="67">
                  <c:v>0.85655067208742142</c:v>
                </c:pt>
                <c:pt idx="68">
                  <c:v>0.85842689052159082</c:v>
                </c:pt>
                <c:pt idx="69">
                  <c:v>0.82028833918486088</c:v>
                </c:pt>
                <c:pt idx="70">
                  <c:v>0.76012809389696467</c:v>
                </c:pt>
                <c:pt idx="71">
                  <c:v>0.80165641569055279</c:v>
                </c:pt>
                <c:pt idx="72">
                  <c:v>0.96616154740910543</c:v>
                </c:pt>
                <c:pt idx="73">
                  <c:v>1.0029465885170659</c:v>
                </c:pt>
                <c:pt idx="74">
                  <c:v>1.1223107069033211</c:v>
                </c:pt>
                <c:pt idx="75">
                  <c:v>1.2383419693053812</c:v>
                </c:pt>
                <c:pt idx="76">
                  <c:v>1.2283127707688533</c:v>
                </c:pt>
                <c:pt idx="77">
                  <c:v>1.2755651818415004</c:v>
                </c:pt>
                <c:pt idx="78">
                  <c:v>1.2915929669519102</c:v>
                </c:pt>
                <c:pt idx="79">
                  <c:v>1.3146242378166597</c:v>
                </c:pt>
                <c:pt idx="80">
                  <c:v>1.4000495033143618</c:v>
                </c:pt>
                <c:pt idx="81">
                  <c:v>1.4243026358222215</c:v>
                </c:pt>
                <c:pt idx="82">
                  <c:v>1.4718410416767715</c:v>
                </c:pt>
                <c:pt idx="83">
                  <c:v>1.3878748907648382</c:v>
                </c:pt>
                <c:pt idx="84">
                  <c:v>1.4160934144519186</c:v>
                </c:pt>
                <c:pt idx="85">
                  <c:v>1.4317418409328333</c:v>
                </c:pt>
                <c:pt idx="86">
                  <c:v>1.4508051130745863</c:v>
                </c:pt>
                <c:pt idx="87">
                  <c:v>1.4522749318576973</c:v>
                </c:pt>
                <c:pt idx="88">
                  <c:v>1.4278313243083258</c:v>
                </c:pt>
                <c:pt idx="89">
                  <c:v>1.6112666153431254</c:v>
                </c:pt>
                <c:pt idx="90">
                  <c:v>1.740352229832073</c:v>
                </c:pt>
                <c:pt idx="91">
                  <c:v>1.7134202693949983</c:v>
                </c:pt>
                <c:pt idx="92">
                  <c:v>1.8068803089915306</c:v>
                </c:pt>
                <c:pt idx="93">
                  <c:v>1.7987216299108757</c:v>
                </c:pt>
                <c:pt idx="94">
                  <c:v>1.7683925808725083</c:v>
                </c:pt>
                <c:pt idx="95">
                  <c:v>1.794927150173</c:v>
                </c:pt>
                <c:pt idx="96">
                  <c:v>1.8508890862860727</c:v>
                </c:pt>
                <c:pt idx="97">
                  <c:v>1.8394327686454892</c:v>
                </c:pt>
                <c:pt idx="98">
                  <c:v>1.9254509001019584</c:v>
                </c:pt>
                <c:pt idx="99">
                  <c:v>1.9520689063522962</c:v>
                </c:pt>
                <c:pt idx="100">
                  <c:v>1.9381246389967979</c:v>
                </c:pt>
                <c:pt idx="101">
                  <c:v>1.9416561469705533</c:v>
                </c:pt>
                <c:pt idx="102">
                  <c:v>1.8969304840942807</c:v>
                </c:pt>
                <c:pt idx="103">
                  <c:v>1.9445068971950996</c:v>
                </c:pt>
                <c:pt idx="104">
                  <c:v>1.9548637416900996</c:v>
                </c:pt>
                <c:pt idx="105">
                  <c:v>1.8010549771421942</c:v>
                </c:pt>
                <c:pt idx="106">
                  <c:v>1.8623158769915451</c:v>
                </c:pt>
                <c:pt idx="107">
                  <c:v>1.6170280181949725</c:v>
                </c:pt>
                <c:pt idx="108">
                  <c:v>1.5780422151764315</c:v>
                </c:pt>
                <c:pt idx="109">
                  <c:v>1.6142290353672251</c:v>
                </c:pt>
                <c:pt idx="110">
                  <c:v>1.5793450940976512</c:v>
                </c:pt>
                <c:pt idx="111">
                  <c:v>1.6128822232690176</c:v>
                </c:pt>
                <c:pt idx="112">
                  <c:v>1.571838239195301</c:v>
                </c:pt>
                <c:pt idx="113">
                  <c:v>1.5717778092686356</c:v>
                </c:pt>
                <c:pt idx="114">
                  <c:v>1.5424347628937005</c:v>
                </c:pt>
                <c:pt idx="115">
                  <c:v>1.4147179469759785</c:v>
                </c:pt>
                <c:pt idx="116">
                  <c:v>1.5144264800579104</c:v>
                </c:pt>
                <c:pt idx="117">
                  <c:v>1.5337490566366714</c:v>
                </c:pt>
                <c:pt idx="118">
                  <c:v>1.515750271533306</c:v>
                </c:pt>
                <c:pt idx="119">
                  <c:v>1.5009006501758688</c:v>
                </c:pt>
                <c:pt idx="120">
                  <c:v>1.4079893269799066</c:v>
                </c:pt>
                <c:pt idx="121">
                  <c:v>1.4585782618939012</c:v>
                </c:pt>
                <c:pt idx="122">
                  <c:v>1.3826781572176556</c:v>
                </c:pt>
                <c:pt idx="123">
                  <c:v>1.5119279769130942</c:v>
                </c:pt>
                <c:pt idx="124">
                  <c:v>1.507892387178364</c:v>
                </c:pt>
                <c:pt idx="125">
                  <c:v>1.4795005500633192</c:v>
                </c:pt>
                <c:pt idx="126">
                  <c:v>1.5484426965063645</c:v>
                </c:pt>
                <c:pt idx="127">
                  <c:v>1.5506475880781194</c:v>
                </c:pt>
                <c:pt idx="128">
                  <c:v>1.5422981846298602</c:v>
                </c:pt>
                <c:pt idx="129">
                  <c:v>1.4793037196531191</c:v>
                </c:pt>
                <c:pt idx="130">
                  <c:v>1.4882717804115009</c:v>
                </c:pt>
                <c:pt idx="131">
                  <c:v>1.3524705668861412</c:v>
                </c:pt>
                <c:pt idx="132">
                  <c:v>1.3668985249564858</c:v>
                </c:pt>
                <c:pt idx="133">
                  <c:v>1.4088077621465123</c:v>
                </c:pt>
                <c:pt idx="134">
                  <c:v>1.4218646478910284</c:v>
                </c:pt>
                <c:pt idx="135">
                  <c:v>1.4113149672315877</c:v>
                </c:pt>
                <c:pt idx="136">
                  <c:v>1.3545259035091972</c:v>
                </c:pt>
                <c:pt idx="137">
                  <c:v>1.2319873228092002</c:v>
                </c:pt>
                <c:pt idx="138">
                  <c:v>1.1507263754138528</c:v>
                </c:pt>
                <c:pt idx="139">
                  <c:v>1.0941270330148767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00-406A-B256-67FA1B7150F6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9.8044909810112713E-2</c:v>
                </c:pt>
                <c:pt idx="2">
                  <c:v>0.11205861005108467</c:v>
                </c:pt>
                <c:pt idx="3">
                  <c:v>1.5093067848046232E-2</c:v>
                </c:pt>
                <c:pt idx="4">
                  <c:v>-9.6018263562993561E-2</c:v>
                </c:pt>
                <c:pt idx="5">
                  <c:v>-1.5824433605657995E-2</c:v>
                </c:pt>
                <c:pt idx="6">
                  <c:v>3.2939205389994307E-2</c:v>
                </c:pt>
                <c:pt idx="7">
                  <c:v>0.12550651686494896</c:v>
                </c:pt>
                <c:pt idx="8">
                  <c:v>0.12584469968249978</c:v>
                </c:pt>
                <c:pt idx="9">
                  <c:v>7.2167781369524314E-2</c:v>
                </c:pt>
                <c:pt idx="10">
                  <c:v>0.10555783028767476</c:v>
                </c:pt>
                <c:pt idx="11">
                  <c:v>8.159803085432682E-3</c:v>
                </c:pt>
                <c:pt idx="12">
                  <c:v>3.6644996888944667E-2</c:v>
                </c:pt>
                <c:pt idx="13">
                  <c:v>0.14387436065673637</c:v>
                </c:pt>
                <c:pt idx="14">
                  <c:v>0.12031837671842852</c:v>
                </c:pt>
                <c:pt idx="15">
                  <c:v>0.18460886820529865</c:v>
                </c:pt>
                <c:pt idx="16">
                  <c:v>0.10672893454874333</c:v>
                </c:pt>
                <c:pt idx="17">
                  <c:v>5.6835526219156579E-2</c:v>
                </c:pt>
                <c:pt idx="18">
                  <c:v>-4.8335780096339626E-2</c:v>
                </c:pt>
                <c:pt idx="19">
                  <c:v>-5.694223809233534E-2</c:v>
                </c:pt>
                <c:pt idx="20">
                  <c:v>6.8706111680200271E-2</c:v>
                </c:pt>
                <c:pt idx="21">
                  <c:v>0.20431708989659397</c:v>
                </c:pt>
                <c:pt idx="22">
                  <c:v>0.18819951044093347</c:v>
                </c:pt>
                <c:pt idx="23">
                  <c:v>0.21429219639613761</c:v>
                </c:pt>
                <c:pt idx="24">
                  <c:v>0.14315857254908618</c:v>
                </c:pt>
                <c:pt idx="25">
                  <c:v>0.21864611671450729</c:v>
                </c:pt>
                <c:pt idx="26">
                  <c:v>0.25994487142505901</c:v>
                </c:pt>
                <c:pt idx="27">
                  <c:v>0.26156684565356519</c:v>
                </c:pt>
                <c:pt idx="28">
                  <c:v>0.29582355125660703</c:v>
                </c:pt>
                <c:pt idx="29">
                  <c:v>0.27481463956420227</c:v>
                </c:pt>
                <c:pt idx="30">
                  <c:v>0.30638454997128145</c:v>
                </c:pt>
                <c:pt idx="31">
                  <c:v>0.33510470193914776</c:v>
                </c:pt>
                <c:pt idx="32">
                  <c:v>0.38590984970502384</c:v>
                </c:pt>
                <c:pt idx="33">
                  <c:v>0.40822060463883547</c:v>
                </c:pt>
                <c:pt idx="34">
                  <c:v>0.42065705305424628</c:v>
                </c:pt>
                <c:pt idx="35">
                  <c:v>0.36734462948683266</c:v>
                </c:pt>
                <c:pt idx="36">
                  <c:v>0.42019587397620656</c:v>
                </c:pt>
                <c:pt idx="37">
                  <c:v>0.54732087473633428</c:v>
                </c:pt>
                <c:pt idx="38">
                  <c:v>0.57465720353460537</c:v>
                </c:pt>
                <c:pt idx="39">
                  <c:v>0.56415096349536076</c:v>
                </c:pt>
                <c:pt idx="40">
                  <c:v>0.52851566845674658</c:v>
                </c:pt>
                <c:pt idx="41">
                  <c:v>0.49991376647970964</c:v>
                </c:pt>
                <c:pt idx="42">
                  <c:v>0.65548480503931283</c:v>
                </c:pt>
                <c:pt idx="43">
                  <c:v>0.67106229429073305</c:v>
                </c:pt>
                <c:pt idx="44">
                  <c:v>0.79815510877285689</c:v>
                </c:pt>
                <c:pt idx="45">
                  <c:v>0.87111719902632301</c:v>
                </c:pt>
                <c:pt idx="46">
                  <c:v>0.92075463570610694</c:v>
                </c:pt>
                <c:pt idx="47">
                  <c:v>0.94548378274645528</c:v>
                </c:pt>
                <c:pt idx="48">
                  <c:v>1.0226419925228185</c:v>
                </c:pt>
                <c:pt idx="49">
                  <c:v>1.076256595808387</c:v>
                </c:pt>
                <c:pt idx="50">
                  <c:v>1.0704511825664187</c:v>
                </c:pt>
                <c:pt idx="51">
                  <c:v>1.1949392874892488</c:v>
                </c:pt>
                <c:pt idx="52">
                  <c:v>1.2332264523464123</c:v>
                </c:pt>
                <c:pt idx="53">
                  <c:v>1.2388871538069808</c:v>
                </c:pt>
                <c:pt idx="54">
                  <c:v>1.1886245161546976</c:v>
                </c:pt>
                <c:pt idx="55">
                  <c:v>1.1864973038394595</c:v>
                </c:pt>
                <c:pt idx="56">
                  <c:v>1.114223918512629</c:v>
                </c:pt>
                <c:pt idx="57">
                  <c:v>1.1359371948694894</c:v>
                </c:pt>
                <c:pt idx="58">
                  <c:v>1.0828458628775806</c:v>
                </c:pt>
                <c:pt idx="59">
                  <c:v>1.1091940954291197</c:v>
                </c:pt>
                <c:pt idx="60">
                  <c:v>1.0807484872160709</c:v>
                </c:pt>
                <c:pt idx="61">
                  <c:v>1.0395617334173719</c:v>
                </c:pt>
                <c:pt idx="62">
                  <c:v>1.0443634906804455</c:v>
                </c:pt>
                <c:pt idx="63">
                  <c:v>1.1204618245203735</c:v>
                </c:pt>
                <c:pt idx="64">
                  <c:v>1.1033027959406008</c:v>
                </c:pt>
                <c:pt idx="65">
                  <c:v>1.2017866471061203</c:v>
                </c:pt>
                <c:pt idx="66">
                  <c:v>1.1816545263611355</c:v>
                </c:pt>
                <c:pt idx="67">
                  <c:v>1.2147390314846391</c:v>
                </c:pt>
                <c:pt idx="68">
                  <c:v>1.2201532242342632</c:v>
                </c:pt>
                <c:pt idx="69">
                  <c:v>1.183498450100501</c:v>
                </c:pt>
                <c:pt idx="70">
                  <c:v>1.1262197329201185</c:v>
                </c:pt>
                <c:pt idx="71">
                  <c:v>1.1792543623017853</c:v>
                </c:pt>
                <c:pt idx="72">
                  <c:v>1.3704835146817831</c:v>
                </c:pt>
                <c:pt idx="73">
                  <c:v>1.3720117253183184</c:v>
                </c:pt>
                <c:pt idx="74">
                  <c:v>1.5273694454141016</c:v>
                </c:pt>
                <c:pt idx="75">
                  <c:v>1.652867940146308</c:v>
                </c:pt>
                <c:pt idx="76">
                  <c:v>1.6529305164166761</c:v>
                </c:pt>
                <c:pt idx="77">
                  <c:v>1.6854983328012518</c:v>
                </c:pt>
                <c:pt idx="78">
                  <c:v>1.711096302695418</c:v>
                </c:pt>
                <c:pt idx="79">
                  <c:v>1.7639596079413582</c:v>
                </c:pt>
                <c:pt idx="80">
                  <c:v>1.8531656137974282</c:v>
                </c:pt>
                <c:pt idx="81">
                  <c:v>1.8720136938828817</c:v>
                </c:pt>
                <c:pt idx="82">
                  <c:v>1.9748486511757419</c:v>
                </c:pt>
                <c:pt idx="83">
                  <c:v>1.8995205972301208</c:v>
                </c:pt>
                <c:pt idx="84">
                  <c:v>1.9225863165727084</c:v>
                </c:pt>
                <c:pt idx="85">
                  <c:v>1.939741503733198</c:v>
                </c:pt>
                <c:pt idx="86">
                  <c:v>1.9588902547597675</c:v>
                </c:pt>
                <c:pt idx="87">
                  <c:v>1.9451976681391256</c:v>
                </c:pt>
                <c:pt idx="88">
                  <c:v>1.9202595092340982</c:v>
                </c:pt>
                <c:pt idx="89">
                  <c:v>2.1249954773387869</c:v>
                </c:pt>
                <c:pt idx="90">
                  <c:v>2.2571246579477902</c:v>
                </c:pt>
                <c:pt idx="91">
                  <c:v>2.2248787996852415</c:v>
                </c:pt>
                <c:pt idx="92">
                  <c:v>2.3170962422677408</c:v>
                </c:pt>
                <c:pt idx="93">
                  <c:v>2.2950038628899132</c:v>
                </c:pt>
                <c:pt idx="94">
                  <c:v>2.2632484009407747</c:v>
                </c:pt>
                <c:pt idx="95">
                  <c:v>2.2867390823245244</c:v>
                </c:pt>
                <c:pt idx="96">
                  <c:v>2.3509216834778144</c:v>
                </c:pt>
                <c:pt idx="97">
                  <c:v>2.3422533007957234</c:v>
                </c:pt>
                <c:pt idx="98">
                  <c:v>2.4195771717640389</c:v>
                </c:pt>
                <c:pt idx="99">
                  <c:v>2.4747487919172411</c:v>
                </c:pt>
                <c:pt idx="100">
                  <c:v>2.4586880943374574</c:v>
                </c:pt>
                <c:pt idx="101">
                  <c:v>2.4836368334185797</c:v>
                </c:pt>
                <c:pt idx="102">
                  <c:v>2.4398007262621078</c:v>
                </c:pt>
                <c:pt idx="103">
                  <c:v>2.4807899524064778</c:v>
                </c:pt>
                <c:pt idx="104">
                  <c:v>2.4838854613863139</c:v>
                </c:pt>
                <c:pt idx="105">
                  <c:v>2.2945465360401354</c:v>
                </c:pt>
                <c:pt idx="106">
                  <c:v>2.3491668709430429</c:v>
                </c:pt>
                <c:pt idx="107">
                  <c:v>2.216284621158612</c:v>
                </c:pt>
                <c:pt idx="108">
                  <c:v>2.1686411319131289</c:v>
                </c:pt>
                <c:pt idx="109">
                  <c:v>2.2111743762020128</c:v>
                </c:pt>
                <c:pt idx="110">
                  <c:v>2.1755043288306872</c:v>
                </c:pt>
                <c:pt idx="111">
                  <c:v>2.2143000149954482</c:v>
                </c:pt>
                <c:pt idx="112">
                  <c:v>2.1679248722472457</c:v>
                </c:pt>
                <c:pt idx="113">
                  <c:v>2.1684239189704941</c:v>
                </c:pt>
                <c:pt idx="114">
                  <c:v>2.1387116905014971</c:v>
                </c:pt>
                <c:pt idx="115">
                  <c:v>2.0082570114081735</c:v>
                </c:pt>
                <c:pt idx="116">
                  <c:v>2.1308254443195835</c:v>
                </c:pt>
                <c:pt idx="117">
                  <c:v>2.1486983628109493</c:v>
                </c:pt>
                <c:pt idx="118">
                  <c:v>2.1181862640328735</c:v>
                </c:pt>
                <c:pt idx="119">
                  <c:v>2.1034130890901501</c:v>
                </c:pt>
                <c:pt idx="120">
                  <c:v>1.9973969894901351</c:v>
                </c:pt>
                <c:pt idx="121">
                  <c:v>2.0478314272120191</c:v>
                </c:pt>
                <c:pt idx="122">
                  <c:v>1.9633382029275475</c:v>
                </c:pt>
                <c:pt idx="123">
                  <c:v>2.0828215490748416</c:v>
                </c:pt>
                <c:pt idx="124">
                  <c:v>2.0683018352440086</c:v>
                </c:pt>
                <c:pt idx="125">
                  <c:v>2.0401788148826152</c:v>
                </c:pt>
                <c:pt idx="126">
                  <c:v>2.1304439807296069</c:v>
                </c:pt>
                <c:pt idx="127">
                  <c:v>2.1303725641289057</c:v>
                </c:pt>
                <c:pt idx="128">
                  <c:v>2.122844200782577</c:v>
                </c:pt>
                <c:pt idx="129">
                  <c:v>2.0633403949740785</c:v>
                </c:pt>
                <c:pt idx="130">
                  <c:v>2.0889787739851466</c:v>
                </c:pt>
                <c:pt idx="131">
                  <c:v>1.935968661840062</c:v>
                </c:pt>
                <c:pt idx="132">
                  <c:v>1.9412923420698547</c:v>
                </c:pt>
                <c:pt idx="133">
                  <c:v>1.994241849599772</c:v>
                </c:pt>
                <c:pt idx="134">
                  <c:v>1.9891274689864495</c:v>
                </c:pt>
                <c:pt idx="135">
                  <c:v>1.981110921716754</c:v>
                </c:pt>
                <c:pt idx="136">
                  <c:v>1.9213711854318973</c:v>
                </c:pt>
                <c:pt idx="137">
                  <c:v>1.8065241685797544</c:v>
                </c:pt>
                <c:pt idx="138">
                  <c:v>1.7379585709495102</c:v>
                </c:pt>
                <c:pt idx="139">
                  <c:v>1.6663854643646956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00-406A-B256-67FA1B7150F6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8.8184433014875996E-2</c:v>
                </c:pt>
                <c:pt idx="2">
                  <c:v>8.0116134415086526E-2</c:v>
                </c:pt>
                <c:pt idx="3">
                  <c:v>-4.4974204441685567E-2</c:v>
                </c:pt>
                <c:pt idx="4">
                  <c:v>-0.19257959873204536</c:v>
                </c:pt>
                <c:pt idx="5">
                  <c:v>-9.4883477105033878E-2</c:v>
                </c:pt>
                <c:pt idx="6">
                  <c:v>-4.244906310877241E-2</c:v>
                </c:pt>
                <c:pt idx="7">
                  <c:v>5.6816536561581511E-2</c:v>
                </c:pt>
                <c:pt idx="8">
                  <c:v>6.4384769594559271E-2</c:v>
                </c:pt>
                <c:pt idx="9">
                  <c:v>2.2061152645416443E-2</c:v>
                </c:pt>
                <c:pt idx="10">
                  <c:v>6.0028835251016516E-2</c:v>
                </c:pt>
                <c:pt idx="11">
                  <c:v>-1.4218677846269553E-2</c:v>
                </c:pt>
                <c:pt idx="12">
                  <c:v>7.1232887493135645E-4</c:v>
                </c:pt>
                <c:pt idx="13">
                  <c:v>0.12323560974538966</c:v>
                </c:pt>
                <c:pt idx="14">
                  <c:v>9.8013706966117706E-2</c:v>
                </c:pt>
                <c:pt idx="15">
                  <c:v>0.16910251192870535</c:v>
                </c:pt>
                <c:pt idx="16">
                  <c:v>0.10083508707465952</c:v>
                </c:pt>
                <c:pt idx="17">
                  <c:v>0.11724557174283985</c:v>
                </c:pt>
                <c:pt idx="18">
                  <c:v>8.5741532437079576E-3</c:v>
                </c:pt>
                <c:pt idx="19">
                  <c:v>1.340228453706447E-2</c:v>
                </c:pt>
                <c:pt idx="20">
                  <c:v>0.13500996636453466</c:v>
                </c:pt>
                <c:pt idx="21">
                  <c:v>0.2729160676295922</c:v>
                </c:pt>
                <c:pt idx="22">
                  <c:v>0.26116992438951325</c:v>
                </c:pt>
                <c:pt idx="23">
                  <c:v>0.29965043575509426</c:v>
                </c:pt>
                <c:pt idx="24">
                  <c:v>0.23046146394064893</c:v>
                </c:pt>
                <c:pt idx="25">
                  <c:v>0.31185806041008901</c:v>
                </c:pt>
                <c:pt idx="26">
                  <c:v>0.34916451728721021</c:v>
                </c:pt>
                <c:pt idx="27">
                  <c:v>0.3597975771824361</c:v>
                </c:pt>
                <c:pt idx="28">
                  <c:v>0.38550305926752521</c:v>
                </c:pt>
                <c:pt idx="29">
                  <c:v>0.36716687262948161</c:v>
                </c:pt>
                <c:pt idx="30">
                  <c:v>0.40230399962774144</c:v>
                </c:pt>
                <c:pt idx="31">
                  <c:v>0.43444926291595815</c:v>
                </c:pt>
                <c:pt idx="32">
                  <c:v>0.47850200743051957</c:v>
                </c:pt>
                <c:pt idx="33">
                  <c:v>0.49297536092966632</c:v>
                </c:pt>
                <c:pt idx="34">
                  <c:v>0.50792336260582926</c:v>
                </c:pt>
                <c:pt idx="35">
                  <c:v>0.45304963540752086</c:v>
                </c:pt>
                <c:pt idx="36">
                  <c:v>0.50681832969770679</c:v>
                </c:pt>
                <c:pt idx="37">
                  <c:v>0.6408409097292157</c:v>
                </c:pt>
                <c:pt idx="38">
                  <c:v>0.69004334481356411</c:v>
                </c:pt>
                <c:pt idx="39">
                  <c:v>0.67270236158013352</c:v>
                </c:pt>
                <c:pt idx="40">
                  <c:v>0.64449390707256171</c:v>
                </c:pt>
                <c:pt idx="41">
                  <c:v>0.62962651467331088</c:v>
                </c:pt>
                <c:pt idx="42">
                  <c:v>0.78104756996904812</c:v>
                </c:pt>
                <c:pt idx="43">
                  <c:v>0.75824849737759081</c:v>
                </c:pt>
                <c:pt idx="44">
                  <c:v>0.89090732321310973</c:v>
                </c:pt>
                <c:pt idx="45">
                  <c:v>0.9530961910934852</c:v>
                </c:pt>
                <c:pt idx="46">
                  <c:v>1.0101830230010618</c:v>
                </c:pt>
                <c:pt idx="47">
                  <c:v>1.0447566247001476</c:v>
                </c:pt>
                <c:pt idx="48">
                  <c:v>1.1313572495674635</c:v>
                </c:pt>
                <c:pt idx="49">
                  <c:v>1.193213738812233</c:v>
                </c:pt>
                <c:pt idx="50">
                  <c:v>1.1851375482414115</c:v>
                </c:pt>
                <c:pt idx="51">
                  <c:v>1.3279787028524042</c:v>
                </c:pt>
                <c:pt idx="52">
                  <c:v>1.3762344959092585</c:v>
                </c:pt>
                <c:pt idx="53">
                  <c:v>1.3380022322685587</c:v>
                </c:pt>
                <c:pt idx="54">
                  <c:v>1.283917930029423</c:v>
                </c:pt>
                <c:pt idx="55">
                  <c:v>1.2877304699859258</c:v>
                </c:pt>
                <c:pt idx="56">
                  <c:v>1.210265075642126</c:v>
                </c:pt>
                <c:pt idx="57">
                  <c:v>1.2553547729764867</c:v>
                </c:pt>
                <c:pt idx="58">
                  <c:v>1.1851479514503236</c:v>
                </c:pt>
                <c:pt idx="59">
                  <c:v>1.2185938526511699</c:v>
                </c:pt>
                <c:pt idx="60">
                  <c:v>1.1952368087611733</c:v>
                </c:pt>
                <c:pt idx="61">
                  <c:v>1.1356883637314996</c:v>
                </c:pt>
                <c:pt idx="62">
                  <c:v>1.13382772826057</c:v>
                </c:pt>
                <c:pt idx="63">
                  <c:v>1.220712879474789</c:v>
                </c:pt>
                <c:pt idx="64">
                  <c:v>1.202605397819448</c:v>
                </c:pt>
                <c:pt idx="65">
                  <c:v>1.3191832670678114</c:v>
                </c:pt>
                <c:pt idx="66">
                  <c:v>1.2980963257181084</c:v>
                </c:pt>
                <c:pt idx="67">
                  <c:v>1.3371407496563932</c:v>
                </c:pt>
                <c:pt idx="68">
                  <c:v>1.3302112841414782</c:v>
                </c:pt>
                <c:pt idx="69">
                  <c:v>1.2795357524121056</c:v>
                </c:pt>
                <c:pt idx="70">
                  <c:v>1.2145000202259684</c:v>
                </c:pt>
                <c:pt idx="71">
                  <c:v>1.2792047082440661</c:v>
                </c:pt>
                <c:pt idx="72">
                  <c:v>1.3400599494297627</c:v>
                </c:pt>
                <c:pt idx="73">
                  <c:v>1.3378750427825561</c:v>
                </c:pt>
                <c:pt idx="74">
                  <c:v>1.5168326687029978</c:v>
                </c:pt>
                <c:pt idx="75">
                  <c:v>1.6350433774460325</c:v>
                </c:pt>
                <c:pt idx="76">
                  <c:v>1.6458298577058412</c:v>
                </c:pt>
                <c:pt idx="77">
                  <c:v>1.6778172497331041</c:v>
                </c:pt>
                <c:pt idx="78">
                  <c:v>1.6913911214507906</c:v>
                </c:pt>
                <c:pt idx="79">
                  <c:v>1.7378788494868529</c:v>
                </c:pt>
                <c:pt idx="80">
                  <c:v>1.8348525751141387</c:v>
                </c:pt>
                <c:pt idx="81">
                  <c:v>1.8759827478415652</c:v>
                </c:pt>
                <c:pt idx="82">
                  <c:v>1.9844108687574395</c:v>
                </c:pt>
                <c:pt idx="83">
                  <c:v>1.8929204336533296</c:v>
                </c:pt>
                <c:pt idx="84">
                  <c:v>1.9091055260907535</c:v>
                </c:pt>
                <c:pt idx="85">
                  <c:v>1.9290081931650012</c:v>
                </c:pt>
                <c:pt idx="86">
                  <c:v>1.95221945471675</c:v>
                </c:pt>
                <c:pt idx="87">
                  <c:v>1.8946311742051822</c:v>
                </c:pt>
                <c:pt idx="88">
                  <c:v>1.8669423551846271</c:v>
                </c:pt>
                <c:pt idx="89">
                  <c:v>2.1051897576989806</c:v>
                </c:pt>
                <c:pt idx="90">
                  <c:v>2.2683163322304374</c:v>
                </c:pt>
                <c:pt idx="91">
                  <c:v>2.2301899479736229</c:v>
                </c:pt>
                <c:pt idx="92">
                  <c:v>2.3226134506396221</c:v>
                </c:pt>
                <c:pt idx="93">
                  <c:v>2.3422037275392444</c:v>
                </c:pt>
                <c:pt idx="94">
                  <c:v>2.3048437529312458</c:v>
                </c:pt>
                <c:pt idx="95">
                  <c:v>2.3298040251464709</c:v>
                </c:pt>
                <c:pt idx="96">
                  <c:v>2.3689382728744053</c:v>
                </c:pt>
                <c:pt idx="97">
                  <c:v>2.3584026190364993</c:v>
                </c:pt>
                <c:pt idx="98">
                  <c:v>2.4160020060807388</c:v>
                </c:pt>
                <c:pt idx="99">
                  <c:v>2.4173450303390651</c:v>
                </c:pt>
                <c:pt idx="100">
                  <c:v>2.3946897702633692</c:v>
                </c:pt>
                <c:pt idx="101">
                  <c:v>2.3968717484255944</c:v>
                </c:pt>
                <c:pt idx="102">
                  <c:v>2.3511432457435224</c:v>
                </c:pt>
                <c:pt idx="103">
                  <c:v>2.3919101075086884</c:v>
                </c:pt>
                <c:pt idx="104">
                  <c:v>2.3933511099620812</c:v>
                </c:pt>
                <c:pt idx="105">
                  <c:v>2.1726429683061781</c:v>
                </c:pt>
                <c:pt idx="106">
                  <c:v>2.1550899211228698</c:v>
                </c:pt>
                <c:pt idx="107">
                  <c:v>2.0044566115353919</c:v>
                </c:pt>
                <c:pt idx="108">
                  <c:v>1.9481646578573972</c:v>
                </c:pt>
                <c:pt idx="109">
                  <c:v>1.9974447210446906</c:v>
                </c:pt>
                <c:pt idx="110">
                  <c:v>1.9539181171049922</c:v>
                </c:pt>
                <c:pt idx="111">
                  <c:v>2.0009674078476434</c:v>
                </c:pt>
                <c:pt idx="112">
                  <c:v>2.000635118747363</c:v>
                </c:pt>
                <c:pt idx="113">
                  <c:v>1.9947931023234116</c:v>
                </c:pt>
                <c:pt idx="114">
                  <c:v>1.9647290064153489</c:v>
                </c:pt>
                <c:pt idx="115">
                  <c:v>1.8605148460698779</c:v>
                </c:pt>
                <c:pt idx="116">
                  <c:v>1.9881690902542717</c:v>
                </c:pt>
                <c:pt idx="117">
                  <c:v>2.0148261581062497</c:v>
                </c:pt>
                <c:pt idx="118">
                  <c:v>1.9681677743964645</c:v>
                </c:pt>
                <c:pt idx="119">
                  <c:v>1.9370382663281269</c:v>
                </c:pt>
                <c:pt idx="120">
                  <c:v>1.8152105612980904</c:v>
                </c:pt>
                <c:pt idx="121">
                  <c:v>1.82460219062733</c:v>
                </c:pt>
                <c:pt idx="122">
                  <c:v>1.7317161327075687</c:v>
                </c:pt>
                <c:pt idx="123">
                  <c:v>1.8452166508425132</c:v>
                </c:pt>
                <c:pt idx="124">
                  <c:v>1.81685734171497</c:v>
                </c:pt>
                <c:pt idx="125">
                  <c:v>1.7688841533531379</c:v>
                </c:pt>
                <c:pt idx="126">
                  <c:v>1.8546758097678715</c:v>
                </c:pt>
                <c:pt idx="127">
                  <c:v>1.8555282178841221</c:v>
                </c:pt>
                <c:pt idx="128">
                  <c:v>1.8616661785420601</c:v>
                </c:pt>
                <c:pt idx="129">
                  <c:v>1.786702363991765</c:v>
                </c:pt>
                <c:pt idx="130">
                  <c:v>1.8095408235896568</c:v>
                </c:pt>
                <c:pt idx="131">
                  <c:v>1.6497202059798777</c:v>
                </c:pt>
                <c:pt idx="132">
                  <c:v>1.6546580615675475</c:v>
                </c:pt>
                <c:pt idx="133">
                  <c:v>1.7178826986724505</c:v>
                </c:pt>
                <c:pt idx="134">
                  <c:v>1.7182212527131031</c:v>
                </c:pt>
                <c:pt idx="135">
                  <c:v>1.7018562515953635</c:v>
                </c:pt>
                <c:pt idx="136">
                  <c:v>1.6276003835886241</c:v>
                </c:pt>
                <c:pt idx="137">
                  <c:v>1.505375056489004</c:v>
                </c:pt>
                <c:pt idx="138">
                  <c:v>1.4671870409282437</c:v>
                </c:pt>
                <c:pt idx="139">
                  <c:v>1.3914798686265892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00-406A-B256-67FA1B7150F6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0.16400448088256447</c:v>
                </c:pt>
                <c:pt idx="2">
                  <c:v>0.10622607723781577</c:v>
                </c:pt>
                <c:pt idx="3">
                  <c:v>-3.2000519163170427E-2</c:v>
                </c:pt>
                <c:pt idx="4">
                  <c:v>-0.18113672817290272</c:v>
                </c:pt>
                <c:pt idx="5">
                  <c:v>-7.8906108540036213E-2</c:v>
                </c:pt>
                <c:pt idx="6">
                  <c:v>-1.2191977475378632E-2</c:v>
                </c:pt>
                <c:pt idx="7">
                  <c:v>0.10725331781480377</c:v>
                </c:pt>
                <c:pt idx="8">
                  <c:v>0.12810796110609091</c:v>
                </c:pt>
                <c:pt idx="9">
                  <c:v>9.8315323757357839E-2</c:v>
                </c:pt>
                <c:pt idx="10">
                  <c:v>0.14070179478507711</c:v>
                </c:pt>
                <c:pt idx="11">
                  <c:v>-5.4181740194658989E-3</c:v>
                </c:pt>
                <c:pt idx="12">
                  <c:v>-4.040372460310885E-2</c:v>
                </c:pt>
                <c:pt idx="13">
                  <c:v>4.2505142756165577E-2</c:v>
                </c:pt>
                <c:pt idx="14">
                  <c:v>1.1973426831907587E-2</c:v>
                </c:pt>
                <c:pt idx="15">
                  <c:v>0.11277906729832679</c:v>
                </c:pt>
                <c:pt idx="16">
                  <c:v>6.5613425526992036E-2</c:v>
                </c:pt>
                <c:pt idx="17">
                  <c:v>3.0299175593352379E-2</c:v>
                </c:pt>
                <c:pt idx="18">
                  <c:v>-6.8610897427763246E-2</c:v>
                </c:pt>
                <c:pt idx="19">
                  <c:v>-8.1757802119277287E-2</c:v>
                </c:pt>
                <c:pt idx="20">
                  <c:v>4.1545098461665514E-2</c:v>
                </c:pt>
                <c:pt idx="21">
                  <c:v>0.1704817759697827</c:v>
                </c:pt>
                <c:pt idx="22">
                  <c:v>0.15280051676493292</c:v>
                </c:pt>
                <c:pt idx="23">
                  <c:v>0.19457976583897982</c:v>
                </c:pt>
                <c:pt idx="24">
                  <c:v>0.12113357158330879</c:v>
                </c:pt>
                <c:pt idx="25">
                  <c:v>0.20698673187652689</c:v>
                </c:pt>
                <c:pt idx="26">
                  <c:v>0.224534816940413</c:v>
                </c:pt>
                <c:pt idx="27">
                  <c:v>0.24574347795244339</c:v>
                </c:pt>
                <c:pt idx="28">
                  <c:v>0.2548525164446247</c:v>
                </c:pt>
                <c:pt idx="29">
                  <c:v>0.23315264305592787</c:v>
                </c:pt>
                <c:pt idx="30">
                  <c:v>0.27647798265693302</c:v>
                </c:pt>
                <c:pt idx="31">
                  <c:v>0.26575082725750004</c:v>
                </c:pt>
                <c:pt idx="32">
                  <c:v>0.28567431535202714</c:v>
                </c:pt>
                <c:pt idx="33">
                  <c:v>0.32680397005518819</c:v>
                </c:pt>
                <c:pt idx="34">
                  <c:v>0.33436843602261324</c:v>
                </c:pt>
                <c:pt idx="35">
                  <c:v>0.28388898411986219</c:v>
                </c:pt>
                <c:pt idx="36">
                  <c:v>0.34090429693784102</c:v>
                </c:pt>
                <c:pt idx="37">
                  <c:v>0.49073390966166419</c:v>
                </c:pt>
                <c:pt idx="38">
                  <c:v>0.52729172039539352</c:v>
                </c:pt>
                <c:pt idx="39">
                  <c:v>0.51658862840513264</c:v>
                </c:pt>
                <c:pt idx="40">
                  <c:v>0.49473907205376</c:v>
                </c:pt>
                <c:pt idx="41">
                  <c:v>0.4792461020887484</c:v>
                </c:pt>
                <c:pt idx="42">
                  <c:v>0.65030997406693258</c:v>
                </c:pt>
                <c:pt idx="43">
                  <c:v>0.64324027524804084</c:v>
                </c:pt>
                <c:pt idx="44">
                  <c:v>0.77224453954352956</c:v>
                </c:pt>
                <c:pt idx="45">
                  <c:v>0.84626897965114567</c:v>
                </c:pt>
                <c:pt idx="46">
                  <c:v>0.91452332507614331</c:v>
                </c:pt>
                <c:pt idx="47">
                  <c:v>0.96159493874819146</c:v>
                </c:pt>
                <c:pt idx="48">
                  <c:v>1.0528968752889996</c:v>
                </c:pt>
                <c:pt idx="49">
                  <c:v>1.1311957030140989</c:v>
                </c:pt>
                <c:pt idx="50">
                  <c:v>1.1415253550679985</c:v>
                </c:pt>
                <c:pt idx="51">
                  <c:v>1.3023837250824073</c:v>
                </c:pt>
                <c:pt idx="52">
                  <c:v>1.3473784606763519</c:v>
                </c:pt>
                <c:pt idx="53">
                  <c:v>1.3180050726217476</c:v>
                </c:pt>
                <c:pt idx="54">
                  <c:v>1.2572772837088453</c:v>
                </c:pt>
                <c:pt idx="55">
                  <c:v>1.2532942168648353</c:v>
                </c:pt>
                <c:pt idx="56">
                  <c:v>1.1833612649517797</c:v>
                </c:pt>
                <c:pt idx="57">
                  <c:v>1.1714120037132905</c:v>
                </c:pt>
                <c:pt idx="58">
                  <c:v>1.0591892504384495</c:v>
                </c:pt>
                <c:pt idx="59">
                  <c:v>1.0886466012551128</c:v>
                </c:pt>
                <c:pt idx="60">
                  <c:v>1.0423340469211713</c:v>
                </c:pt>
                <c:pt idx="61">
                  <c:v>0.9801195254291305</c:v>
                </c:pt>
                <c:pt idx="62">
                  <c:v>0.95066883387165391</c:v>
                </c:pt>
                <c:pt idx="63">
                  <c:v>1.0480034101331466</c:v>
                </c:pt>
                <c:pt idx="64">
                  <c:v>1.0381493831440263</c:v>
                </c:pt>
                <c:pt idx="65">
                  <c:v>1.1558691321402956</c:v>
                </c:pt>
                <c:pt idx="66">
                  <c:v>1.1285015236092315</c:v>
                </c:pt>
                <c:pt idx="67">
                  <c:v>1.1631587422885963</c:v>
                </c:pt>
                <c:pt idx="68">
                  <c:v>1.1425656861025506</c:v>
                </c:pt>
                <c:pt idx="69">
                  <c:v>1.1207900804268143</c:v>
                </c:pt>
                <c:pt idx="70">
                  <c:v>1.0535591786395784</c:v>
                </c:pt>
                <c:pt idx="71">
                  <c:v>1.1115529137042488</c:v>
                </c:pt>
                <c:pt idx="72">
                  <c:v>1.2252459566012304</c:v>
                </c:pt>
                <c:pt idx="73">
                  <c:v>1.226451478551345</c:v>
                </c:pt>
                <c:pt idx="74">
                  <c:v>1.3973193093786005</c:v>
                </c:pt>
                <c:pt idx="75">
                  <c:v>1.4752317465672651</c:v>
                </c:pt>
                <c:pt idx="76">
                  <c:v>1.4708723714783398</c:v>
                </c:pt>
                <c:pt idx="77">
                  <c:v>1.542660379500592</c:v>
                </c:pt>
                <c:pt idx="78">
                  <c:v>1.5117019978467119</c:v>
                </c:pt>
                <c:pt idx="79">
                  <c:v>1.5608505449921879</c:v>
                </c:pt>
                <c:pt idx="80">
                  <c:v>1.6620884086227672</c:v>
                </c:pt>
                <c:pt idx="81">
                  <c:v>1.7052761722638703</c:v>
                </c:pt>
                <c:pt idx="82">
                  <c:v>1.8071372881406584</c:v>
                </c:pt>
                <c:pt idx="83">
                  <c:v>1.7189132471787409</c:v>
                </c:pt>
                <c:pt idx="84">
                  <c:v>1.7359704355316161</c:v>
                </c:pt>
                <c:pt idx="85">
                  <c:v>1.7567544448318613</c:v>
                </c:pt>
                <c:pt idx="86">
                  <c:v>1.7806460962256769</c:v>
                </c:pt>
                <c:pt idx="87">
                  <c:v>1.6794717478921035</c:v>
                </c:pt>
                <c:pt idx="88">
                  <c:v>1.6473809119333922</c:v>
                </c:pt>
                <c:pt idx="89">
                  <c:v>1.9254121992984312</c:v>
                </c:pt>
                <c:pt idx="90">
                  <c:v>2.096579143727539</c:v>
                </c:pt>
                <c:pt idx="91">
                  <c:v>2.0740883197841065</c:v>
                </c:pt>
                <c:pt idx="92">
                  <c:v>2.184029509603179</c:v>
                </c:pt>
                <c:pt idx="93">
                  <c:v>2.2179311320887365</c:v>
                </c:pt>
                <c:pt idx="94">
                  <c:v>2.1626601687730651</c:v>
                </c:pt>
                <c:pt idx="95">
                  <c:v>2.1744113451268672</c:v>
                </c:pt>
                <c:pt idx="96">
                  <c:v>2.1967873535027689</c:v>
                </c:pt>
                <c:pt idx="97">
                  <c:v>2.2065548968026638</c:v>
                </c:pt>
                <c:pt idx="98">
                  <c:v>2.2702411412447034</c:v>
                </c:pt>
                <c:pt idx="99">
                  <c:v>2.252961687945799</c:v>
                </c:pt>
                <c:pt idx="100">
                  <c:v>2.2427937494855135</c:v>
                </c:pt>
                <c:pt idx="101">
                  <c:v>2.2480731894005888</c:v>
                </c:pt>
                <c:pt idx="102">
                  <c:v>2.203769230282818</c:v>
                </c:pt>
                <c:pt idx="103">
                  <c:v>2.2517226566608528</c:v>
                </c:pt>
                <c:pt idx="104">
                  <c:v>2.2510178216502239</c:v>
                </c:pt>
                <c:pt idx="105">
                  <c:v>1.9754211643853896</c:v>
                </c:pt>
                <c:pt idx="106">
                  <c:v>1.9580506456926225</c:v>
                </c:pt>
                <c:pt idx="107">
                  <c:v>1.7970641090428225</c:v>
                </c:pt>
                <c:pt idx="108">
                  <c:v>1.732096933829705</c:v>
                </c:pt>
                <c:pt idx="109">
                  <c:v>1.7885227228010177</c:v>
                </c:pt>
                <c:pt idx="110">
                  <c:v>1.7442239929917205</c:v>
                </c:pt>
                <c:pt idx="111">
                  <c:v>1.7657753583198614</c:v>
                </c:pt>
                <c:pt idx="112">
                  <c:v>1.7682397837850308</c:v>
                </c:pt>
                <c:pt idx="113">
                  <c:v>1.8041168043227096</c:v>
                </c:pt>
                <c:pt idx="114">
                  <c:v>1.777611339289267</c:v>
                </c:pt>
                <c:pt idx="115">
                  <c:v>1.6957715592395277</c:v>
                </c:pt>
                <c:pt idx="116">
                  <c:v>1.8468764671959101</c:v>
                </c:pt>
                <c:pt idx="117">
                  <c:v>1.8848537482510039</c:v>
                </c:pt>
                <c:pt idx="118">
                  <c:v>1.8882744405275207</c:v>
                </c:pt>
                <c:pt idx="119">
                  <c:v>1.843252366856468</c:v>
                </c:pt>
                <c:pt idx="120">
                  <c:v>1.6888438334508284</c:v>
                </c:pt>
                <c:pt idx="121">
                  <c:v>1.69669707368694</c:v>
                </c:pt>
                <c:pt idx="122">
                  <c:v>1.5969072422436275</c:v>
                </c:pt>
                <c:pt idx="123">
                  <c:v>1.7243335346189097</c:v>
                </c:pt>
                <c:pt idx="124">
                  <c:v>1.6775645336496272</c:v>
                </c:pt>
                <c:pt idx="125">
                  <c:v>1.620221547956022</c:v>
                </c:pt>
                <c:pt idx="126">
                  <c:v>1.7568403350233956</c:v>
                </c:pt>
                <c:pt idx="127">
                  <c:v>1.7639215799725092</c:v>
                </c:pt>
                <c:pt idx="128">
                  <c:v>1.7461742351578606</c:v>
                </c:pt>
                <c:pt idx="129">
                  <c:v>1.6652465818589053</c:v>
                </c:pt>
                <c:pt idx="130">
                  <c:v>1.7181564643971823</c:v>
                </c:pt>
                <c:pt idx="131">
                  <c:v>1.5643253300697049</c:v>
                </c:pt>
                <c:pt idx="132">
                  <c:v>1.5661367327459259</c:v>
                </c:pt>
                <c:pt idx="133">
                  <c:v>1.6463888617741249</c:v>
                </c:pt>
                <c:pt idx="134">
                  <c:v>1.6592471611308184</c:v>
                </c:pt>
                <c:pt idx="135">
                  <c:v>1.6525115746231582</c:v>
                </c:pt>
                <c:pt idx="136">
                  <c:v>1.571251520179124</c:v>
                </c:pt>
                <c:pt idx="137">
                  <c:v>1.4305162928858783</c:v>
                </c:pt>
                <c:pt idx="138">
                  <c:v>1.3751595837682082</c:v>
                </c:pt>
                <c:pt idx="139">
                  <c:v>1.302652607856277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00-406A-B256-67FA1B7150F6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0.16957252245797583</c:v>
                </c:pt>
                <c:pt idx="2">
                  <c:v>0.10314487389349325</c:v>
                </c:pt>
                <c:pt idx="3">
                  <c:v>-8.2948387183867517E-3</c:v>
                </c:pt>
                <c:pt idx="4">
                  <c:v>-0.14893941067616795</c:v>
                </c:pt>
                <c:pt idx="5">
                  <c:v>-8.7181031132670658E-2</c:v>
                </c:pt>
                <c:pt idx="6">
                  <c:v>-6.1329938735803502E-3</c:v>
                </c:pt>
                <c:pt idx="7">
                  <c:v>0.14199284781007804</c:v>
                </c:pt>
                <c:pt idx="8">
                  <c:v>0.17435398358581425</c:v>
                </c:pt>
                <c:pt idx="9">
                  <c:v>0.17042877299705791</c:v>
                </c:pt>
                <c:pt idx="10">
                  <c:v>0.24726480930911998</c:v>
                </c:pt>
                <c:pt idx="11">
                  <c:v>5.7741582614074388E-2</c:v>
                </c:pt>
                <c:pt idx="12">
                  <c:v>1.7217404692723301E-2</c:v>
                </c:pt>
                <c:pt idx="13">
                  <c:v>0.12819817336130268</c:v>
                </c:pt>
                <c:pt idx="14">
                  <c:v>7.7622154530260598E-2</c:v>
                </c:pt>
                <c:pt idx="15">
                  <c:v>0.18905808488864562</c:v>
                </c:pt>
                <c:pt idx="16">
                  <c:v>0.16144166257122253</c:v>
                </c:pt>
                <c:pt idx="17">
                  <c:v>0.12464971705860999</c:v>
                </c:pt>
                <c:pt idx="18">
                  <c:v>1.7727616227512483E-2</c:v>
                </c:pt>
                <c:pt idx="19">
                  <c:v>1.3727605364799278E-2</c:v>
                </c:pt>
                <c:pt idx="20">
                  <c:v>0.16928169915477398</c:v>
                </c:pt>
                <c:pt idx="21">
                  <c:v>0.29044799423409756</c:v>
                </c:pt>
                <c:pt idx="22">
                  <c:v>0.28119564738823832</c:v>
                </c:pt>
                <c:pt idx="23">
                  <c:v>0.31639413742483807</c:v>
                </c:pt>
                <c:pt idx="24">
                  <c:v>0.2321974282614673</c:v>
                </c:pt>
                <c:pt idx="25">
                  <c:v>0.31595698902666863</c:v>
                </c:pt>
                <c:pt idx="26">
                  <c:v>0.3332577397841564</c:v>
                </c:pt>
                <c:pt idx="27">
                  <c:v>0.35424527795067828</c:v>
                </c:pt>
                <c:pt idx="28">
                  <c:v>0.37640500328507931</c:v>
                </c:pt>
                <c:pt idx="29">
                  <c:v>0.35545643072370858</c:v>
                </c:pt>
                <c:pt idx="30">
                  <c:v>0.3795488485746088</c:v>
                </c:pt>
                <c:pt idx="31">
                  <c:v>0.38181144012287971</c:v>
                </c:pt>
                <c:pt idx="32">
                  <c:v>0.40644730610273133</c:v>
                </c:pt>
                <c:pt idx="33">
                  <c:v>0.45898703312239819</c:v>
                </c:pt>
                <c:pt idx="34">
                  <c:v>0.45958891567340704</c:v>
                </c:pt>
                <c:pt idx="35">
                  <c:v>0.4249856394695809</c:v>
                </c:pt>
                <c:pt idx="36">
                  <c:v>0.49724358608727148</c:v>
                </c:pt>
                <c:pt idx="37">
                  <c:v>0.65712431628687706</c:v>
                </c:pt>
                <c:pt idx="38">
                  <c:v>0.6965850023009037</c:v>
                </c:pt>
                <c:pt idx="39">
                  <c:v>0.73513429871486591</c:v>
                </c:pt>
                <c:pt idx="40">
                  <c:v>0.70228122108115887</c:v>
                </c:pt>
                <c:pt idx="41">
                  <c:v>0.68370332386540777</c:v>
                </c:pt>
                <c:pt idx="42">
                  <c:v>0.87920744649046512</c:v>
                </c:pt>
                <c:pt idx="43">
                  <c:v>0.86225405176976733</c:v>
                </c:pt>
                <c:pt idx="44">
                  <c:v>0.95986637811451037</c:v>
                </c:pt>
                <c:pt idx="45">
                  <c:v>1.0411157834988918</c:v>
                </c:pt>
                <c:pt idx="46">
                  <c:v>1.0948547992167434</c:v>
                </c:pt>
                <c:pt idx="47">
                  <c:v>1.1417955652688325</c:v>
                </c:pt>
                <c:pt idx="48">
                  <c:v>1.2148956456231792</c:v>
                </c:pt>
                <c:pt idx="49">
                  <c:v>1.2824159395295163</c:v>
                </c:pt>
                <c:pt idx="50">
                  <c:v>1.2722558063936178</c:v>
                </c:pt>
                <c:pt idx="51">
                  <c:v>1.4166022819313493</c:v>
                </c:pt>
                <c:pt idx="52">
                  <c:v>1.4734501636949529</c:v>
                </c:pt>
                <c:pt idx="53">
                  <c:v>1.4481866068317104</c:v>
                </c:pt>
                <c:pt idx="54">
                  <c:v>1.3769226908884264</c:v>
                </c:pt>
                <c:pt idx="55">
                  <c:v>1.3862781169961018</c:v>
                </c:pt>
                <c:pt idx="56">
                  <c:v>1.3239949756850573</c:v>
                </c:pt>
                <c:pt idx="57">
                  <c:v>1.2994686032864322</c:v>
                </c:pt>
                <c:pt idx="58">
                  <c:v>1.1973587626732392</c:v>
                </c:pt>
                <c:pt idx="59">
                  <c:v>1.2081265552525831</c:v>
                </c:pt>
                <c:pt idx="60">
                  <c:v>1.154106563429441</c:v>
                </c:pt>
                <c:pt idx="61">
                  <c:v>1.0774116984956601</c:v>
                </c:pt>
                <c:pt idx="62">
                  <c:v>1.0195314734557781</c:v>
                </c:pt>
                <c:pt idx="63">
                  <c:v>1.1169804811956403</c:v>
                </c:pt>
                <c:pt idx="64">
                  <c:v>1.1233458183973475</c:v>
                </c:pt>
                <c:pt idx="65">
                  <c:v>1.2420452889360103</c:v>
                </c:pt>
                <c:pt idx="66">
                  <c:v>1.2113554703131411</c:v>
                </c:pt>
                <c:pt idx="67">
                  <c:v>1.250830346448961</c:v>
                </c:pt>
                <c:pt idx="68">
                  <c:v>1.218612066745709</c:v>
                </c:pt>
                <c:pt idx="69">
                  <c:v>1.1941202376311819</c:v>
                </c:pt>
                <c:pt idx="70">
                  <c:v>1.0988964166606647</c:v>
                </c:pt>
                <c:pt idx="71">
                  <c:v>1.142404587412164</c:v>
                </c:pt>
                <c:pt idx="72">
                  <c:v>1.2549030827172241</c:v>
                </c:pt>
                <c:pt idx="73">
                  <c:v>1.2645409535973617</c:v>
                </c:pt>
                <c:pt idx="74">
                  <c:v>1.4293583058527477</c:v>
                </c:pt>
                <c:pt idx="75">
                  <c:v>1.4871037905916271</c:v>
                </c:pt>
                <c:pt idx="76">
                  <c:v>1.4963096818109283</c:v>
                </c:pt>
                <c:pt idx="77">
                  <c:v>1.5573317643729674</c:v>
                </c:pt>
                <c:pt idx="78">
                  <c:v>1.4802044548011055</c:v>
                </c:pt>
                <c:pt idx="79">
                  <c:v>1.542709260029042</c:v>
                </c:pt>
                <c:pt idx="80">
                  <c:v>1.623818016940267</c:v>
                </c:pt>
                <c:pt idx="81">
                  <c:v>1.6646351240655839</c:v>
                </c:pt>
                <c:pt idx="82">
                  <c:v>1.8087586920818008</c:v>
                </c:pt>
                <c:pt idx="83">
                  <c:v>1.7861032452083747</c:v>
                </c:pt>
                <c:pt idx="84">
                  <c:v>1.7576061928351823</c:v>
                </c:pt>
                <c:pt idx="85">
                  <c:v>1.7881459373531645</c:v>
                </c:pt>
                <c:pt idx="86">
                  <c:v>1.8175517527179139</c:v>
                </c:pt>
                <c:pt idx="87">
                  <c:v>1.7032208976107708</c:v>
                </c:pt>
                <c:pt idx="88">
                  <c:v>1.6598172569904488</c:v>
                </c:pt>
                <c:pt idx="89">
                  <c:v>1.9888438074677799</c:v>
                </c:pt>
                <c:pt idx="90">
                  <c:v>2.1323483181948824</c:v>
                </c:pt>
                <c:pt idx="91">
                  <c:v>2.1245190644186098</c:v>
                </c:pt>
                <c:pt idx="92">
                  <c:v>2.2551441715096119</c:v>
                </c:pt>
                <c:pt idx="93">
                  <c:v>2.2989371753529566</c:v>
                </c:pt>
                <c:pt idx="94">
                  <c:v>2.2766033451642467</c:v>
                </c:pt>
                <c:pt idx="95">
                  <c:v>2.2993647881281642</c:v>
                </c:pt>
                <c:pt idx="96">
                  <c:v>2.2890633875951094</c:v>
                </c:pt>
                <c:pt idx="97">
                  <c:v>2.3023496000818895</c:v>
                </c:pt>
                <c:pt idx="98">
                  <c:v>2.3891003661557959</c:v>
                </c:pt>
                <c:pt idx="99">
                  <c:v>2.3326419783680929</c:v>
                </c:pt>
                <c:pt idx="100">
                  <c:v>2.327261274522137</c:v>
                </c:pt>
                <c:pt idx="101">
                  <c:v>2.3755050612284245</c:v>
                </c:pt>
                <c:pt idx="102">
                  <c:v>2.3363836518374836</c:v>
                </c:pt>
                <c:pt idx="103">
                  <c:v>2.3820829024120003</c:v>
                </c:pt>
                <c:pt idx="104">
                  <c:v>2.3915508291655261</c:v>
                </c:pt>
                <c:pt idx="105">
                  <c:v>2.0967468829930667</c:v>
                </c:pt>
                <c:pt idx="106">
                  <c:v>2.0626493628009901</c:v>
                </c:pt>
                <c:pt idx="107">
                  <c:v>1.8696593536769712</c:v>
                </c:pt>
                <c:pt idx="108">
                  <c:v>1.7988249995794097</c:v>
                </c:pt>
                <c:pt idx="109">
                  <c:v>1.861150820539085</c:v>
                </c:pt>
                <c:pt idx="110">
                  <c:v>1.8013593525877951</c:v>
                </c:pt>
                <c:pt idx="111">
                  <c:v>1.8181908309051888</c:v>
                </c:pt>
                <c:pt idx="112">
                  <c:v>1.8461978476666716</c:v>
                </c:pt>
                <c:pt idx="113">
                  <c:v>1.8862604289449847</c:v>
                </c:pt>
                <c:pt idx="114">
                  <c:v>1.8292894175756229</c:v>
                </c:pt>
                <c:pt idx="115">
                  <c:v>1.7372451884570295</c:v>
                </c:pt>
                <c:pt idx="116">
                  <c:v>1.7504634415727991</c:v>
                </c:pt>
                <c:pt idx="117">
                  <c:v>1.7905417867365647</c:v>
                </c:pt>
                <c:pt idx="118">
                  <c:v>1.7855302026623383</c:v>
                </c:pt>
                <c:pt idx="119">
                  <c:v>1.767364117537521</c:v>
                </c:pt>
                <c:pt idx="120">
                  <c:v>1.7136115054879282</c:v>
                </c:pt>
                <c:pt idx="121">
                  <c:v>1.6918074109183905</c:v>
                </c:pt>
                <c:pt idx="122">
                  <c:v>1.5652316780484481</c:v>
                </c:pt>
                <c:pt idx="123">
                  <c:v>1.7067251905529031</c:v>
                </c:pt>
                <c:pt idx="124">
                  <c:v>1.6489397216149853</c:v>
                </c:pt>
                <c:pt idx="125">
                  <c:v>1.5519406723073508</c:v>
                </c:pt>
                <c:pt idx="126">
                  <c:v>1.7072340560264903</c:v>
                </c:pt>
                <c:pt idx="127">
                  <c:v>1.7134388392752311</c:v>
                </c:pt>
                <c:pt idx="128">
                  <c:v>1.6893897680636054</c:v>
                </c:pt>
                <c:pt idx="129">
                  <c:v>1.5855822830469857</c:v>
                </c:pt>
                <c:pt idx="130">
                  <c:v>1.6468837497155604</c:v>
                </c:pt>
                <c:pt idx="131">
                  <c:v>1.4733879388910645</c:v>
                </c:pt>
                <c:pt idx="132">
                  <c:v>1.4829356916867427</c:v>
                </c:pt>
                <c:pt idx="133">
                  <c:v>1.5655181975401633</c:v>
                </c:pt>
                <c:pt idx="134">
                  <c:v>1.5478823174183347</c:v>
                </c:pt>
                <c:pt idx="135">
                  <c:v>1.540628245582315</c:v>
                </c:pt>
                <c:pt idx="136">
                  <c:v>1.464512014087797</c:v>
                </c:pt>
                <c:pt idx="137">
                  <c:v>1.3083308592157579</c:v>
                </c:pt>
                <c:pt idx="138">
                  <c:v>1.2756874933921161</c:v>
                </c:pt>
                <c:pt idx="139">
                  <c:v>1.2134097639266237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00-406A-B256-67FA1B7150F6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0.15656102647337156</c:v>
                </c:pt>
                <c:pt idx="2">
                  <c:v>5.9247919909836494E-2</c:v>
                </c:pt>
                <c:pt idx="3">
                  <c:v>-5.4117139255398808E-2</c:v>
                </c:pt>
                <c:pt idx="4">
                  <c:v>-0.13009159388461838</c:v>
                </c:pt>
                <c:pt idx="5">
                  <c:v>-8.9782345738870686E-2</c:v>
                </c:pt>
                <c:pt idx="6">
                  <c:v>6.0183187844845137E-3</c:v>
                </c:pt>
                <c:pt idx="7">
                  <c:v>0.11527510827355102</c:v>
                </c:pt>
                <c:pt idx="8">
                  <c:v>0.14569167883575254</c:v>
                </c:pt>
                <c:pt idx="9">
                  <c:v>0.10405605626012498</c:v>
                </c:pt>
                <c:pt idx="10">
                  <c:v>0.19783390063445727</c:v>
                </c:pt>
                <c:pt idx="11">
                  <c:v>-4.4178709440923725E-2</c:v>
                </c:pt>
                <c:pt idx="12">
                  <c:v>-8.4310663873130506E-2</c:v>
                </c:pt>
                <c:pt idx="13">
                  <c:v>3.48277956956803E-2</c:v>
                </c:pt>
                <c:pt idx="14">
                  <c:v>-8.6779812643576607E-2</c:v>
                </c:pt>
                <c:pt idx="15">
                  <c:v>5.3173702153827204E-2</c:v>
                </c:pt>
                <c:pt idx="16">
                  <c:v>2.6172575367077403E-2</c:v>
                </c:pt>
                <c:pt idx="17">
                  <c:v>-2.3194590122764636E-2</c:v>
                </c:pt>
                <c:pt idx="18">
                  <c:v>-0.12656018348621853</c:v>
                </c:pt>
                <c:pt idx="19">
                  <c:v>-0.11050761991598998</c:v>
                </c:pt>
                <c:pt idx="20">
                  <c:v>5.2993363342386912E-2</c:v>
                </c:pt>
                <c:pt idx="21">
                  <c:v>0.13894774795109324</c:v>
                </c:pt>
                <c:pt idx="22">
                  <c:v>0.10544239589705273</c:v>
                </c:pt>
                <c:pt idx="23">
                  <c:v>0.15397765719211123</c:v>
                </c:pt>
                <c:pt idx="24">
                  <c:v>7.3818597558416216E-2</c:v>
                </c:pt>
                <c:pt idx="25">
                  <c:v>0.15673851048217963</c:v>
                </c:pt>
                <c:pt idx="26">
                  <c:v>0.18397604427116632</c:v>
                </c:pt>
                <c:pt idx="27">
                  <c:v>0.17380375739469633</c:v>
                </c:pt>
                <c:pt idx="28">
                  <c:v>0.20726595347127083</c:v>
                </c:pt>
                <c:pt idx="29">
                  <c:v>0.1899521689966942</c:v>
                </c:pt>
                <c:pt idx="30">
                  <c:v>0.21680355565121159</c:v>
                </c:pt>
                <c:pt idx="31">
                  <c:v>0.19396106807853658</c:v>
                </c:pt>
                <c:pt idx="32">
                  <c:v>0.21380677584177057</c:v>
                </c:pt>
                <c:pt idx="33">
                  <c:v>0.2475944312858217</c:v>
                </c:pt>
                <c:pt idx="34">
                  <c:v>0.24075597252841222</c:v>
                </c:pt>
                <c:pt idx="35">
                  <c:v>0.21356914589058784</c:v>
                </c:pt>
                <c:pt idx="36">
                  <c:v>0.29171517442041461</c:v>
                </c:pt>
                <c:pt idx="37">
                  <c:v>0.44964899699023242</c:v>
                </c:pt>
                <c:pt idx="38">
                  <c:v>0.47778169272654908</c:v>
                </c:pt>
                <c:pt idx="39">
                  <c:v>0.54706418654394195</c:v>
                </c:pt>
                <c:pt idx="40">
                  <c:v>0.54115272162566042</c:v>
                </c:pt>
                <c:pt idx="41">
                  <c:v>0.54502735208061082</c:v>
                </c:pt>
                <c:pt idx="42">
                  <c:v>0.69162391843560911</c:v>
                </c:pt>
                <c:pt idx="43">
                  <c:v>0.68056496661380905</c:v>
                </c:pt>
                <c:pt idx="44">
                  <c:v>0.7951434972189092</c:v>
                </c:pt>
                <c:pt idx="45">
                  <c:v>0.88125434883103959</c:v>
                </c:pt>
                <c:pt idx="46">
                  <c:v>0.94698727764258883</c:v>
                </c:pt>
                <c:pt idx="47">
                  <c:v>0.98574237715391921</c:v>
                </c:pt>
                <c:pt idx="48">
                  <c:v>1.0401474069530003</c:v>
                </c:pt>
                <c:pt idx="49">
                  <c:v>1.0721223536770772</c:v>
                </c:pt>
                <c:pt idx="50">
                  <c:v>1.0472587194399192</c:v>
                </c:pt>
                <c:pt idx="51">
                  <c:v>1.1994906692361975</c:v>
                </c:pt>
                <c:pt idx="52">
                  <c:v>1.2592180843836986</c:v>
                </c:pt>
                <c:pt idx="53">
                  <c:v>1.2530427718520294</c:v>
                </c:pt>
                <c:pt idx="54">
                  <c:v>1.1576210361717429</c:v>
                </c:pt>
                <c:pt idx="55">
                  <c:v>1.1530672773934838</c:v>
                </c:pt>
                <c:pt idx="56">
                  <c:v>1.0848119729850412</c:v>
                </c:pt>
                <c:pt idx="57">
                  <c:v>1.0696444420332749</c:v>
                </c:pt>
                <c:pt idx="58">
                  <c:v>0.95877314400740121</c:v>
                </c:pt>
                <c:pt idx="59">
                  <c:v>0.97007050064141098</c:v>
                </c:pt>
                <c:pt idx="60">
                  <c:v>0.90943573805329214</c:v>
                </c:pt>
                <c:pt idx="61">
                  <c:v>0.82938414249367087</c:v>
                </c:pt>
                <c:pt idx="62">
                  <c:v>0.76987514120826084</c:v>
                </c:pt>
                <c:pt idx="63">
                  <c:v>0.8369182772299788</c:v>
                </c:pt>
                <c:pt idx="64">
                  <c:v>0.85279894344677809</c:v>
                </c:pt>
                <c:pt idx="65">
                  <c:v>1.0156409036001388</c:v>
                </c:pt>
                <c:pt idx="66">
                  <c:v>0.96735510870814678</c:v>
                </c:pt>
                <c:pt idx="67">
                  <c:v>0.98213773898921763</c:v>
                </c:pt>
                <c:pt idx="68">
                  <c:v>0.94169664713950529</c:v>
                </c:pt>
                <c:pt idx="69">
                  <c:v>0.92393275851053946</c:v>
                </c:pt>
                <c:pt idx="70">
                  <c:v>0.83691578919922183</c:v>
                </c:pt>
                <c:pt idx="71">
                  <c:v>0.88252458754341234</c:v>
                </c:pt>
                <c:pt idx="72">
                  <c:v>1.0457573242051197</c:v>
                </c:pt>
                <c:pt idx="73">
                  <c:v>1.048411474392646</c:v>
                </c:pt>
                <c:pt idx="74">
                  <c:v>1.209616366616207</c:v>
                </c:pt>
                <c:pt idx="75">
                  <c:v>1.2729788795658847</c:v>
                </c:pt>
                <c:pt idx="76">
                  <c:v>1.2832696619702759</c:v>
                </c:pt>
                <c:pt idx="77">
                  <c:v>1.3321903846702541</c:v>
                </c:pt>
                <c:pt idx="78">
                  <c:v>1.2454216293785243</c:v>
                </c:pt>
                <c:pt idx="79">
                  <c:v>1.294140927493155</c:v>
                </c:pt>
                <c:pt idx="80">
                  <c:v>1.3818627315800978</c:v>
                </c:pt>
                <c:pt idx="81">
                  <c:v>1.4316843301427582</c:v>
                </c:pt>
                <c:pt idx="82">
                  <c:v>1.6208138581002156</c:v>
                </c:pt>
                <c:pt idx="83">
                  <c:v>1.5771945581702667</c:v>
                </c:pt>
                <c:pt idx="84">
                  <c:v>1.548853117550913</c:v>
                </c:pt>
                <c:pt idx="85">
                  <c:v>1.5838678478656112</c:v>
                </c:pt>
                <c:pt idx="86">
                  <c:v>1.622328212291817</c:v>
                </c:pt>
                <c:pt idx="87">
                  <c:v>1.4495739058375325</c:v>
                </c:pt>
                <c:pt idx="88">
                  <c:v>1.3939625086515768</c:v>
                </c:pt>
                <c:pt idx="89">
                  <c:v>1.6204293084870718</c:v>
                </c:pt>
                <c:pt idx="90">
                  <c:v>1.7943814573533459</c:v>
                </c:pt>
                <c:pt idx="91">
                  <c:v>1.788600467605937</c:v>
                </c:pt>
                <c:pt idx="92">
                  <c:v>1.9269459891418612</c:v>
                </c:pt>
                <c:pt idx="93">
                  <c:v>1.9679957663117771</c:v>
                </c:pt>
                <c:pt idx="94">
                  <c:v>1.9445826871264003</c:v>
                </c:pt>
                <c:pt idx="95">
                  <c:v>1.924298234974992</c:v>
                </c:pt>
                <c:pt idx="96">
                  <c:v>1.9292382747449601</c:v>
                </c:pt>
                <c:pt idx="97">
                  <c:v>1.9519399661078687</c:v>
                </c:pt>
                <c:pt idx="98">
                  <c:v>2.0403982181990572</c:v>
                </c:pt>
                <c:pt idx="99">
                  <c:v>1.9344346130387453</c:v>
                </c:pt>
                <c:pt idx="100">
                  <c:v>1.9265508083190754</c:v>
                </c:pt>
                <c:pt idx="101">
                  <c:v>1.9740542470171094</c:v>
                </c:pt>
                <c:pt idx="102">
                  <c:v>1.9308548765025639</c:v>
                </c:pt>
                <c:pt idx="103">
                  <c:v>1.9763476906150375</c:v>
                </c:pt>
                <c:pt idx="104">
                  <c:v>2.0125650874948762</c:v>
                </c:pt>
                <c:pt idx="105">
                  <c:v>1.6552523518313726</c:v>
                </c:pt>
                <c:pt idx="106">
                  <c:v>1.6052647589135374</c:v>
                </c:pt>
                <c:pt idx="107">
                  <c:v>1.368780858406595</c:v>
                </c:pt>
                <c:pt idx="108">
                  <c:v>1.308589179402327</c:v>
                </c:pt>
                <c:pt idx="109">
                  <c:v>1.3561615689296573</c:v>
                </c:pt>
                <c:pt idx="110">
                  <c:v>1.2843367719046486</c:v>
                </c:pt>
                <c:pt idx="111">
                  <c:v>1.3130945927919933</c:v>
                </c:pt>
                <c:pt idx="112">
                  <c:v>1.3451219770043499</c:v>
                </c:pt>
                <c:pt idx="113">
                  <c:v>1.3771885330036182</c:v>
                </c:pt>
                <c:pt idx="114">
                  <c:v>1.4339448061567874</c:v>
                </c:pt>
                <c:pt idx="115">
                  <c:v>1.3783278396790861</c:v>
                </c:pt>
                <c:pt idx="116">
                  <c:v>1.3924789155463873</c:v>
                </c:pt>
                <c:pt idx="117">
                  <c:v>1.4417308023688078</c:v>
                </c:pt>
                <c:pt idx="118">
                  <c:v>1.4359369949005567</c:v>
                </c:pt>
                <c:pt idx="119">
                  <c:v>1.4922173994361299</c:v>
                </c:pt>
                <c:pt idx="120">
                  <c:v>1.4247990099470957</c:v>
                </c:pt>
                <c:pt idx="121">
                  <c:v>1.403085682936259</c:v>
                </c:pt>
                <c:pt idx="122">
                  <c:v>1.2592312342203056</c:v>
                </c:pt>
                <c:pt idx="123">
                  <c:v>1.4164676012548254</c:v>
                </c:pt>
                <c:pt idx="124">
                  <c:v>1.320243575059123</c:v>
                </c:pt>
                <c:pt idx="125">
                  <c:v>1.2113232695974259</c:v>
                </c:pt>
                <c:pt idx="126">
                  <c:v>1.326102566507241</c:v>
                </c:pt>
                <c:pt idx="127">
                  <c:v>1.3402611581711026</c:v>
                </c:pt>
                <c:pt idx="128">
                  <c:v>1.2994658259439487</c:v>
                </c:pt>
                <c:pt idx="129">
                  <c:v>1.1750254285375246</c:v>
                </c:pt>
                <c:pt idx="130">
                  <c:v>1.268180906830092</c:v>
                </c:pt>
                <c:pt idx="131">
                  <c:v>1.1106358135148853</c:v>
                </c:pt>
                <c:pt idx="132">
                  <c:v>1.1148048180857517</c:v>
                </c:pt>
                <c:pt idx="133">
                  <c:v>1.2149251169952728</c:v>
                </c:pt>
                <c:pt idx="134">
                  <c:v>1.1615542261862326</c:v>
                </c:pt>
                <c:pt idx="135">
                  <c:v>1.1463359454755586</c:v>
                </c:pt>
                <c:pt idx="136">
                  <c:v>1.1002974474855198</c:v>
                </c:pt>
                <c:pt idx="137">
                  <c:v>0.95775523808170859</c:v>
                </c:pt>
                <c:pt idx="138">
                  <c:v>0.9386590361548629</c:v>
                </c:pt>
                <c:pt idx="139">
                  <c:v>0.87296418136082909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00-406A-B256-67FA1B7150F6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0.26838146203108537</c:v>
                </c:pt>
                <c:pt idx="2">
                  <c:v>0.2005016640970641</c:v>
                </c:pt>
                <c:pt idx="3">
                  <c:v>4.5150624731155414E-2</c:v>
                </c:pt>
                <c:pt idx="4">
                  <c:v>-4.409988250930981E-2</c:v>
                </c:pt>
                <c:pt idx="5">
                  <c:v>-8.3745108747266039E-2</c:v>
                </c:pt>
                <c:pt idx="6">
                  <c:v>3.6130690667340759E-2</c:v>
                </c:pt>
                <c:pt idx="7">
                  <c:v>0.11086938330462068</c:v>
                </c:pt>
                <c:pt idx="8">
                  <c:v>0.20022760039548904</c:v>
                </c:pt>
                <c:pt idx="9">
                  <c:v>0.15775056624111228</c:v>
                </c:pt>
                <c:pt idx="10">
                  <c:v>0.30234013511226376</c:v>
                </c:pt>
                <c:pt idx="11">
                  <c:v>-3.7775567867359028E-2</c:v>
                </c:pt>
                <c:pt idx="12">
                  <c:v>-3.6140241097343401E-2</c:v>
                </c:pt>
                <c:pt idx="13">
                  <c:v>6.3433937971761653E-2</c:v>
                </c:pt>
                <c:pt idx="14">
                  <c:v>-0.10064424576436255</c:v>
                </c:pt>
                <c:pt idx="15">
                  <c:v>7.1477195063870944E-2</c:v>
                </c:pt>
                <c:pt idx="16">
                  <c:v>5.0437311710823746E-2</c:v>
                </c:pt>
                <c:pt idx="17">
                  <c:v>4.5274022271838105E-2</c:v>
                </c:pt>
                <c:pt idx="18">
                  <c:v>-8.5414586994134983E-2</c:v>
                </c:pt>
                <c:pt idx="19">
                  <c:v>-4.1182438027476495E-2</c:v>
                </c:pt>
                <c:pt idx="20">
                  <c:v>0.14452979093449253</c:v>
                </c:pt>
                <c:pt idx="21">
                  <c:v>0.25207489587980214</c:v>
                </c:pt>
                <c:pt idx="22">
                  <c:v>0.22187671435852618</c:v>
                </c:pt>
                <c:pt idx="23">
                  <c:v>0.29792102279117216</c:v>
                </c:pt>
                <c:pt idx="24">
                  <c:v>0.22804503268155851</c:v>
                </c:pt>
                <c:pt idx="25">
                  <c:v>0.32369222207133796</c:v>
                </c:pt>
                <c:pt idx="26">
                  <c:v>0.35928049173407905</c:v>
                </c:pt>
                <c:pt idx="27">
                  <c:v>0.35634483391879712</c:v>
                </c:pt>
                <c:pt idx="28">
                  <c:v>0.37671325572374192</c:v>
                </c:pt>
                <c:pt idx="29">
                  <c:v>0.34773202649912333</c:v>
                </c:pt>
                <c:pt idx="30">
                  <c:v>0.38868936454026626</c:v>
                </c:pt>
                <c:pt idx="31">
                  <c:v>0.3712438413970594</c:v>
                </c:pt>
                <c:pt idx="32">
                  <c:v>0.35043181933401651</c:v>
                </c:pt>
                <c:pt idx="33">
                  <c:v>0.32911485282523262</c:v>
                </c:pt>
                <c:pt idx="34">
                  <c:v>0.34084838992870142</c:v>
                </c:pt>
                <c:pt idx="35">
                  <c:v>0.26710398541960501</c:v>
                </c:pt>
                <c:pt idx="36">
                  <c:v>0.35144779775150181</c:v>
                </c:pt>
                <c:pt idx="37">
                  <c:v>0.52673641804913929</c:v>
                </c:pt>
                <c:pt idx="38">
                  <c:v>0.56831253409088212</c:v>
                </c:pt>
                <c:pt idx="39">
                  <c:v>0.67012005332437063</c:v>
                </c:pt>
                <c:pt idx="40">
                  <c:v>0.66626528290042242</c:v>
                </c:pt>
                <c:pt idx="41">
                  <c:v>0.67457307099994135</c:v>
                </c:pt>
                <c:pt idx="42">
                  <c:v>0.88029978218357519</c:v>
                </c:pt>
                <c:pt idx="43">
                  <c:v>0.87297438483454248</c:v>
                </c:pt>
                <c:pt idx="44">
                  <c:v>1.0453692826406766</c:v>
                </c:pt>
                <c:pt idx="45">
                  <c:v>1.1263078153287753</c:v>
                </c:pt>
                <c:pt idx="46">
                  <c:v>1.2369571211857913</c:v>
                </c:pt>
                <c:pt idx="47">
                  <c:v>1.2901329980463339</c:v>
                </c:pt>
                <c:pt idx="48">
                  <c:v>1.3268783792015102</c:v>
                </c:pt>
                <c:pt idx="49">
                  <c:v>1.3536184306613817</c:v>
                </c:pt>
                <c:pt idx="50">
                  <c:v>1.3341314778256679</c:v>
                </c:pt>
                <c:pt idx="51">
                  <c:v>1.4912326303960808</c:v>
                </c:pt>
                <c:pt idx="52">
                  <c:v>1.5608091964222657</c:v>
                </c:pt>
                <c:pt idx="53">
                  <c:v>1.5435456559036504</c:v>
                </c:pt>
                <c:pt idx="54">
                  <c:v>1.4325781206952297</c:v>
                </c:pt>
                <c:pt idx="55">
                  <c:v>1.4237609749831608</c:v>
                </c:pt>
                <c:pt idx="56">
                  <c:v>1.3462719814329316</c:v>
                </c:pt>
                <c:pt idx="57">
                  <c:v>1.2306571007770319</c:v>
                </c:pt>
                <c:pt idx="58">
                  <c:v>1.1561743303706413</c:v>
                </c:pt>
                <c:pt idx="59">
                  <c:v>1.1569464747848901</c:v>
                </c:pt>
                <c:pt idx="60">
                  <c:v>1.0941207992556861</c:v>
                </c:pt>
                <c:pt idx="61">
                  <c:v>1.0163657209592594</c:v>
                </c:pt>
                <c:pt idx="62">
                  <c:v>0.92310849324743482</c:v>
                </c:pt>
                <c:pt idx="63">
                  <c:v>0.93878557433736354</c:v>
                </c:pt>
                <c:pt idx="64">
                  <c:v>0.91297908299620334</c:v>
                </c:pt>
                <c:pt idx="65">
                  <c:v>0.97264333160011562</c:v>
                </c:pt>
                <c:pt idx="66">
                  <c:v>0.9532185476780799</c:v>
                </c:pt>
                <c:pt idx="67">
                  <c:v>0.96248418882209519</c:v>
                </c:pt>
                <c:pt idx="68">
                  <c:v>0.89535825238687139</c:v>
                </c:pt>
                <c:pt idx="69">
                  <c:v>0.83677867437006481</c:v>
                </c:pt>
                <c:pt idx="70">
                  <c:v>0.74647839707542052</c:v>
                </c:pt>
                <c:pt idx="71">
                  <c:v>0.78307238278029734</c:v>
                </c:pt>
                <c:pt idx="72">
                  <c:v>1.0004406918709734</c:v>
                </c:pt>
                <c:pt idx="73">
                  <c:v>0.99163330912769299</c:v>
                </c:pt>
                <c:pt idx="74">
                  <c:v>1.2300459399074768</c:v>
                </c:pt>
                <c:pt idx="75">
                  <c:v>1.1387540844844517</c:v>
                </c:pt>
                <c:pt idx="76">
                  <c:v>1.1714287049780452</c:v>
                </c:pt>
                <c:pt idx="77">
                  <c:v>1.2261962828517268</c:v>
                </c:pt>
                <c:pt idx="78">
                  <c:v>1.0835134094742802</c:v>
                </c:pt>
                <c:pt idx="79">
                  <c:v>1.1415474007813911</c:v>
                </c:pt>
                <c:pt idx="80">
                  <c:v>1.2086627976491096</c:v>
                </c:pt>
                <c:pt idx="81">
                  <c:v>1.2487626398547798</c:v>
                </c:pt>
                <c:pt idx="82">
                  <c:v>1.4630821841748471</c:v>
                </c:pt>
                <c:pt idx="83">
                  <c:v>1.3772058220395467</c:v>
                </c:pt>
                <c:pt idx="84">
                  <c:v>1.3063500516748425</c:v>
                </c:pt>
                <c:pt idx="85">
                  <c:v>1.3362661765647132</c:v>
                </c:pt>
                <c:pt idx="86">
                  <c:v>1.3820517559978829</c:v>
                </c:pt>
                <c:pt idx="87">
                  <c:v>1.193864898914897</c:v>
                </c:pt>
                <c:pt idx="88">
                  <c:v>1.1227981714725566</c:v>
                </c:pt>
                <c:pt idx="89">
                  <c:v>1.3981621520570813</c:v>
                </c:pt>
                <c:pt idx="90">
                  <c:v>1.4739265121995766</c:v>
                </c:pt>
                <c:pt idx="91">
                  <c:v>1.4936539011701637</c:v>
                </c:pt>
                <c:pt idx="92">
                  <c:v>1.6470211566200601</c:v>
                </c:pt>
                <c:pt idx="93">
                  <c:v>1.6950795360544375</c:v>
                </c:pt>
                <c:pt idx="94">
                  <c:v>1.6696733624772016</c:v>
                </c:pt>
                <c:pt idx="95">
                  <c:v>1.6428228526309101</c:v>
                </c:pt>
                <c:pt idx="96">
                  <c:v>1.6547454070699121</c:v>
                </c:pt>
                <c:pt idx="97">
                  <c:v>1.6559893444371427</c:v>
                </c:pt>
                <c:pt idx="98">
                  <c:v>1.7643396555358366</c:v>
                </c:pt>
                <c:pt idx="99">
                  <c:v>1.7338762043262568</c:v>
                </c:pt>
                <c:pt idx="100">
                  <c:v>1.7217726183126463</c:v>
                </c:pt>
                <c:pt idx="101">
                  <c:v>1.7275909573100925</c:v>
                </c:pt>
                <c:pt idx="102">
                  <c:v>1.7048051358389131</c:v>
                </c:pt>
                <c:pt idx="103">
                  <c:v>1.7572663165016773</c:v>
                </c:pt>
                <c:pt idx="104">
                  <c:v>1.8160836061976868</c:v>
                </c:pt>
                <c:pt idx="105">
                  <c:v>1.3288662815897672</c:v>
                </c:pt>
                <c:pt idx="106">
                  <c:v>1.2554115053560209</c:v>
                </c:pt>
                <c:pt idx="107">
                  <c:v>0.99956137168856762</c:v>
                </c:pt>
                <c:pt idx="108">
                  <c:v>0.92229707124332938</c:v>
                </c:pt>
                <c:pt idx="109">
                  <c:v>0.97935607965889493</c:v>
                </c:pt>
                <c:pt idx="110">
                  <c:v>0.88928113860538094</c:v>
                </c:pt>
                <c:pt idx="111">
                  <c:v>0.93251979875499291</c:v>
                </c:pt>
                <c:pt idx="112">
                  <c:v>0.91720166467679964</c:v>
                </c:pt>
                <c:pt idx="113">
                  <c:v>0.94999456168848517</c:v>
                </c:pt>
                <c:pt idx="114">
                  <c:v>0.94029412201481011</c:v>
                </c:pt>
                <c:pt idx="115">
                  <c:v>0.85314089323725595</c:v>
                </c:pt>
                <c:pt idx="116">
                  <c:v>0.91539407710096243</c:v>
                </c:pt>
                <c:pt idx="117">
                  <c:v>0.96421660048061664</c:v>
                </c:pt>
                <c:pt idx="118">
                  <c:v>0.9480711831744979</c:v>
                </c:pt>
                <c:pt idx="119">
                  <c:v>1.0346185792855744</c:v>
                </c:pt>
                <c:pt idx="120">
                  <c:v>0.95498773189871289</c:v>
                </c:pt>
                <c:pt idx="121">
                  <c:v>0.94488773011173144</c:v>
                </c:pt>
                <c:pt idx="122">
                  <c:v>0.7858151590656981</c:v>
                </c:pt>
                <c:pt idx="123">
                  <c:v>0.96331829899449939</c:v>
                </c:pt>
                <c:pt idx="124">
                  <c:v>0.85841381618931978</c:v>
                </c:pt>
                <c:pt idx="125">
                  <c:v>0.73623967866175133</c:v>
                </c:pt>
                <c:pt idx="126">
                  <c:v>0.91161889281118857</c:v>
                </c:pt>
                <c:pt idx="127">
                  <c:v>0.91954473883816945</c:v>
                </c:pt>
                <c:pt idx="128">
                  <c:v>0.8704745137880685</c:v>
                </c:pt>
                <c:pt idx="129">
                  <c:v>0.73479871624341486</c:v>
                </c:pt>
                <c:pt idx="130">
                  <c:v>0.81176318198175235</c:v>
                </c:pt>
                <c:pt idx="131">
                  <c:v>0.64325298265376918</c:v>
                </c:pt>
                <c:pt idx="132">
                  <c:v>0.64520898404161098</c:v>
                </c:pt>
                <c:pt idx="133">
                  <c:v>0.75021518511705965</c:v>
                </c:pt>
                <c:pt idx="134">
                  <c:v>0.73254578013970917</c:v>
                </c:pt>
                <c:pt idx="135">
                  <c:v>0.71257071785217718</c:v>
                </c:pt>
                <c:pt idx="136">
                  <c:v>0.64803357604798117</c:v>
                </c:pt>
                <c:pt idx="137">
                  <c:v>0.51619244303987633</c:v>
                </c:pt>
                <c:pt idx="138">
                  <c:v>0.44838738038153975</c:v>
                </c:pt>
                <c:pt idx="139">
                  <c:v>0.36893329295670463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00-406A-B256-67FA1B7150F6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0.17447035905421257</c:v>
                </c:pt>
                <c:pt idx="2">
                  <c:v>8.7230269317993436E-2</c:v>
                </c:pt>
                <c:pt idx="3">
                  <c:v>-0.10984770715164185</c:v>
                </c:pt>
                <c:pt idx="4">
                  <c:v>-0.13316144943977665</c:v>
                </c:pt>
                <c:pt idx="5">
                  <c:v>-0.13241023242474725</c:v>
                </c:pt>
                <c:pt idx="6">
                  <c:v>-1.6583220171462465E-3</c:v>
                </c:pt>
                <c:pt idx="7">
                  <c:v>0.16196743529699045</c:v>
                </c:pt>
                <c:pt idx="8">
                  <c:v>0.1976802112914281</c:v>
                </c:pt>
                <c:pt idx="9">
                  <c:v>0.14424636299200833</c:v>
                </c:pt>
                <c:pt idx="10">
                  <c:v>0.43146089987694414</c:v>
                </c:pt>
                <c:pt idx="11">
                  <c:v>0.54242463398445429</c:v>
                </c:pt>
                <c:pt idx="12">
                  <c:v>0.56678336454170408</c:v>
                </c:pt>
                <c:pt idx="13">
                  <c:v>0.6880634134588598</c:v>
                </c:pt>
                <c:pt idx="14">
                  <c:v>0.43779927794497592</c:v>
                </c:pt>
                <c:pt idx="15">
                  <c:v>0.43621682472882028</c:v>
                </c:pt>
                <c:pt idx="16">
                  <c:v>0.43742150718356465</c:v>
                </c:pt>
                <c:pt idx="17">
                  <c:v>0.45610505673425777</c:v>
                </c:pt>
                <c:pt idx="18">
                  <c:v>0.33767293069878906</c:v>
                </c:pt>
                <c:pt idx="19">
                  <c:v>0.40048004772161483</c:v>
                </c:pt>
                <c:pt idx="20">
                  <c:v>0.61091714254797358</c:v>
                </c:pt>
                <c:pt idx="21">
                  <c:v>0.70707775345740587</c:v>
                </c:pt>
                <c:pt idx="22">
                  <c:v>0.62864572519384809</c:v>
                </c:pt>
                <c:pt idx="23">
                  <c:v>0.70766021402882506</c:v>
                </c:pt>
                <c:pt idx="24">
                  <c:v>0.61355264124593689</c:v>
                </c:pt>
                <c:pt idx="25">
                  <c:v>0.67608552717792325</c:v>
                </c:pt>
                <c:pt idx="26">
                  <c:v>0.7204645801652888</c:v>
                </c:pt>
                <c:pt idx="27">
                  <c:v>0.73092075766434739</c:v>
                </c:pt>
                <c:pt idx="28">
                  <c:v>0.70143136969222264</c:v>
                </c:pt>
                <c:pt idx="29">
                  <c:v>0.6874385389017682</c:v>
                </c:pt>
                <c:pt idx="30">
                  <c:v>0.68486235562139031</c:v>
                </c:pt>
                <c:pt idx="31">
                  <c:v>0.64831459787594459</c:v>
                </c:pt>
                <c:pt idx="32">
                  <c:v>0.60469644117618282</c:v>
                </c:pt>
                <c:pt idx="33">
                  <c:v>0.57525112029396475</c:v>
                </c:pt>
                <c:pt idx="34">
                  <c:v>0.55020491814964068</c:v>
                </c:pt>
                <c:pt idx="35">
                  <c:v>0.45622745425124211</c:v>
                </c:pt>
                <c:pt idx="36">
                  <c:v>0.56819908224350035</c:v>
                </c:pt>
                <c:pt idx="37">
                  <c:v>0.77332300215977179</c:v>
                </c:pt>
                <c:pt idx="38">
                  <c:v>0.83429811729410897</c:v>
                </c:pt>
                <c:pt idx="39">
                  <c:v>0.95118839616690876</c:v>
                </c:pt>
                <c:pt idx="40">
                  <c:v>0.9240746183894113</c:v>
                </c:pt>
                <c:pt idx="41">
                  <c:v>0.95340918211394921</c:v>
                </c:pt>
                <c:pt idx="42">
                  <c:v>1.1349925670856362</c:v>
                </c:pt>
                <c:pt idx="43">
                  <c:v>1.1198315096698452</c:v>
                </c:pt>
                <c:pt idx="44">
                  <c:v>1.2097910335150375</c:v>
                </c:pt>
                <c:pt idx="45">
                  <c:v>1.2361315433028472</c:v>
                </c:pt>
                <c:pt idx="46">
                  <c:v>1.3818802385126163</c:v>
                </c:pt>
                <c:pt idx="47">
                  <c:v>1.4489826960830499</c:v>
                </c:pt>
                <c:pt idx="48">
                  <c:v>1.433075349246548</c:v>
                </c:pt>
                <c:pt idx="49">
                  <c:v>1.4664710560464687</c:v>
                </c:pt>
                <c:pt idx="50">
                  <c:v>1.4336675364397562</c:v>
                </c:pt>
                <c:pt idx="51">
                  <c:v>1.6124612318000171</c:v>
                </c:pt>
                <c:pt idx="52">
                  <c:v>1.5757895881840014</c:v>
                </c:pt>
                <c:pt idx="53">
                  <c:v>1.5555176258246546</c:v>
                </c:pt>
                <c:pt idx="54">
                  <c:v>1.3961834156568078</c:v>
                </c:pt>
                <c:pt idx="55">
                  <c:v>1.3592098487464077</c:v>
                </c:pt>
                <c:pt idx="56">
                  <c:v>1.286015299333797</c:v>
                </c:pt>
                <c:pt idx="57">
                  <c:v>1.1972793935045827</c:v>
                </c:pt>
                <c:pt idx="58">
                  <c:v>1.1307455728720912</c:v>
                </c:pt>
                <c:pt idx="59">
                  <c:v>1.1449869614597046</c:v>
                </c:pt>
                <c:pt idx="60">
                  <c:v>1.1106462653264804</c:v>
                </c:pt>
                <c:pt idx="61">
                  <c:v>1.0244346808860039</c:v>
                </c:pt>
                <c:pt idx="62">
                  <c:v>0.83441512900562675</c:v>
                </c:pt>
                <c:pt idx="63">
                  <c:v>0.84822137085908345</c:v>
                </c:pt>
                <c:pt idx="64">
                  <c:v>0.80797695561779725</c:v>
                </c:pt>
                <c:pt idx="65">
                  <c:v>0.87761440352624198</c:v>
                </c:pt>
                <c:pt idx="66">
                  <c:v>0.86242764894579238</c:v>
                </c:pt>
                <c:pt idx="67">
                  <c:v>0.89990065634096905</c:v>
                </c:pt>
                <c:pt idx="68">
                  <c:v>0.79810399909865759</c:v>
                </c:pt>
                <c:pt idx="69">
                  <c:v>0.73653281098551482</c:v>
                </c:pt>
                <c:pt idx="70">
                  <c:v>0.66036670463130265</c:v>
                </c:pt>
                <c:pt idx="71">
                  <c:v>0.69589990425100279</c:v>
                </c:pt>
                <c:pt idx="72">
                  <c:v>0.91064412904726633</c:v>
                </c:pt>
                <c:pt idx="73">
                  <c:v>0.92311790977177088</c:v>
                </c:pt>
                <c:pt idx="74">
                  <c:v>1.1817530081336112</c:v>
                </c:pt>
                <c:pt idx="75">
                  <c:v>0.96434896579100138</c:v>
                </c:pt>
                <c:pt idx="76">
                  <c:v>1.0610507710211545</c:v>
                </c:pt>
                <c:pt idx="77">
                  <c:v>1.0601865142364131</c:v>
                </c:pt>
                <c:pt idx="78">
                  <c:v>0.87931644355307137</c:v>
                </c:pt>
                <c:pt idx="79">
                  <c:v>0.90418701306264815</c:v>
                </c:pt>
                <c:pt idx="80">
                  <c:v>0.94248959284047062</c:v>
                </c:pt>
                <c:pt idx="81">
                  <c:v>0.96829547835199814</c:v>
                </c:pt>
                <c:pt idx="82">
                  <c:v>1.1367739422236467</c:v>
                </c:pt>
                <c:pt idx="83">
                  <c:v>1.1808967119225016</c:v>
                </c:pt>
                <c:pt idx="84">
                  <c:v>1.1312351327093295</c:v>
                </c:pt>
                <c:pt idx="85">
                  <c:v>1.1709483728215522</c:v>
                </c:pt>
                <c:pt idx="86">
                  <c:v>1.2073784959512703</c:v>
                </c:pt>
                <c:pt idx="87">
                  <c:v>1.0579691395717008</c:v>
                </c:pt>
                <c:pt idx="88">
                  <c:v>1.0408959039015644</c:v>
                </c:pt>
                <c:pt idx="89">
                  <c:v>1.1788351855004109</c:v>
                </c:pt>
                <c:pt idx="90">
                  <c:v>1.2539640443711226</c:v>
                </c:pt>
                <c:pt idx="91">
                  <c:v>1.2789035405798683</c:v>
                </c:pt>
                <c:pt idx="92">
                  <c:v>1.4627954894279986</c:v>
                </c:pt>
                <c:pt idx="93">
                  <c:v>1.4819004709048749</c:v>
                </c:pt>
                <c:pt idx="94">
                  <c:v>1.4594005182494096</c:v>
                </c:pt>
                <c:pt idx="95">
                  <c:v>1.4082445414702214</c:v>
                </c:pt>
                <c:pt idx="96">
                  <c:v>1.3877782574534334</c:v>
                </c:pt>
                <c:pt idx="97">
                  <c:v>1.3650742574708608</c:v>
                </c:pt>
                <c:pt idx="98">
                  <c:v>1.4992644554369852</c:v>
                </c:pt>
                <c:pt idx="99">
                  <c:v>1.4449271629930427</c:v>
                </c:pt>
                <c:pt idx="100">
                  <c:v>1.4108368797769852</c:v>
                </c:pt>
                <c:pt idx="101">
                  <c:v>1.3359023085055508</c:v>
                </c:pt>
                <c:pt idx="102">
                  <c:v>1.2723154967487924</c:v>
                </c:pt>
                <c:pt idx="103">
                  <c:v>1.3454332148345431</c:v>
                </c:pt>
                <c:pt idx="104">
                  <c:v>1.4039922353618071</c:v>
                </c:pt>
                <c:pt idx="105">
                  <c:v>0.70157643578729378</c:v>
                </c:pt>
                <c:pt idx="106">
                  <c:v>0.60283007514854936</c:v>
                </c:pt>
                <c:pt idx="107">
                  <c:v>0.26836585673342017</c:v>
                </c:pt>
                <c:pt idx="108">
                  <c:v>0.20464961215191402</c:v>
                </c:pt>
                <c:pt idx="109">
                  <c:v>0.275246773032432</c:v>
                </c:pt>
                <c:pt idx="110">
                  <c:v>0.17572327501379126</c:v>
                </c:pt>
                <c:pt idx="111">
                  <c:v>0.24936392529697998</c:v>
                </c:pt>
                <c:pt idx="112">
                  <c:v>0.22777627821279953</c:v>
                </c:pt>
                <c:pt idx="113">
                  <c:v>0.242630188128762</c:v>
                </c:pt>
                <c:pt idx="114">
                  <c:v>0.22097742020396224</c:v>
                </c:pt>
                <c:pt idx="115">
                  <c:v>0.16702048504490091</c:v>
                </c:pt>
                <c:pt idx="116">
                  <c:v>0.23521228133053104</c:v>
                </c:pt>
                <c:pt idx="117">
                  <c:v>0.25859563149426718</c:v>
                </c:pt>
                <c:pt idx="118">
                  <c:v>0.21240345629290669</c:v>
                </c:pt>
                <c:pt idx="119">
                  <c:v>0.31545870113240748</c:v>
                </c:pt>
                <c:pt idx="120">
                  <c:v>0.18262976140586168</c:v>
                </c:pt>
                <c:pt idx="121">
                  <c:v>0.17494882138616841</c:v>
                </c:pt>
                <c:pt idx="122">
                  <c:v>8.1750549718006785E-2</c:v>
                </c:pt>
                <c:pt idx="123">
                  <c:v>0.29140527099191299</c:v>
                </c:pt>
                <c:pt idx="124">
                  <c:v>0.15288911072748518</c:v>
                </c:pt>
                <c:pt idx="125">
                  <c:v>2.9420039549042085E-2</c:v>
                </c:pt>
                <c:pt idx="126">
                  <c:v>0.28605021417894572</c:v>
                </c:pt>
                <c:pt idx="127">
                  <c:v>0.31078855191736793</c:v>
                </c:pt>
                <c:pt idx="128">
                  <c:v>0.2464627003388514</c:v>
                </c:pt>
                <c:pt idx="129">
                  <c:v>0.11357878801582369</c:v>
                </c:pt>
                <c:pt idx="130">
                  <c:v>0.22037748441009589</c:v>
                </c:pt>
                <c:pt idx="131">
                  <c:v>9.6311013015708186E-2</c:v>
                </c:pt>
                <c:pt idx="132">
                  <c:v>9.8541119701531593E-2</c:v>
                </c:pt>
                <c:pt idx="133">
                  <c:v>0.20819496332188708</c:v>
                </c:pt>
                <c:pt idx="134">
                  <c:v>0.16117366168205713</c:v>
                </c:pt>
                <c:pt idx="135">
                  <c:v>0.19000392248817755</c:v>
                </c:pt>
                <c:pt idx="136">
                  <c:v>0.13957471850076134</c:v>
                </c:pt>
                <c:pt idx="137">
                  <c:v>3.4496378127415531E-2</c:v>
                </c:pt>
                <c:pt idx="138">
                  <c:v>4.1571514120404357E-2</c:v>
                </c:pt>
                <c:pt idx="139">
                  <c:v>-8.1962913175631244E-2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00-406A-B256-67FA1B7150F6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0.19361452961984488</c:v>
                </c:pt>
                <c:pt idx="2">
                  <c:v>0.12943975068327271</c:v>
                </c:pt>
                <c:pt idx="3">
                  <c:v>-6.2477010067909594E-2</c:v>
                </c:pt>
                <c:pt idx="4">
                  <c:v>1.8235176020108462E-2</c:v>
                </c:pt>
                <c:pt idx="5">
                  <c:v>4.6705178623793892E-5</c:v>
                </c:pt>
                <c:pt idx="6">
                  <c:v>0.13604445635464188</c:v>
                </c:pt>
                <c:pt idx="7">
                  <c:v>0.21501242569382639</c:v>
                </c:pt>
                <c:pt idx="8">
                  <c:v>0.26902272420822027</c:v>
                </c:pt>
                <c:pt idx="9">
                  <c:v>0.17886223900329851</c:v>
                </c:pt>
                <c:pt idx="10">
                  <c:v>0.63990494813711085</c:v>
                </c:pt>
                <c:pt idx="11">
                  <c:v>0.74623749119343663</c:v>
                </c:pt>
                <c:pt idx="12">
                  <c:v>0.78050205043806153</c:v>
                </c:pt>
                <c:pt idx="13">
                  <c:v>0.95538000820114677</c:v>
                </c:pt>
                <c:pt idx="14">
                  <c:v>1.1203336391178256</c:v>
                </c:pt>
                <c:pt idx="15">
                  <c:v>1.1328043520598847</c:v>
                </c:pt>
                <c:pt idx="16">
                  <c:v>1.1216509945022544</c:v>
                </c:pt>
                <c:pt idx="17">
                  <c:v>1.0750243440096852</c:v>
                </c:pt>
                <c:pt idx="18">
                  <c:v>0.89471661787984424</c:v>
                </c:pt>
                <c:pt idx="19">
                  <c:v>0.96664298119060721</c:v>
                </c:pt>
                <c:pt idx="20">
                  <c:v>1.283449371924285</c:v>
                </c:pt>
                <c:pt idx="21">
                  <c:v>1.3915232990736039</c:v>
                </c:pt>
                <c:pt idx="22">
                  <c:v>1.3435048433412671</c:v>
                </c:pt>
                <c:pt idx="23">
                  <c:v>1.4171936837797741</c:v>
                </c:pt>
                <c:pt idx="24">
                  <c:v>1.3204201938649649</c:v>
                </c:pt>
                <c:pt idx="25">
                  <c:v>1.3362458307055765</c:v>
                </c:pt>
                <c:pt idx="26">
                  <c:v>1.2758867910572491</c:v>
                </c:pt>
                <c:pt idx="27">
                  <c:v>1.3201687770198762</c:v>
                </c:pt>
                <c:pt idx="28">
                  <c:v>1.090472303633695</c:v>
                </c:pt>
                <c:pt idx="29">
                  <c:v>1.083616924426726</c:v>
                </c:pt>
                <c:pt idx="30">
                  <c:v>0.99309331297266801</c:v>
                </c:pt>
                <c:pt idx="31">
                  <c:v>0.96473300253834859</c:v>
                </c:pt>
                <c:pt idx="32">
                  <c:v>0.8055830705917939</c:v>
                </c:pt>
                <c:pt idx="33">
                  <c:v>0.78786380678877899</c:v>
                </c:pt>
                <c:pt idx="34">
                  <c:v>0.73288142645924181</c:v>
                </c:pt>
                <c:pt idx="35">
                  <c:v>0.61497407165912676</c:v>
                </c:pt>
                <c:pt idx="36">
                  <c:v>0.67275362850059151</c:v>
                </c:pt>
                <c:pt idx="37">
                  <c:v>0.88625867295274663</c:v>
                </c:pt>
                <c:pt idx="38">
                  <c:v>0.88862039177438468</c:v>
                </c:pt>
                <c:pt idx="39">
                  <c:v>1.0538867641078769</c:v>
                </c:pt>
                <c:pt idx="40">
                  <c:v>0.99688150122015817</c:v>
                </c:pt>
                <c:pt idx="41">
                  <c:v>1.0151817575769826</c:v>
                </c:pt>
                <c:pt idx="42">
                  <c:v>1.1000500516586893</c:v>
                </c:pt>
                <c:pt idx="43">
                  <c:v>1.101170189500364</c:v>
                </c:pt>
                <c:pt idx="44">
                  <c:v>1.1973923103130171</c:v>
                </c:pt>
                <c:pt idx="45">
                  <c:v>1.1140054401255435</c:v>
                </c:pt>
                <c:pt idx="46">
                  <c:v>1.2125858678329338</c:v>
                </c:pt>
                <c:pt idx="47">
                  <c:v>1.3478514039136444</c:v>
                </c:pt>
                <c:pt idx="48">
                  <c:v>1.600511287280554</c:v>
                </c:pt>
                <c:pt idx="49">
                  <c:v>1.6325251407846137</c:v>
                </c:pt>
                <c:pt idx="50">
                  <c:v>1.5956087755668211</c:v>
                </c:pt>
                <c:pt idx="51">
                  <c:v>1.9781699820207321</c:v>
                </c:pt>
                <c:pt idx="52">
                  <c:v>1.9652957762567984</c:v>
                </c:pt>
                <c:pt idx="53">
                  <c:v>1.9739841944062304</c:v>
                </c:pt>
                <c:pt idx="54">
                  <c:v>1.8344288891494249</c:v>
                </c:pt>
                <c:pt idx="55">
                  <c:v>1.8108087132795563</c:v>
                </c:pt>
                <c:pt idx="56">
                  <c:v>1.7247201594184651</c:v>
                </c:pt>
                <c:pt idx="57">
                  <c:v>1.6218166169581349</c:v>
                </c:pt>
                <c:pt idx="58">
                  <c:v>1.5285655971461802</c:v>
                </c:pt>
                <c:pt idx="59">
                  <c:v>1.4324600353094765</c:v>
                </c:pt>
                <c:pt idx="60">
                  <c:v>1.4230735563116845</c:v>
                </c:pt>
                <c:pt idx="61">
                  <c:v>1.3069035663309798</c:v>
                </c:pt>
                <c:pt idx="62">
                  <c:v>1.4931535678577967</c:v>
                </c:pt>
                <c:pt idx="63">
                  <c:v>1.5121593514771747</c:v>
                </c:pt>
                <c:pt idx="64">
                  <c:v>1.5604506444276456</c:v>
                </c:pt>
                <c:pt idx="65">
                  <c:v>1.5830777672762977</c:v>
                </c:pt>
                <c:pt idx="66">
                  <c:v>1.5825542467764182</c:v>
                </c:pt>
                <c:pt idx="67">
                  <c:v>1.6046688464616767</c:v>
                </c:pt>
                <c:pt idx="68">
                  <c:v>1.5304648608281195</c:v>
                </c:pt>
                <c:pt idx="69">
                  <c:v>1.5217763557147306</c:v>
                </c:pt>
                <c:pt idx="70">
                  <c:v>1.344939748516061</c:v>
                </c:pt>
                <c:pt idx="71">
                  <c:v>1.3727976704704465</c:v>
                </c:pt>
                <c:pt idx="72">
                  <c:v>1.5587260828346861</c:v>
                </c:pt>
                <c:pt idx="73">
                  <c:v>1.5592720709582877</c:v>
                </c:pt>
                <c:pt idx="74">
                  <c:v>1.8048365555859451</c:v>
                </c:pt>
                <c:pt idx="75">
                  <c:v>1.3537876538147513</c:v>
                </c:pt>
                <c:pt idx="76">
                  <c:v>1.4135159009878915</c:v>
                </c:pt>
                <c:pt idx="77">
                  <c:v>1.4552378094739464</c:v>
                </c:pt>
                <c:pt idx="78">
                  <c:v>1.159470355113615</c:v>
                </c:pt>
                <c:pt idx="79">
                  <c:v>1.1652256787861537</c:v>
                </c:pt>
                <c:pt idx="80">
                  <c:v>1.1834496186247978</c:v>
                </c:pt>
                <c:pt idx="81">
                  <c:v>1.2033468419315207</c:v>
                </c:pt>
                <c:pt idx="82">
                  <c:v>1.3858703078678183</c:v>
                </c:pt>
                <c:pt idx="83">
                  <c:v>1.3270789391356599</c:v>
                </c:pt>
                <c:pt idx="84">
                  <c:v>1.1534995125817193</c:v>
                </c:pt>
                <c:pt idx="85">
                  <c:v>1.1911662765129671</c:v>
                </c:pt>
                <c:pt idx="86">
                  <c:v>1.2214148895402244</c:v>
                </c:pt>
                <c:pt idx="87">
                  <c:v>1.150736411453595</c:v>
                </c:pt>
                <c:pt idx="88">
                  <c:v>1.1276203287039099</c:v>
                </c:pt>
                <c:pt idx="89">
                  <c:v>1.0366956165543399</c:v>
                </c:pt>
                <c:pt idx="90">
                  <c:v>1.1034938850955303</c:v>
                </c:pt>
                <c:pt idx="91">
                  <c:v>1.0991320203423411</c:v>
                </c:pt>
                <c:pt idx="92">
                  <c:v>1.428639651234306</c:v>
                </c:pt>
                <c:pt idx="93">
                  <c:v>1.4522617134299158</c:v>
                </c:pt>
                <c:pt idx="94">
                  <c:v>1.3905016653076423</c:v>
                </c:pt>
                <c:pt idx="95">
                  <c:v>1.3172952661635786</c:v>
                </c:pt>
                <c:pt idx="96">
                  <c:v>1.2802276392567773</c:v>
                </c:pt>
                <c:pt idx="97">
                  <c:v>1.2367333263865712</c:v>
                </c:pt>
                <c:pt idx="98">
                  <c:v>1.3579736188881719</c:v>
                </c:pt>
                <c:pt idx="99">
                  <c:v>1.2635850001571567</c:v>
                </c:pt>
                <c:pt idx="100">
                  <c:v>1.1961071420835518</c:v>
                </c:pt>
                <c:pt idx="101">
                  <c:v>1.1410027557844964</c:v>
                </c:pt>
                <c:pt idx="102">
                  <c:v>1.0951339555711115</c:v>
                </c:pt>
                <c:pt idx="103">
                  <c:v>1.1664458917180442</c:v>
                </c:pt>
                <c:pt idx="104">
                  <c:v>1.1827998974614045</c:v>
                </c:pt>
                <c:pt idx="105">
                  <c:v>1.2800118105918157</c:v>
                </c:pt>
                <c:pt idx="106">
                  <c:v>1.2015039940876648</c:v>
                </c:pt>
                <c:pt idx="107">
                  <c:v>0.92251308910645591</c:v>
                </c:pt>
                <c:pt idx="108">
                  <c:v>0.82446079039113851</c:v>
                </c:pt>
                <c:pt idx="109">
                  <c:v>0.91217074135888809</c:v>
                </c:pt>
                <c:pt idx="110">
                  <c:v>0.79380024834789675</c:v>
                </c:pt>
                <c:pt idx="111">
                  <c:v>0.90084601345074145</c:v>
                </c:pt>
                <c:pt idx="112">
                  <c:v>0.96487656221468043</c:v>
                </c:pt>
                <c:pt idx="113">
                  <c:v>0.95004717072909162</c:v>
                </c:pt>
                <c:pt idx="114">
                  <c:v>0.92423683731716244</c:v>
                </c:pt>
                <c:pt idx="115">
                  <c:v>0.89565803288598667</c:v>
                </c:pt>
                <c:pt idx="116">
                  <c:v>0.98458410819348319</c:v>
                </c:pt>
                <c:pt idx="117">
                  <c:v>1.0903656865623217</c:v>
                </c:pt>
                <c:pt idx="118">
                  <c:v>1.0644341622613065</c:v>
                </c:pt>
                <c:pt idx="119">
                  <c:v>1.2125175840239877</c:v>
                </c:pt>
                <c:pt idx="120">
                  <c:v>1.1038037724401535</c:v>
                </c:pt>
                <c:pt idx="121">
                  <c:v>1.0495533117715408</c:v>
                </c:pt>
                <c:pt idx="122">
                  <c:v>0.96412250433753111</c:v>
                </c:pt>
                <c:pt idx="123">
                  <c:v>1.0823337555560351</c:v>
                </c:pt>
                <c:pt idx="124">
                  <c:v>1.2095046743572322</c:v>
                </c:pt>
                <c:pt idx="125">
                  <c:v>0.99026650015142703</c:v>
                </c:pt>
                <c:pt idx="126">
                  <c:v>1.2087023343670555</c:v>
                </c:pt>
                <c:pt idx="127">
                  <c:v>1.1724206181429939</c:v>
                </c:pt>
                <c:pt idx="128">
                  <c:v>1.0435629231294363</c:v>
                </c:pt>
                <c:pt idx="129">
                  <c:v>0.92623053532447241</c:v>
                </c:pt>
                <c:pt idx="130">
                  <c:v>1.127355787130387</c:v>
                </c:pt>
                <c:pt idx="131">
                  <c:v>0.9859943613468829</c:v>
                </c:pt>
                <c:pt idx="132">
                  <c:v>0.95112574908697189</c:v>
                </c:pt>
                <c:pt idx="133">
                  <c:v>1.079444344969007</c:v>
                </c:pt>
                <c:pt idx="134">
                  <c:v>0.95882458735913634</c:v>
                </c:pt>
                <c:pt idx="135">
                  <c:v>0.97670748332724411</c:v>
                </c:pt>
                <c:pt idx="136">
                  <c:v>0.98430189858419415</c:v>
                </c:pt>
                <c:pt idx="137">
                  <c:v>0.89748457437951668</c:v>
                </c:pt>
                <c:pt idx="138">
                  <c:v>0.92699312548004464</c:v>
                </c:pt>
                <c:pt idx="139">
                  <c:v>0.90209346928419676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600-406A-B256-67FA1B7150F6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0.2341991536477403</c:v>
                </c:pt>
                <c:pt idx="2">
                  <c:v>0.22072375081199866</c:v>
                </c:pt>
                <c:pt idx="3">
                  <c:v>0.23422443803090118</c:v>
                </c:pt>
                <c:pt idx="4">
                  <c:v>0.20586921227577581</c:v>
                </c:pt>
                <c:pt idx="5">
                  <c:v>0.15575374448229309</c:v>
                </c:pt>
                <c:pt idx="6">
                  <c:v>0.25393743913333788</c:v>
                </c:pt>
                <c:pt idx="7">
                  <c:v>0.35959993274906826</c:v>
                </c:pt>
                <c:pt idx="8">
                  <c:v>0.31542871443593079</c:v>
                </c:pt>
                <c:pt idx="9">
                  <c:v>0.19597035588812117</c:v>
                </c:pt>
                <c:pt idx="10">
                  <c:v>1.1104719180004556</c:v>
                </c:pt>
                <c:pt idx="11">
                  <c:v>1.0776951870101252</c:v>
                </c:pt>
                <c:pt idx="12">
                  <c:v>1.0873029026003003</c:v>
                </c:pt>
                <c:pt idx="13">
                  <c:v>1.0890391914646476</c:v>
                </c:pt>
                <c:pt idx="14">
                  <c:v>1.1399750376421545</c:v>
                </c:pt>
                <c:pt idx="15">
                  <c:v>1.2875426226685327</c:v>
                </c:pt>
                <c:pt idx="16">
                  <c:v>1.2432134244380026</c:v>
                </c:pt>
                <c:pt idx="17">
                  <c:v>1.0731244360796826</c:v>
                </c:pt>
                <c:pt idx="18">
                  <c:v>0.79475878309544012</c:v>
                </c:pt>
                <c:pt idx="19">
                  <c:v>0.90354770385527017</c:v>
                </c:pt>
                <c:pt idx="20">
                  <c:v>0.97528982911560669</c:v>
                </c:pt>
                <c:pt idx="21">
                  <c:v>1.1088212217401292</c:v>
                </c:pt>
                <c:pt idx="22">
                  <c:v>1.0396064252278843</c:v>
                </c:pt>
                <c:pt idx="23">
                  <c:v>1.0525395342399044</c:v>
                </c:pt>
                <c:pt idx="24">
                  <c:v>0.99694351417056415</c:v>
                </c:pt>
                <c:pt idx="25">
                  <c:v>1.192283136845808</c:v>
                </c:pt>
                <c:pt idx="26">
                  <c:v>1.1998817790240282</c:v>
                </c:pt>
                <c:pt idx="27">
                  <c:v>1.1759940749659923</c:v>
                </c:pt>
                <c:pt idx="28">
                  <c:v>0.58774505033977753</c:v>
                </c:pt>
                <c:pt idx="29">
                  <c:v>0.63907054456668932</c:v>
                </c:pt>
                <c:pt idx="30">
                  <c:v>0.4880015312768391</c:v>
                </c:pt>
                <c:pt idx="31">
                  <c:v>0.40511387147107147</c:v>
                </c:pt>
                <c:pt idx="32">
                  <c:v>0.41292814321022164</c:v>
                </c:pt>
                <c:pt idx="33">
                  <c:v>0.33203689921084623</c:v>
                </c:pt>
                <c:pt idx="34">
                  <c:v>0.29611471187841776</c:v>
                </c:pt>
                <c:pt idx="35">
                  <c:v>1.1661341783009371E-2</c:v>
                </c:pt>
                <c:pt idx="36">
                  <c:v>6.9079807134136105E-3</c:v>
                </c:pt>
                <c:pt idx="37">
                  <c:v>0.14196403205115962</c:v>
                </c:pt>
                <c:pt idx="38">
                  <c:v>0.15729839605126614</c:v>
                </c:pt>
                <c:pt idx="39">
                  <c:v>0.32178508520918647</c:v>
                </c:pt>
                <c:pt idx="40">
                  <c:v>0.29218669038446438</c:v>
                </c:pt>
                <c:pt idx="41">
                  <c:v>0.30899443647068403</c:v>
                </c:pt>
                <c:pt idx="42">
                  <c:v>0.34055248673650168</c:v>
                </c:pt>
                <c:pt idx="43">
                  <c:v>0.27036292457503641</c:v>
                </c:pt>
                <c:pt idx="44">
                  <c:v>0.22091464916105527</c:v>
                </c:pt>
                <c:pt idx="45">
                  <c:v>0.13376269697415938</c:v>
                </c:pt>
                <c:pt idx="46">
                  <c:v>0.21127668255346116</c:v>
                </c:pt>
                <c:pt idx="47">
                  <c:v>0.18339284439331657</c:v>
                </c:pt>
                <c:pt idx="48">
                  <c:v>0.62686628612981576</c:v>
                </c:pt>
                <c:pt idx="49">
                  <c:v>0.62423930175219633</c:v>
                </c:pt>
                <c:pt idx="50">
                  <c:v>0.58764741719468816</c:v>
                </c:pt>
                <c:pt idx="51">
                  <c:v>1.298057963889748</c:v>
                </c:pt>
                <c:pt idx="52">
                  <c:v>1.3937329269492384</c:v>
                </c:pt>
                <c:pt idx="53">
                  <c:v>1.3751018928623746</c:v>
                </c:pt>
                <c:pt idx="54">
                  <c:v>1.1522893595771198</c:v>
                </c:pt>
                <c:pt idx="55">
                  <c:v>1.0218465556776932</c:v>
                </c:pt>
                <c:pt idx="56">
                  <c:v>0.84522301999837635</c:v>
                </c:pt>
                <c:pt idx="57">
                  <c:v>0.62519094414636878</c:v>
                </c:pt>
                <c:pt idx="58">
                  <c:v>0.33042501680618286</c:v>
                </c:pt>
                <c:pt idx="59">
                  <c:v>0.28366325089814365</c:v>
                </c:pt>
                <c:pt idx="60">
                  <c:v>0.24529752765945464</c:v>
                </c:pt>
                <c:pt idx="61">
                  <c:v>0.13648721239669365</c:v>
                </c:pt>
                <c:pt idx="62">
                  <c:v>0.13021910519488944</c:v>
                </c:pt>
                <c:pt idx="63">
                  <c:v>0.1881686465517203</c:v>
                </c:pt>
                <c:pt idx="64">
                  <c:v>0.18254422499325379</c:v>
                </c:pt>
                <c:pt idx="65">
                  <c:v>0.29262087491387956</c:v>
                </c:pt>
                <c:pt idx="66">
                  <c:v>0.17879338539463696</c:v>
                </c:pt>
                <c:pt idx="67">
                  <c:v>0.1630224492016418</c:v>
                </c:pt>
                <c:pt idx="68">
                  <c:v>3.5455966469675998E-2</c:v>
                </c:pt>
                <c:pt idx="69">
                  <c:v>-3.61891305981622E-2</c:v>
                </c:pt>
                <c:pt idx="70">
                  <c:v>-6.7416280107380613E-2</c:v>
                </c:pt>
                <c:pt idx="71">
                  <c:v>-0.10121365969067128</c:v>
                </c:pt>
                <c:pt idx="72">
                  <c:v>0.23960875518753119</c:v>
                </c:pt>
                <c:pt idx="73">
                  <c:v>0.18914842748343882</c:v>
                </c:pt>
                <c:pt idx="74">
                  <c:v>0.52159272019195657</c:v>
                </c:pt>
                <c:pt idx="75">
                  <c:v>0.28695236714955008</c:v>
                </c:pt>
                <c:pt idx="76">
                  <c:v>0.31185219287205518</c:v>
                </c:pt>
                <c:pt idx="77">
                  <c:v>0.4757705896902531</c:v>
                </c:pt>
                <c:pt idx="78">
                  <c:v>8.0416225071299197E-2</c:v>
                </c:pt>
                <c:pt idx="79">
                  <c:v>-6.3108463883637195E-2</c:v>
                </c:pt>
                <c:pt idx="80">
                  <c:v>-5.7116901513470347E-2</c:v>
                </c:pt>
                <c:pt idx="81">
                  <c:v>-5.7794300603456895E-2</c:v>
                </c:pt>
                <c:pt idx="82">
                  <c:v>0.16128376955753931</c:v>
                </c:pt>
                <c:pt idx="83">
                  <c:v>0.26218661667576609</c:v>
                </c:pt>
                <c:pt idx="84">
                  <c:v>6.6755574462391803E-2</c:v>
                </c:pt>
                <c:pt idx="85">
                  <c:v>0.12818363715261899</c:v>
                </c:pt>
                <c:pt idx="86">
                  <c:v>0.21018858707930849</c:v>
                </c:pt>
                <c:pt idx="87">
                  <c:v>0.1685800167450324</c:v>
                </c:pt>
                <c:pt idx="88">
                  <c:v>8.1733862344621988E-2</c:v>
                </c:pt>
                <c:pt idx="89">
                  <c:v>2.6055960253194843E-3</c:v>
                </c:pt>
                <c:pt idx="90">
                  <c:v>-4.4722450234387583E-2</c:v>
                </c:pt>
                <c:pt idx="91">
                  <c:v>-0.14627318144909149</c:v>
                </c:pt>
                <c:pt idx="92">
                  <c:v>-3.0292185405358885E-2</c:v>
                </c:pt>
                <c:pt idx="93">
                  <c:v>1.7065905593767978E-2</c:v>
                </c:pt>
                <c:pt idx="94">
                  <c:v>-8.0001860076898516E-3</c:v>
                </c:pt>
                <c:pt idx="95">
                  <c:v>-2.7405595702142373E-2</c:v>
                </c:pt>
                <c:pt idx="96">
                  <c:v>-0.106651928068935</c:v>
                </c:pt>
                <c:pt idx="97">
                  <c:v>-0.2723896002416632</c:v>
                </c:pt>
                <c:pt idx="98">
                  <c:v>-0.25485014579638371</c:v>
                </c:pt>
                <c:pt idx="99">
                  <c:v>-0.55876005810594997</c:v>
                </c:pt>
                <c:pt idx="100">
                  <c:v>-0.64584432404929126</c:v>
                </c:pt>
                <c:pt idx="101">
                  <c:v>-0.73152695035818671</c:v>
                </c:pt>
                <c:pt idx="102">
                  <c:v>-0.78883886320836805</c:v>
                </c:pt>
                <c:pt idx="103">
                  <c:v>-0.65545847897888887</c:v>
                </c:pt>
                <c:pt idx="104">
                  <c:v>-0.47786807290738953</c:v>
                </c:pt>
                <c:pt idx="105">
                  <c:v>-0.40934121632193099</c:v>
                </c:pt>
                <c:pt idx="106">
                  <c:v>-0.45733804447196708</c:v>
                </c:pt>
                <c:pt idx="107">
                  <c:v>-0.57224351605108581</c:v>
                </c:pt>
                <c:pt idx="108">
                  <c:v>-0.7868503260945372</c:v>
                </c:pt>
                <c:pt idx="109">
                  <c:v>-0.67024214861127795</c:v>
                </c:pt>
                <c:pt idx="110">
                  <c:v>-0.80500510540857806</c:v>
                </c:pt>
                <c:pt idx="111">
                  <c:v>-0.77240790520901703</c:v>
                </c:pt>
                <c:pt idx="112">
                  <c:v>-0.60794931773954675</c:v>
                </c:pt>
                <c:pt idx="113">
                  <c:v>-0.55614213036315341</c:v>
                </c:pt>
                <c:pt idx="114">
                  <c:v>-0.53990434319493141</c:v>
                </c:pt>
                <c:pt idx="115">
                  <c:v>-0.49281940042412897</c:v>
                </c:pt>
                <c:pt idx="116">
                  <c:v>-0.37387995868297547</c:v>
                </c:pt>
                <c:pt idx="117">
                  <c:v>-0.40154744734813214</c:v>
                </c:pt>
                <c:pt idx="118">
                  <c:v>-0.44611604144803418</c:v>
                </c:pt>
                <c:pt idx="119">
                  <c:v>-0.39382496061115624</c:v>
                </c:pt>
                <c:pt idx="120">
                  <c:v>-0.41568580023484925</c:v>
                </c:pt>
                <c:pt idx="121">
                  <c:v>-0.37798510025315318</c:v>
                </c:pt>
                <c:pt idx="122">
                  <c:v>-0.50172879214410271</c:v>
                </c:pt>
                <c:pt idx="123">
                  <c:v>-0.46834845283983778</c:v>
                </c:pt>
                <c:pt idx="124">
                  <c:v>-0.88635948956220156</c:v>
                </c:pt>
                <c:pt idx="125">
                  <c:v>-0.9718671305997848</c:v>
                </c:pt>
                <c:pt idx="126">
                  <c:v>-1.0002421100266243</c:v>
                </c:pt>
                <c:pt idx="127">
                  <c:v>-1.0344778369491616</c:v>
                </c:pt>
                <c:pt idx="128">
                  <c:v>-1.0294629292444626</c:v>
                </c:pt>
                <c:pt idx="129">
                  <c:v>-1.1386917016172688</c:v>
                </c:pt>
                <c:pt idx="130">
                  <c:v>-0.810810302564962</c:v>
                </c:pt>
                <c:pt idx="131">
                  <c:v>-0.97852673713155558</c:v>
                </c:pt>
                <c:pt idx="132">
                  <c:v>-0.95463797917782056</c:v>
                </c:pt>
                <c:pt idx="133">
                  <c:v>-0.81624660378945257</c:v>
                </c:pt>
                <c:pt idx="134">
                  <c:v>-0.85668757334796308</c:v>
                </c:pt>
                <c:pt idx="135">
                  <c:v>-0.85788294143949895</c:v>
                </c:pt>
                <c:pt idx="136">
                  <c:v>-0.86577728110847252</c:v>
                </c:pt>
                <c:pt idx="137">
                  <c:v>-1.0140815769217617</c:v>
                </c:pt>
                <c:pt idx="138">
                  <c:v>-0.99458949646623207</c:v>
                </c:pt>
                <c:pt idx="139">
                  <c:v>-1.0519741802471845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00-406A-B256-67FA1B7150F6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600-406A-B256-67FA1B715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8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1" t="s">
        <v>146</v>
      </c>
      <c r="B6" s="22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1" t="s">
        <v>147</v>
      </c>
      <c r="B10" s="22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9">
        <v>10</v>
      </c>
      <c r="B12" s="19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9">
        <v>20</v>
      </c>
      <c r="B13" s="19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9">
        <v>50</v>
      </c>
      <c r="B14" s="19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9">
        <v>110</v>
      </c>
      <c r="B15" s="19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9">
        <v>120</v>
      </c>
      <c r="B16" s="19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9">
        <v>130</v>
      </c>
      <c r="B17" s="19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9">
        <v>150</v>
      </c>
      <c r="B18" s="19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9">
        <v>180</v>
      </c>
      <c r="B19" s="19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9">
        <v>200</v>
      </c>
      <c r="B20" s="19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9">
        <v>256</v>
      </c>
      <c r="B21" s="19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9">
        <v>400</v>
      </c>
      <c r="B22" s="19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9">
        <v>512</v>
      </c>
      <c r="B23" s="19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9">
        <v>1051</v>
      </c>
      <c r="B24" s="19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9" t="s">
        <v>154</v>
      </c>
      <c r="B25" s="19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D19" sqref="ED19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6.12049400806427E-2</v>
      </c>
      <c r="D3" s="2">
        <v>7.2511330246925354E-2</v>
      </c>
      <c r="E3" s="2">
        <v>-1.9275229424238201E-3</v>
      </c>
      <c r="F3" s="2">
        <v>6.0068525373935699E-2</v>
      </c>
      <c r="G3" s="2">
        <v>5.4933164268732071E-2</v>
      </c>
      <c r="H3" s="2">
        <v>3.9693295955657959E-2</v>
      </c>
      <c r="I3" s="2">
        <v>4.1277538985013962E-2</v>
      </c>
      <c r="J3" s="2">
        <v>4.0029242634773247E-2</v>
      </c>
      <c r="K3" s="2">
        <v>-1.884257048368454E-2</v>
      </c>
      <c r="L3" s="2">
        <v>7.7602483332157135E-2</v>
      </c>
      <c r="M3" s="2">
        <v>4.2970236390829093E-2</v>
      </c>
      <c r="N3" s="2">
        <v>5.1299545913934708E-2</v>
      </c>
      <c r="O3" s="2">
        <v>6.7217230796813965E-2</v>
      </c>
      <c r="P3" s="2">
        <v>-1.9206620752811428E-2</v>
      </c>
      <c r="Q3" s="2">
        <v>3.6692902445793152E-2</v>
      </c>
      <c r="R3" s="2">
        <v>5.7352703064680099E-2</v>
      </c>
      <c r="S3" s="2">
        <v>5.824115127325058E-2</v>
      </c>
      <c r="T3" s="2">
        <v>5.7737637311220169E-2</v>
      </c>
      <c r="U3" s="2">
        <v>8.7644942104816437E-2</v>
      </c>
      <c r="V3" s="2">
        <v>5.71180060505867E-2</v>
      </c>
      <c r="W3" s="2">
        <v>5.8588448911905289E-2</v>
      </c>
      <c r="X3" s="2">
        <v>5.677197128534317E-2</v>
      </c>
      <c r="Y3" s="2">
        <v>5.9611771255731583E-2</v>
      </c>
      <c r="Z3" s="2">
        <v>5.6625247001647949E-2</v>
      </c>
      <c r="AA3" s="2">
        <v>5.8075748383998871E-2</v>
      </c>
      <c r="AB3" s="2">
        <v>5.8921128511428833E-2</v>
      </c>
      <c r="AC3" s="2">
        <v>5.7191025465726852E-2</v>
      </c>
      <c r="AD3" s="2">
        <v>4.8412855714559562E-2</v>
      </c>
      <c r="AE3" s="2">
        <v>4.5246422290802002E-2</v>
      </c>
      <c r="AF3" s="2">
        <v>3.9521925151348107E-2</v>
      </c>
      <c r="AG3" s="2">
        <v>5.5390156805515289E-2</v>
      </c>
      <c r="AH3" s="2">
        <v>1.4683824963867659E-2</v>
      </c>
      <c r="AI3" s="2">
        <v>3.7803374230861657E-2</v>
      </c>
      <c r="AJ3" s="2">
        <v>3.8440905511379242E-2</v>
      </c>
      <c r="AK3" s="2">
        <v>4.3643329292535782E-2</v>
      </c>
      <c r="AL3" s="2">
        <v>5.5902425199747093E-2</v>
      </c>
      <c r="AM3" s="2">
        <v>4.4350031763315201E-2</v>
      </c>
      <c r="AN3" s="2">
        <v>5.7365026324987411E-2</v>
      </c>
      <c r="AO3" s="2">
        <v>5.0584495067596442E-2</v>
      </c>
      <c r="AP3" s="2">
        <v>3.6188744008541107E-2</v>
      </c>
      <c r="AQ3" s="2">
        <v>5.1331903785467148E-2</v>
      </c>
      <c r="AR3" s="2">
        <v>5.3158313035964973E-2</v>
      </c>
      <c r="AS3" s="2">
        <v>5.3955111652612693E-2</v>
      </c>
      <c r="AT3" s="2">
        <v>4.2485147714614868E-2</v>
      </c>
      <c r="AU3" s="2">
        <v>3.8132380694150918E-2</v>
      </c>
      <c r="AV3" s="2">
        <v>5.8870542794466019E-2</v>
      </c>
      <c r="AW3" s="2">
        <v>4.7994006425142288E-2</v>
      </c>
      <c r="AX3" s="2">
        <v>8.6182266473770142E-2</v>
      </c>
      <c r="AY3" s="2">
        <v>8.3852857351303101E-3</v>
      </c>
      <c r="AZ3" s="2">
        <v>4.4009331613779068E-2</v>
      </c>
      <c r="BA3" s="2">
        <v>4.9207791686058037E-2</v>
      </c>
      <c r="BB3" s="2">
        <v>7.653963565826416E-2</v>
      </c>
      <c r="BC3" s="2">
        <v>5.167977511882782E-2</v>
      </c>
      <c r="BD3" s="2">
        <v>5.0100985914468772E-2</v>
      </c>
      <c r="BE3" s="2">
        <v>5.2923846989870071E-2</v>
      </c>
      <c r="BF3" s="2">
        <v>5.2925221621990197E-2</v>
      </c>
      <c r="BG3" s="2">
        <v>-2.4431157857179642E-2</v>
      </c>
      <c r="BH3" s="2">
        <v>4.4987935572862632E-2</v>
      </c>
      <c r="BI3" s="2">
        <v>-5.5818486958742142E-2</v>
      </c>
      <c r="BJ3" s="2">
        <v>-1.4962164685130119E-2</v>
      </c>
      <c r="BK3" s="2">
        <v>5.2559554576873779E-2</v>
      </c>
      <c r="BL3" s="2">
        <v>-1.9598362967371941E-2</v>
      </c>
      <c r="BM3" s="2">
        <v>5.2786063402891159E-2</v>
      </c>
      <c r="BN3" s="2">
        <v>5.6244544684886932E-2</v>
      </c>
      <c r="BO3" s="2">
        <v>5.7009022682905197E-2</v>
      </c>
      <c r="BP3" s="2">
        <v>5.9325642883777618E-2</v>
      </c>
      <c r="BQ3" s="2">
        <v>5.38657046854496E-2</v>
      </c>
      <c r="BR3" s="2">
        <v>4.6412393450737E-2</v>
      </c>
      <c r="BS3" s="2">
        <v>5.4341584444046021E-2</v>
      </c>
      <c r="BT3" s="2">
        <v>6.0930393636226647E-2</v>
      </c>
      <c r="BU3" s="2">
        <v>5.4812837392091751E-2</v>
      </c>
      <c r="BV3" s="2">
        <v>5.2568450570106513E-2</v>
      </c>
      <c r="BW3" s="2">
        <v>3.7255365401506417E-2</v>
      </c>
      <c r="BX3" s="2">
        <v>5.682339146733284E-2</v>
      </c>
      <c r="BY3" s="2">
        <v>-2.3215686902403831E-2</v>
      </c>
      <c r="BZ3" s="2">
        <v>5.4056894034147263E-2</v>
      </c>
      <c r="CA3" s="2">
        <v>5.063512921333313E-2</v>
      </c>
      <c r="CB3" s="2">
        <v>4.6568762511014938E-2</v>
      </c>
      <c r="CC3" s="2">
        <v>5.2197903394699097E-2</v>
      </c>
      <c r="CD3" s="2">
        <v>4.967692494392395E-2</v>
      </c>
      <c r="CE3" s="2">
        <v>4.7654405236244202E-2</v>
      </c>
      <c r="CF3" s="2">
        <v>5.0498437136411667E-2</v>
      </c>
      <c r="CG3" s="2">
        <v>4.6334125101566308E-2</v>
      </c>
      <c r="CH3" s="2">
        <v>-5.2071664482355118E-2</v>
      </c>
      <c r="CI3" s="2">
        <v>3.2746680080890662E-2</v>
      </c>
      <c r="CJ3" s="2">
        <v>6.2081679701805108E-2</v>
      </c>
      <c r="CK3" s="2">
        <v>5.1945634186267853E-2</v>
      </c>
      <c r="CL3" s="2">
        <v>5.1343429833650589E-2</v>
      </c>
      <c r="CM3" s="2">
        <v>4.9791298806667328E-2</v>
      </c>
      <c r="CN3" s="2">
        <v>-5.1051981747150421E-2</v>
      </c>
      <c r="CO3" s="2">
        <v>4.8443220555782318E-2</v>
      </c>
      <c r="CP3" s="2">
        <v>3.831993043422699E-2</v>
      </c>
      <c r="CQ3" s="2">
        <v>4.6025007963180542E-2</v>
      </c>
      <c r="CR3" s="2">
        <v>4.8954267054796219E-2</v>
      </c>
      <c r="CS3" s="2">
        <v>4.7766562551259988E-2</v>
      </c>
      <c r="CT3" s="2">
        <v>2.650626003742218E-2</v>
      </c>
      <c r="CU3" s="2">
        <v>4.5024186372756958E-2</v>
      </c>
      <c r="CV3" s="2">
        <v>5.1086608320474618E-2</v>
      </c>
      <c r="CW3" s="2">
        <v>4.582851380109787E-2</v>
      </c>
      <c r="CX3" s="2">
        <v>5.2254576236009598E-2</v>
      </c>
      <c r="CY3" s="2">
        <v>5.200684443116188E-2</v>
      </c>
      <c r="CZ3" s="2">
        <v>4.3027881532907493E-2</v>
      </c>
      <c r="DA3" s="2">
        <v>4.4491849839687347E-2</v>
      </c>
      <c r="DB3" s="2">
        <v>5.3787026554346078E-2</v>
      </c>
      <c r="DC3" s="2">
        <v>5.2698738873004913E-2</v>
      </c>
      <c r="DD3" s="2">
        <v>3.576786071062088E-2</v>
      </c>
      <c r="DE3" s="2">
        <v>5.2665602415800088E-2</v>
      </c>
      <c r="DF3" s="2">
        <v>4.5536983758211143E-2</v>
      </c>
      <c r="DG3" s="2">
        <v>3.4475583583116531E-2</v>
      </c>
      <c r="DH3" s="2">
        <v>4.8142813146114349E-2</v>
      </c>
      <c r="DI3" s="2">
        <v>4.9271531403064728E-2</v>
      </c>
      <c r="DJ3" s="2">
        <v>5.2601665258407593E-2</v>
      </c>
      <c r="DK3" s="2">
        <v>6.7928150296211243E-2</v>
      </c>
      <c r="DL3" s="2">
        <v>-5.9254914522171021E-3</v>
      </c>
      <c r="DM3" s="2">
        <v>4.8600025475025177E-2</v>
      </c>
      <c r="DN3" s="2">
        <v>4.6405158936977393E-2</v>
      </c>
      <c r="DO3" s="2">
        <v>-2.6236224919557571E-2</v>
      </c>
      <c r="DP3" s="2">
        <v>4.7461628913879388E-2</v>
      </c>
      <c r="DQ3" s="2">
        <v>3.6974836140871048E-2</v>
      </c>
      <c r="DR3" s="2">
        <v>4.2524911463260651E-2</v>
      </c>
      <c r="DS3" s="2">
        <v>4.7911066561937332E-2</v>
      </c>
      <c r="DT3" s="2">
        <v>2.2824956104159359E-2</v>
      </c>
      <c r="DU3" s="2">
        <v>5.4288685321807861E-2</v>
      </c>
      <c r="DV3" s="2">
        <v>4.625309631228447E-2</v>
      </c>
      <c r="DW3" s="2">
        <v>4.7988094389438629E-2</v>
      </c>
      <c r="DX3" s="2">
        <v>4.7624159604310989E-2</v>
      </c>
      <c r="DY3" s="2">
        <v>-6.7029789090156555E-2</v>
      </c>
      <c r="DZ3" s="2">
        <v>3.5397574305534363E-2</v>
      </c>
      <c r="EA3" s="2">
        <v>4.962235689163208E-2</v>
      </c>
      <c r="EB3" s="2">
        <v>1.5088049694895741E-2</v>
      </c>
      <c r="EC3" s="2">
        <v>3.6462400108575821E-2</v>
      </c>
      <c r="ED3" s="2">
        <v>6.3536964356899261E-2</v>
      </c>
      <c r="EE3" s="2">
        <v>4.7288980334997177E-2</v>
      </c>
      <c r="EF3" s="2">
        <v>4.9761466681957238E-2</v>
      </c>
      <c r="EG3" s="2">
        <v>4.3250363320112228E-2</v>
      </c>
      <c r="EH3" s="2">
        <v>1.8230888992547989E-2</v>
      </c>
      <c r="EI3" s="2">
        <v>5.3057532757520683E-2</v>
      </c>
      <c r="EJ3" s="2">
        <v>4.9299325793981552E-2</v>
      </c>
      <c r="EK3" s="2">
        <v>4.9753554165363312E-2</v>
      </c>
      <c r="EL3" s="2">
        <v>4.7524686902761459E-2</v>
      </c>
      <c r="EM3" s="2">
        <v>4.6936102211475372E-2</v>
      </c>
    </row>
    <row r="4" spans="1:145" x14ac:dyDescent="0.3">
      <c r="B4" s="6" t="s">
        <v>144</v>
      </c>
      <c r="C4" s="2">
        <v>-3.0663138255476952E-2</v>
      </c>
      <c r="D4" s="2">
        <v>-5.034250020980835E-2</v>
      </c>
      <c r="E4" s="2">
        <v>-3.9785187691450119E-2</v>
      </c>
      <c r="F4" s="2">
        <v>-3.6133710294961929E-2</v>
      </c>
      <c r="G4" s="2">
        <v>4.467344656586647E-2</v>
      </c>
      <c r="H4" s="2">
        <v>-0.1628625690937042</v>
      </c>
      <c r="I4" s="2">
        <v>-4.0721379220485687E-2</v>
      </c>
      <c r="J4" s="2">
        <v>3.0216570943593979E-2</v>
      </c>
      <c r="K4" s="2">
        <v>-3.253590315580368E-2</v>
      </c>
      <c r="L4" s="2">
        <v>-3.943561390042305E-2</v>
      </c>
      <c r="M4" s="2">
        <v>-3.666292130947113E-2</v>
      </c>
      <c r="N4" s="2">
        <v>4.0030878037214279E-2</v>
      </c>
      <c r="O4" s="2">
        <v>4.1884001344442368E-2</v>
      </c>
      <c r="P4" s="2">
        <v>-4.0444657206535339E-2</v>
      </c>
      <c r="Q4" s="2">
        <v>1.857642829418182E-2</v>
      </c>
      <c r="R4" s="2">
        <v>-2.829065173864365E-2</v>
      </c>
      <c r="S4" s="2">
        <v>-3.5978645086288452E-2</v>
      </c>
      <c r="T4" s="2">
        <v>2.9547009617090229E-2</v>
      </c>
      <c r="U4" s="2">
        <v>3.2607868313789368E-2</v>
      </c>
      <c r="V4" s="2">
        <v>-3.6388922482728958E-2</v>
      </c>
      <c r="W4" s="2">
        <v>-4.2822007089853287E-2</v>
      </c>
      <c r="X4" s="2">
        <v>-3.6966376006603241E-2</v>
      </c>
      <c r="Y4" s="2">
        <v>-3.3312540501356118E-2</v>
      </c>
      <c r="Z4" s="2">
        <v>-3.001893125474453E-2</v>
      </c>
      <c r="AA4" s="2">
        <v>-3.2679852098226547E-2</v>
      </c>
      <c r="AB4" s="2">
        <v>2.5544572621583939E-2</v>
      </c>
      <c r="AC4" s="2">
        <v>-3.0559385195374489E-2</v>
      </c>
      <c r="AD4" s="2">
        <v>-3.4821953624486923E-2</v>
      </c>
      <c r="AE4" s="2">
        <v>6.712651252746582E-2</v>
      </c>
      <c r="AF4" s="2">
        <v>-3.094292618334293E-2</v>
      </c>
      <c r="AG4" s="2">
        <v>-4.2559638619422913E-2</v>
      </c>
      <c r="AH4" s="2">
        <v>-1.8579920753836628E-2</v>
      </c>
      <c r="AI4" s="2">
        <v>2.7163092046976089E-2</v>
      </c>
      <c r="AJ4" s="2">
        <v>1.4020096510648729E-2</v>
      </c>
      <c r="AK4" s="2">
        <v>-3.4004654735326767E-2</v>
      </c>
      <c r="AL4" s="2">
        <v>2.862254902720451E-2</v>
      </c>
      <c r="AM4" s="2">
        <v>-3.4602928906679153E-2</v>
      </c>
      <c r="AN4" s="2">
        <v>-2.4779008701443669E-2</v>
      </c>
      <c r="AO4" s="2">
        <v>-5.1725324243307107E-2</v>
      </c>
      <c r="AP4" s="2">
        <v>6.6316254436969757E-2</v>
      </c>
      <c r="AQ4" s="2">
        <v>-3.3196955919265747E-2</v>
      </c>
      <c r="AR4" s="2">
        <v>-2.6140265166759491E-2</v>
      </c>
      <c r="AS4" s="2">
        <v>1.07799400575459E-3</v>
      </c>
      <c r="AT4" s="2">
        <v>-2.851795963943005E-2</v>
      </c>
      <c r="AU4" s="2">
        <v>-4.8994671553373337E-2</v>
      </c>
      <c r="AV4" s="2">
        <v>3.2629318535327911E-2</v>
      </c>
      <c r="AW4" s="2">
        <v>-2.106872946023941E-2</v>
      </c>
      <c r="AX4" s="2">
        <v>-5.0037145614624023E-2</v>
      </c>
      <c r="AY4" s="2">
        <v>3.8394477218389511E-2</v>
      </c>
      <c r="AZ4" s="2">
        <v>-4.6988997608423233E-2</v>
      </c>
      <c r="BA4" s="2">
        <v>2.716952562332153E-2</v>
      </c>
      <c r="BB4" s="2">
        <v>-3.3924028277397163E-2</v>
      </c>
      <c r="BC4" s="2">
        <v>-2.8171896934509281E-2</v>
      </c>
      <c r="BD4" s="2">
        <v>7.9279758036136627E-2</v>
      </c>
      <c r="BE4" s="2">
        <v>-6.5230011940002441E-2</v>
      </c>
      <c r="BF4" s="2">
        <v>-3.2597191631793983E-2</v>
      </c>
      <c r="BG4" s="2">
        <v>-6.3128843903541565E-2</v>
      </c>
      <c r="BH4" s="2">
        <v>-4.8509896732866764E-3</v>
      </c>
      <c r="BI4" s="2">
        <v>-3.461967408657074E-2</v>
      </c>
      <c r="BJ4" s="2">
        <v>-4.3740075081586838E-2</v>
      </c>
      <c r="BK4" s="2">
        <v>-1.662034075707197E-3</v>
      </c>
      <c r="BL4" s="2">
        <v>5.6854188442230216E-3</v>
      </c>
      <c r="BM4" s="2">
        <v>4.5709989964962013E-2</v>
      </c>
      <c r="BN4" s="2">
        <v>3.3833611756563187E-2</v>
      </c>
      <c r="BO4" s="2">
        <v>-9.0293154120445251E-2</v>
      </c>
      <c r="BP4" s="2">
        <v>3.6973550915718079E-2</v>
      </c>
      <c r="BQ4" s="2">
        <v>3.5409048199653632E-2</v>
      </c>
      <c r="BR4" s="2">
        <v>-5.8591317385435097E-2</v>
      </c>
      <c r="BS4" s="2">
        <v>4.0612448006868362E-2</v>
      </c>
      <c r="BT4" s="2">
        <v>-2.6653701439499859E-2</v>
      </c>
      <c r="BU4" s="2">
        <v>-4.852568730711937E-2</v>
      </c>
      <c r="BV4" s="2">
        <v>-3.6710593849420547E-2</v>
      </c>
      <c r="BW4" s="2">
        <v>-2.6956351473927501E-2</v>
      </c>
      <c r="BX4" s="2">
        <v>-2.2222328931093219E-2</v>
      </c>
      <c r="BY4" s="2">
        <v>5.5634047836065292E-2</v>
      </c>
      <c r="BZ4" s="2">
        <v>3.1823184341192252E-2</v>
      </c>
      <c r="CA4" s="2">
        <v>3.3842761069536209E-2</v>
      </c>
      <c r="CB4" s="2">
        <v>-4.9766700714826577E-2</v>
      </c>
      <c r="CC4" s="2">
        <v>-3.0912276357412342E-2</v>
      </c>
      <c r="CD4" s="2">
        <v>3.2408569008111947E-2</v>
      </c>
      <c r="CE4" s="2">
        <v>-3.9579436182975769E-2</v>
      </c>
      <c r="CF4" s="2">
        <v>-1.251911278814077E-2</v>
      </c>
      <c r="CG4" s="2">
        <v>-3.2040257006883621E-2</v>
      </c>
      <c r="CH4" s="2">
        <v>9.6894605085253716E-3</v>
      </c>
      <c r="CI4" s="2">
        <v>-4.0054671466350562E-2</v>
      </c>
      <c r="CJ4" s="2">
        <v>-3.8043182343244553E-2</v>
      </c>
      <c r="CK4" s="2">
        <v>-1.224210113286972E-2</v>
      </c>
      <c r="CL4" s="2">
        <v>5.391576886177063E-2</v>
      </c>
      <c r="CM4" s="2">
        <v>-9.7341146320104599E-3</v>
      </c>
      <c r="CN4" s="2">
        <v>3.1725849956274033E-2</v>
      </c>
      <c r="CO4" s="2">
        <v>-6.1310693621635437E-2</v>
      </c>
      <c r="CP4" s="2">
        <v>-3.172619640827179E-2</v>
      </c>
      <c r="CQ4" s="2">
        <v>-6.4088389277458191E-2</v>
      </c>
      <c r="CR4" s="2">
        <v>5.1752254366874688E-2</v>
      </c>
      <c r="CS4" s="2">
        <v>-4.6389646828174591E-2</v>
      </c>
      <c r="CT4" s="2">
        <v>-2.5805598124861721E-2</v>
      </c>
      <c r="CU4" s="2">
        <v>-3.8406036794185638E-2</v>
      </c>
      <c r="CV4" s="2">
        <v>4.8397261649370187E-2</v>
      </c>
      <c r="CW4" s="2">
        <v>-5.0927214324474328E-2</v>
      </c>
      <c r="CX4" s="2">
        <v>4.8858575522899628E-2</v>
      </c>
      <c r="CY4" s="2">
        <v>-2.9716761782765388E-2</v>
      </c>
      <c r="CZ4" s="2">
        <v>3.2698560506105423E-2</v>
      </c>
      <c r="DA4" s="2">
        <v>-3.1618602573871613E-2</v>
      </c>
      <c r="DB4" s="2">
        <v>-3.5143610090017319E-2</v>
      </c>
      <c r="DC4" s="2">
        <v>-4.14128378033638E-2</v>
      </c>
      <c r="DD4" s="2">
        <v>1.5055138617753981E-2</v>
      </c>
      <c r="DE4" s="2">
        <v>-4.9718223512172699E-2</v>
      </c>
      <c r="DF4" s="2">
        <v>0.1166923344135284</v>
      </c>
      <c r="DG4" s="2">
        <v>-1.690609194338322E-2</v>
      </c>
      <c r="DH4" s="2">
        <v>-3.8817554712295532E-2</v>
      </c>
      <c r="DI4" s="2">
        <v>-4.0171805769205093E-2</v>
      </c>
      <c r="DJ4" s="2">
        <v>-3.1981322914361947E-2</v>
      </c>
      <c r="DK4" s="2">
        <v>-3.1998563557863242E-2</v>
      </c>
      <c r="DL4" s="2">
        <v>-6.0599394142627723E-2</v>
      </c>
      <c r="DM4" s="2">
        <v>-2.796678431332111E-2</v>
      </c>
      <c r="DN4" s="2">
        <v>4.3845832347869873E-2</v>
      </c>
      <c r="DO4" s="2">
        <v>-3.7243012338876717E-2</v>
      </c>
      <c r="DP4" s="2">
        <v>-2.7684574946761131E-2</v>
      </c>
      <c r="DQ4" s="2">
        <v>3.3728264272212982E-2</v>
      </c>
      <c r="DR4" s="2">
        <v>4.1185859590768807E-2</v>
      </c>
      <c r="DS4" s="2">
        <v>1.235201675444841E-2</v>
      </c>
      <c r="DT4" s="2">
        <v>-4.7935560345649719E-2</v>
      </c>
      <c r="DU4" s="2">
        <v>-3.8289569318294532E-2</v>
      </c>
      <c r="DV4" s="2">
        <v>-2.212706953287125E-2</v>
      </c>
      <c r="DW4" s="2">
        <v>3.067734465003014E-2</v>
      </c>
      <c r="DX4" s="2">
        <v>5.0036542117595673E-2</v>
      </c>
      <c r="DY4" s="2">
        <v>-3.6927513778209693E-2</v>
      </c>
      <c r="DZ4" s="2">
        <v>-2.276518568396568E-2</v>
      </c>
      <c r="EA4" s="2">
        <v>-3.0415996443480249E-3</v>
      </c>
      <c r="EB4" s="2">
        <v>-2.8134334832429889E-2</v>
      </c>
      <c r="EC4" s="2">
        <v>3.842022642493248E-2</v>
      </c>
      <c r="ED4" s="2">
        <v>-2.6526790112257E-2</v>
      </c>
      <c r="EE4" s="2">
        <v>-2.6496067643165588E-2</v>
      </c>
      <c r="EF4" s="2">
        <v>-4.9025822430849082E-2</v>
      </c>
      <c r="EG4" s="2">
        <v>3.9000969380140298E-2</v>
      </c>
      <c r="EH4" s="2">
        <v>-4.1339848190546043E-2</v>
      </c>
      <c r="EI4" s="2">
        <v>-3.1872410327196121E-2</v>
      </c>
      <c r="EJ4" s="2">
        <v>-5.2841221913695344E-3</v>
      </c>
      <c r="EK4" s="2">
        <v>-5.0885953009128571E-2</v>
      </c>
      <c r="EL4" s="2">
        <v>-2.6955738663673401E-2</v>
      </c>
      <c r="EM4" s="2">
        <v>5.1978707313537598E-2</v>
      </c>
    </row>
    <row r="5" spans="1:145" x14ac:dyDescent="0.3">
      <c r="B5" s="1" t="s">
        <v>145</v>
      </c>
      <c r="C5" s="2">
        <v>3.6289624404162169E-4</v>
      </c>
      <c r="D5" s="2">
        <v>-4.7030290588736534E-3</v>
      </c>
      <c r="E5" s="2">
        <v>3.9310019463300698E-2</v>
      </c>
      <c r="F5" s="2">
        <v>-2.5351378135383129E-3</v>
      </c>
      <c r="G5" s="2">
        <v>-8.9769922196865082E-3</v>
      </c>
      <c r="H5" s="2">
        <v>-4.0814103558659554E-3</v>
      </c>
      <c r="I5" s="2">
        <v>-2.2879412397742271E-2</v>
      </c>
      <c r="J5" s="2">
        <v>-5.5557778105139732E-3</v>
      </c>
      <c r="K5" s="2">
        <v>-3.2011959701776498E-2</v>
      </c>
      <c r="L5" s="2">
        <v>-1.318412367254496E-2</v>
      </c>
      <c r="M5" s="2">
        <v>-4.5432569459080696E-3</v>
      </c>
      <c r="N5" s="2">
        <v>-4.1294649243354797E-2</v>
      </c>
      <c r="O5" s="2">
        <v>-4.1241466999053962E-2</v>
      </c>
      <c r="P5" s="2">
        <v>-7.3996227001771331E-4</v>
      </c>
      <c r="Q5" s="2">
        <v>5.5957110598683357E-3</v>
      </c>
      <c r="R5" s="2">
        <v>5.7745538651943207E-4</v>
      </c>
      <c r="S5" s="2">
        <v>3.6454323679208762E-2</v>
      </c>
      <c r="T5" s="2">
        <v>5.9111282229423523E-2</v>
      </c>
      <c r="U5" s="2">
        <v>-6.631969939917326E-3</v>
      </c>
      <c r="V5" s="2">
        <v>3.140028333291411E-3</v>
      </c>
      <c r="W5" s="2">
        <v>4.2909816838800907E-3</v>
      </c>
      <c r="X5" s="2">
        <v>9.7454310161992908E-4</v>
      </c>
      <c r="Y5" s="2">
        <v>-5.0387335941195488E-3</v>
      </c>
      <c r="Z5" s="2">
        <v>1.1117637623101471E-3</v>
      </c>
      <c r="AA5" s="2">
        <v>8.0119017511606216E-3</v>
      </c>
      <c r="AB5" s="2">
        <v>-5.6261434219777584E-3</v>
      </c>
      <c r="AC5" s="2">
        <v>-1.187489461153746E-2</v>
      </c>
      <c r="AD5" s="2">
        <v>-3.4900698810815811E-2</v>
      </c>
      <c r="AE5" s="2">
        <v>0.1127459183335304</v>
      </c>
      <c r="AF5" s="2">
        <v>4.2073335498571403E-2</v>
      </c>
      <c r="AG5" s="2">
        <v>-3.4655437339097261E-3</v>
      </c>
      <c r="AH5" s="2">
        <v>-1.322280615568161E-3</v>
      </c>
      <c r="AI5" s="2">
        <v>-5.5107235675677657E-4</v>
      </c>
      <c r="AJ5" s="2">
        <v>2.1587325260043141E-2</v>
      </c>
      <c r="AK5" s="2">
        <v>-1.009204611182213E-2</v>
      </c>
      <c r="AL5" s="2">
        <v>3.0231490731239319E-2</v>
      </c>
      <c r="AM5" s="2">
        <v>-3.376553300768137E-3</v>
      </c>
      <c r="AN5" s="2">
        <v>2.2095214808359739E-4</v>
      </c>
      <c r="AO5" s="2">
        <v>4.6456549316644669E-3</v>
      </c>
      <c r="AP5" s="2">
        <v>-1.433362369425595E-3</v>
      </c>
      <c r="AQ5" s="2">
        <v>5.6547252461314201E-4</v>
      </c>
      <c r="AR5" s="2">
        <v>8.8455207878723741E-4</v>
      </c>
      <c r="AS5" s="2">
        <v>-7.5138173997402191E-3</v>
      </c>
      <c r="AT5" s="2">
        <v>3.9739634841680527E-2</v>
      </c>
      <c r="AU5" s="2">
        <v>-4.4755846261978149E-2</v>
      </c>
      <c r="AV5" s="2">
        <v>1.531134266406298E-2</v>
      </c>
      <c r="AW5" s="2">
        <v>-7.7996831387281418E-3</v>
      </c>
      <c r="AX5" s="2">
        <v>-6.6344905644655228E-3</v>
      </c>
      <c r="AY5" s="2">
        <v>-5.8644581586122513E-3</v>
      </c>
      <c r="AZ5" s="2">
        <v>1.6232047230005261E-2</v>
      </c>
      <c r="BA5" s="2">
        <v>3.7022528704255819E-3</v>
      </c>
      <c r="BB5" s="2">
        <v>-4.0927533060312271E-2</v>
      </c>
      <c r="BC5" s="2">
        <v>5.2334512583911419E-3</v>
      </c>
      <c r="BD5" s="2">
        <v>-1.16312550380826E-2</v>
      </c>
      <c r="BE5" s="2">
        <v>2.2965032607316971E-2</v>
      </c>
      <c r="BF5" s="2">
        <v>6.3186627812683582E-3</v>
      </c>
      <c r="BG5" s="2">
        <v>-3.5152919590473179E-3</v>
      </c>
      <c r="BH5" s="2">
        <v>-1.207283115945756E-3</v>
      </c>
      <c r="BI5" s="2">
        <v>3.6210671532899141E-3</v>
      </c>
      <c r="BJ5" s="2">
        <v>4.7536559402942657E-2</v>
      </c>
      <c r="BK5" s="2">
        <v>-3.1086509115993981E-3</v>
      </c>
      <c r="BL5" s="2">
        <v>1.071612164378166E-2</v>
      </c>
      <c r="BM5" s="2">
        <v>1.187751535326242E-3</v>
      </c>
      <c r="BN5" s="2">
        <v>1.7234014347195629E-2</v>
      </c>
      <c r="BO5" s="2">
        <v>-4.7961845993995673E-2</v>
      </c>
      <c r="BP5" s="2">
        <v>3.9902324788272381E-3</v>
      </c>
      <c r="BQ5" s="2">
        <v>-4.4092379510402679E-2</v>
      </c>
      <c r="BR5" s="2">
        <v>6.221311166882515E-3</v>
      </c>
      <c r="BS5" s="2">
        <v>2.4535989388823509E-2</v>
      </c>
      <c r="BT5" s="2">
        <v>4.5816980302333832E-2</v>
      </c>
      <c r="BU5" s="2">
        <v>6.3894698396325111E-3</v>
      </c>
      <c r="BV5" s="2">
        <v>-3.2226834446191788E-2</v>
      </c>
      <c r="BW5" s="2">
        <v>-4.5471269637346268E-2</v>
      </c>
      <c r="BX5" s="2">
        <v>-2.8136062901467081E-3</v>
      </c>
      <c r="BY5" s="2">
        <v>1.4142453670501711E-2</v>
      </c>
      <c r="BZ5" s="2">
        <v>9.5615731552243233E-3</v>
      </c>
      <c r="CA5" s="2">
        <v>-1.1941260658204561E-2</v>
      </c>
      <c r="CB5" s="2">
        <v>-4.052068293094635E-2</v>
      </c>
      <c r="CC5" s="2">
        <v>-2.7640594635158782E-3</v>
      </c>
      <c r="CD5" s="2">
        <v>-5.609588697552681E-4</v>
      </c>
      <c r="CE5" s="2">
        <v>9.2240404337644577E-3</v>
      </c>
      <c r="CF5" s="2">
        <v>2.2036917507648468E-3</v>
      </c>
      <c r="CG5" s="2">
        <v>-0.13772884011268621</v>
      </c>
      <c r="CH5" s="2">
        <v>2.2008614614605899E-3</v>
      </c>
      <c r="CI5" s="2">
        <v>-9.7536045359447598E-4</v>
      </c>
      <c r="CJ5" s="2">
        <v>1.973877660930157E-4</v>
      </c>
      <c r="CK5" s="2">
        <v>-1.8111476674675939E-4</v>
      </c>
      <c r="CL5" s="2">
        <v>-7.6191104017198086E-4</v>
      </c>
      <c r="CM5" s="2">
        <v>9.0873483568429947E-3</v>
      </c>
      <c r="CN5" s="2">
        <v>3.9870841428637496E-3</v>
      </c>
      <c r="CO5" s="2">
        <v>7.4081374332308769E-3</v>
      </c>
      <c r="CP5" s="2">
        <v>1.7250750679522751E-3</v>
      </c>
      <c r="CQ5" s="2">
        <v>1.0243877768516541E-2</v>
      </c>
      <c r="CR5" s="2">
        <v>6.2684942968189716E-3</v>
      </c>
      <c r="CS5" s="2">
        <v>8.0491055268794298E-4</v>
      </c>
      <c r="CT5" s="2">
        <v>4.5435507781803608E-3</v>
      </c>
      <c r="CU5" s="2">
        <v>1.528298482298851E-3</v>
      </c>
      <c r="CV5" s="2">
        <v>4.1806655935943127E-3</v>
      </c>
      <c r="CW5" s="2">
        <v>1.556450151838362E-3</v>
      </c>
      <c r="CX5" s="2">
        <v>3.210121532902122E-3</v>
      </c>
      <c r="CY5" s="2">
        <v>2.679457189515233E-3</v>
      </c>
      <c r="CZ5" s="2">
        <v>3.764988854527473E-3</v>
      </c>
      <c r="DA5" s="2">
        <v>3.5784679930657148E-3</v>
      </c>
      <c r="DB5" s="2">
        <v>1.9439185271039609E-3</v>
      </c>
      <c r="DC5" s="2">
        <v>1.0020709596574311E-3</v>
      </c>
      <c r="DD5" s="2">
        <v>9.9925734102725983E-3</v>
      </c>
      <c r="DE5" s="2">
        <v>2.5877245934680099E-4</v>
      </c>
      <c r="DF5" s="2">
        <v>-1.7707206308841709E-2</v>
      </c>
      <c r="DG5" s="2">
        <v>-4.9888982903212309E-4</v>
      </c>
      <c r="DH5" s="2">
        <v>-1.3163026887923479E-3</v>
      </c>
      <c r="DI5" s="2">
        <v>-1.4552123844623569E-2</v>
      </c>
      <c r="DJ5" s="2">
        <v>9.9625419825315475E-3</v>
      </c>
      <c r="DK5" s="2">
        <v>-3.4113347064703699E-3</v>
      </c>
      <c r="DL5" s="2">
        <v>1.083631254732609E-2</v>
      </c>
      <c r="DM5" s="2">
        <v>5.2681826055049896E-3</v>
      </c>
      <c r="DN5" s="2">
        <v>-5.4682022891938686E-4</v>
      </c>
      <c r="DO5" s="2">
        <v>6.5767709165811539E-3</v>
      </c>
      <c r="DP5" s="2">
        <v>-1.6435611760243769E-3</v>
      </c>
      <c r="DQ5" s="2">
        <v>5.4094893857836723E-4</v>
      </c>
      <c r="DR5" s="2">
        <v>-3.4784905146807428E-3</v>
      </c>
      <c r="DS5" s="2">
        <v>1.484264037571847E-3</v>
      </c>
      <c r="DT5" s="2">
        <v>3.8467980921268459E-3</v>
      </c>
      <c r="DU5" s="2">
        <v>6.0129705816507339E-3</v>
      </c>
      <c r="DV5" s="2">
        <v>9.7504263976588845E-4</v>
      </c>
      <c r="DW5" s="2">
        <v>-3.9665079675614834E-3</v>
      </c>
      <c r="DX5" s="2">
        <v>-2.195812296122313E-3</v>
      </c>
      <c r="DY5" s="2">
        <v>1.573592540808022E-3</v>
      </c>
      <c r="DZ5" s="2">
        <v>2.0844347774982449E-2</v>
      </c>
      <c r="EA5" s="2">
        <v>1.522734062746167E-3</v>
      </c>
      <c r="EB5" s="2">
        <v>-1.3595668133348231E-3</v>
      </c>
      <c r="EC5" s="2">
        <v>-2.191043458878994E-4</v>
      </c>
      <c r="ED5" s="2">
        <v>-7.2382530197501183E-3</v>
      </c>
      <c r="EE5" s="2">
        <v>-1.8102847971022129E-3</v>
      </c>
      <c r="EF5" s="2">
        <v>-1.506768399849534E-3</v>
      </c>
      <c r="EG5" s="2">
        <v>4.9211690202355376E-3</v>
      </c>
      <c r="EH5" s="2">
        <v>1.368552632629871E-2</v>
      </c>
      <c r="EI5" s="2">
        <v>1.2731903698295351E-3</v>
      </c>
      <c r="EJ5" s="2">
        <v>4.1038659401237959E-4</v>
      </c>
      <c r="EK5" s="2">
        <v>1.3772393576800821E-3</v>
      </c>
      <c r="EL5" s="2">
        <v>1.5154600143432621E-2</v>
      </c>
      <c r="EM5" s="2">
        <v>-2.7935733087360859E-3</v>
      </c>
    </row>
    <row r="6" spans="1:145" x14ac:dyDescent="0.3">
      <c r="A6" s="21" t="s">
        <v>146</v>
      </c>
      <c r="B6" s="22"/>
      <c r="C6" s="2">
        <f t="array" ref="C6">MATCH(MAX(ABS(C3:C5)), ABS(C3:C5), 0)</f>
        <v>1</v>
      </c>
      <c r="D6" s="2">
        <f t="array" ref="D6">MATCH(MAX(ABS(D3:D5)), ABS(D3:D5), 0)</f>
        <v>1</v>
      </c>
      <c r="E6" s="2">
        <f t="array" ref="E6">MATCH(MAX(ABS(E3:E5)), ABS(E3:E5), 0)</f>
        <v>2</v>
      </c>
      <c r="F6" s="2">
        <f t="array" ref="F6">MATCH(MAX(ABS(F3:F5)), ABS(F3:F5), 0)</f>
        <v>1</v>
      </c>
      <c r="G6" s="2">
        <f t="array" ref="G6">MATCH(MAX(ABS(G3:G5)), ABS(G3:G5), 0)</f>
        <v>1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1</v>
      </c>
      <c r="M6" s="2">
        <f t="array" ref="M6">MATCH(MAX(ABS(M3:M5)), ABS(M3:M5), 0)</f>
        <v>1</v>
      </c>
      <c r="N6" s="2">
        <f t="array" ref="N6">MATCH(MAX(ABS(N3:N5)), ABS(N3:N5), 0)</f>
        <v>1</v>
      </c>
      <c r="O6" s="2">
        <f t="array" ref="O6">MATCH(MAX(ABS(O3:O5)), ABS(O3:O5), 0)</f>
        <v>1</v>
      </c>
      <c r="P6" s="2">
        <f t="array" ref="P6">MATCH(MAX(ABS(P3:P5)), ABS(P3:P5), 0)</f>
        <v>2</v>
      </c>
      <c r="Q6" s="2">
        <f t="array" ref="Q6">MATCH(MAX(ABS(Q3:Q5)), ABS(Q3:Q5), 0)</f>
        <v>1</v>
      </c>
      <c r="R6" s="2">
        <f t="array" ref="R6">MATCH(MAX(ABS(R3:R5)), ABS(R3:R5), 0)</f>
        <v>1</v>
      </c>
      <c r="S6" s="2">
        <f t="array" ref="S6">MATCH(MAX(ABS(S3:S5)), ABS(S3:S5), 0)</f>
        <v>1</v>
      </c>
      <c r="T6" s="2">
        <f t="array" ref="T6">MATCH(MAX(ABS(T3:T5)), ABS(T3:T5), 0)</f>
        <v>3</v>
      </c>
      <c r="U6" s="2">
        <f t="array" ref="U6">MATCH(MAX(ABS(U3:U5)), ABS(U3:U5), 0)</f>
        <v>1</v>
      </c>
      <c r="V6" s="2">
        <f t="array" ref="V6">MATCH(MAX(ABS(V3:V5)), ABS(V3:V5), 0)</f>
        <v>1</v>
      </c>
      <c r="W6" s="2">
        <f t="array" ref="W6">MATCH(MAX(ABS(W3:W5)), ABS(W3:W5), 0)</f>
        <v>1</v>
      </c>
      <c r="X6" s="2">
        <f t="array" ref="X6">MATCH(MAX(ABS(X3:X5)), ABS(X3:X5), 0)</f>
        <v>1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1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1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2</v>
      </c>
      <c r="AI6" s="2">
        <f t="array" ref="AI6">MATCH(MAX(ABS(AI3:AI5)), ABS(AI3:AI5), 0)</f>
        <v>1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1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2</v>
      </c>
      <c r="AP6" s="2">
        <f t="array" ref="AP6">MATCH(MAX(ABS(AP3:AP5)), ABS(AP3:AP5), 0)</f>
        <v>2</v>
      </c>
      <c r="AQ6" s="2">
        <f t="array" ref="AQ6">MATCH(MAX(ABS(AQ3:AQ5)), ABS(AQ3:AQ5), 0)</f>
        <v>1</v>
      </c>
      <c r="AR6" s="2">
        <f t="array" ref="AR6">MATCH(MAX(ABS(AR3:AR5)), ABS(AR3:AR5), 0)</f>
        <v>1</v>
      </c>
      <c r="AS6" s="2">
        <f t="array" ref="AS6">MATCH(MAX(ABS(AS3:AS5)), ABS(AS3:AS5), 0)</f>
        <v>1</v>
      </c>
      <c r="AT6" s="2">
        <f t="array" ref="AT6">MATCH(MAX(ABS(AT3:AT5)), ABS(AT3:AT5), 0)</f>
        <v>1</v>
      </c>
      <c r="AU6" s="2">
        <f t="array" ref="AU6">MATCH(MAX(ABS(AU3:AU5)), ABS(AU3:AU5), 0)</f>
        <v>2</v>
      </c>
      <c r="AV6" s="2">
        <f t="array" ref="AV6">MATCH(MAX(ABS(AV3:AV5)), ABS(AV3:AV5), 0)</f>
        <v>1</v>
      </c>
      <c r="AW6" s="2">
        <f t="array" ref="AW6">MATCH(MAX(ABS(AW3:AW5)), ABS(AW3:AW5), 0)</f>
        <v>1</v>
      </c>
      <c r="AX6" s="2">
        <f t="array" ref="AX6">MATCH(MAX(ABS(AX3:AX5)), ABS(AX3:AX5), 0)</f>
        <v>1</v>
      </c>
      <c r="AY6" s="2">
        <f t="array" ref="AY6">MATCH(MAX(ABS(AY3:AY5)), ABS(AY3:AY5), 0)</f>
        <v>2</v>
      </c>
      <c r="AZ6" s="2">
        <f t="array" ref="AZ6">MATCH(MAX(ABS(AZ3:AZ5)), ABS(AZ3:AZ5), 0)</f>
        <v>2</v>
      </c>
      <c r="BA6" s="2">
        <f t="array" ref="BA6">MATCH(MAX(ABS(BA3:BA5)), ABS(BA3:BA5), 0)</f>
        <v>1</v>
      </c>
      <c r="BB6" s="2">
        <f t="array" ref="BB6">MATCH(MAX(ABS(BB3:BB5)), ABS(BB3:BB5), 0)</f>
        <v>1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2</v>
      </c>
      <c r="BF6" s="2">
        <f t="array" ref="BF6">MATCH(MAX(ABS(BF3:BF5)), ABS(BF3:BF5), 0)</f>
        <v>1</v>
      </c>
      <c r="BG6" s="2">
        <f t="array" ref="BG6">MATCH(MAX(ABS(BG3:BG5)), ABS(BG3:BG5), 0)</f>
        <v>2</v>
      </c>
      <c r="BH6" s="2">
        <f t="array" ref="BH6">MATCH(MAX(ABS(BH3:BH5)), ABS(BH3:BH5), 0)</f>
        <v>1</v>
      </c>
      <c r="BI6" s="2">
        <f t="array" ref="BI6">MATCH(MAX(ABS(BI3:BI5)), ABS(BI3:BI5), 0)</f>
        <v>1</v>
      </c>
      <c r="BJ6" s="2">
        <f t="array" ref="BJ6">MATCH(MAX(ABS(BJ3:BJ5)), ABS(BJ3:BJ5), 0)</f>
        <v>3</v>
      </c>
      <c r="BK6" s="2">
        <f t="array" ref="BK6">MATCH(MAX(ABS(BK3:BK5)), ABS(BK3:BK5), 0)</f>
        <v>1</v>
      </c>
      <c r="BL6" s="2">
        <f t="array" ref="BL6">MATCH(MAX(ABS(BL3:BL5)), ABS(BL3:BL5), 0)</f>
        <v>1</v>
      </c>
      <c r="BM6" s="2">
        <f t="array" ref="BM6">MATCH(MAX(ABS(BM3:BM5)), ABS(BM3:BM5), 0)</f>
        <v>1</v>
      </c>
      <c r="BN6" s="2">
        <f t="array" ref="BN6">MATCH(MAX(ABS(BN3:BN5)), ABS(BN3:BN5), 0)</f>
        <v>1</v>
      </c>
      <c r="BO6" s="2">
        <f t="array" ref="BO6">MATCH(MAX(ABS(BO3:BO5)), ABS(BO3:BO5), 0)</f>
        <v>2</v>
      </c>
      <c r="BP6" s="2">
        <f t="array" ref="BP6">MATCH(MAX(ABS(BP3:BP5)), ABS(BP3:BP5), 0)</f>
        <v>1</v>
      </c>
      <c r="BQ6" s="2">
        <f t="array" ref="BQ6">MATCH(MAX(ABS(BQ3:BQ5)), ABS(BQ3:BQ5), 0)</f>
        <v>1</v>
      </c>
      <c r="BR6" s="2">
        <f t="array" ref="BR6">MATCH(MAX(ABS(BR3:BR5)), ABS(BR3:BR5), 0)</f>
        <v>2</v>
      </c>
      <c r="BS6" s="2">
        <f t="array" ref="BS6">MATCH(MAX(ABS(BS3:BS5)), ABS(BS3:BS5), 0)</f>
        <v>1</v>
      </c>
      <c r="BT6" s="2">
        <f t="array" ref="BT6">MATCH(MAX(ABS(BT3:BT5)), ABS(BT3:BT5), 0)</f>
        <v>1</v>
      </c>
      <c r="BU6" s="2">
        <f t="array" ref="BU6">MATCH(MAX(ABS(BU3:BU5)), ABS(BU3:BU5), 0)</f>
        <v>1</v>
      </c>
      <c r="BV6" s="2">
        <f t="array" ref="BV6">MATCH(MAX(ABS(BV3:BV5)), ABS(BV3:BV5), 0)</f>
        <v>1</v>
      </c>
      <c r="BW6" s="2">
        <f t="array" ref="BW6">MATCH(MAX(ABS(BW3:BW5)), ABS(BW3:BW5), 0)</f>
        <v>3</v>
      </c>
      <c r="BX6" s="2">
        <f t="array" ref="BX6">MATCH(MAX(ABS(BX3:BX5)), ABS(BX3:BX5), 0)</f>
        <v>1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1</v>
      </c>
      <c r="CD6" s="2">
        <f t="array" ref="CD6">MATCH(MAX(ABS(CD3:CD5)), ABS(CD3:CD5), 0)</f>
        <v>1</v>
      </c>
      <c r="CE6" s="2">
        <f t="array" ref="CE6">MATCH(MAX(ABS(CE3:CE5)), ABS(CE3:CE5), 0)</f>
        <v>1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2</v>
      </c>
      <c r="CJ6" s="2">
        <f t="array" ref="CJ6">MATCH(MAX(ABS(CJ3:CJ5)), ABS(CJ3:CJ5), 0)</f>
        <v>1</v>
      </c>
      <c r="CK6" s="2">
        <f t="array" ref="CK6">MATCH(MAX(ABS(CK3:CK5)), ABS(CK3:CK5), 0)</f>
        <v>1</v>
      </c>
      <c r="CL6" s="2">
        <f t="array" ref="CL6">MATCH(MAX(ABS(CL3:CL5)), ABS(CL3:CL5), 0)</f>
        <v>2</v>
      </c>
      <c r="CM6" s="2">
        <f t="array" ref="CM6">MATCH(MAX(ABS(CM3:CM5)), ABS(CM3:CM5), 0)</f>
        <v>1</v>
      </c>
      <c r="CN6" s="2">
        <f t="array" ref="CN6">MATCH(MAX(ABS(CN3:CN5)), ABS(CN3:CN5), 0)</f>
        <v>1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2</v>
      </c>
      <c r="CR6" s="2">
        <f t="array" ref="CR6">MATCH(MAX(ABS(CR3:CR5)), ABS(CR3:CR5), 0)</f>
        <v>2</v>
      </c>
      <c r="CS6" s="2">
        <f t="array" ref="CS6">MATCH(MAX(ABS(CS3:CS5)), ABS(CS3:CS5), 0)</f>
        <v>1</v>
      </c>
      <c r="CT6" s="2">
        <f t="array" ref="CT6">MATCH(MAX(ABS(CT3:CT5)), ABS(CT3:CT5), 0)</f>
        <v>1</v>
      </c>
      <c r="CU6" s="2">
        <f t="array" ref="CU6">MATCH(MAX(ABS(CU3:CU5)), ABS(CU3:CU5), 0)</f>
        <v>1</v>
      </c>
      <c r="CV6" s="2">
        <f t="array" ref="CV6">MATCH(MAX(ABS(CV3:CV5)), ABS(CV3:CV5), 0)</f>
        <v>1</v>
      </c>
      <c r="CW6" s="2">
        <f t="array" ref="CW6">MATCH(MAX(ABS(CW3:CW5)), ABS(CW3:CW5), 0)</f>
        <v>2</v>
      </c>
      <c r="CX6" s="2">
        <f t="array" ref="CX6">MATCH(MAX(ABS(CX3:CX5)), ABS(CX3:CX5), 0)</f>
        <v>1</v>
      </c>
      <c r="CY6" s="2">
        <f t="array" ref="CY6">MATCH(MAX(ABS(CY3:CY5)), ABS(CY3:CY5), 0)</f>
        <v>1</v>
      </c>
      <c r="CZ6" s="2">
        <f t="array" ref="CZ6">MATCH(MAX(ABS(CZ3:CZ5)), ABS(CZ3:CZ5), 0)</f>
        <v>1</v>
      </c>
      <c r="DA6" s="2">
        <f t="array" ref="DA6">MATCH(MAX(ABS(DA3:DA5)), ABS(DA3:DA5), 0)</f>
        <v>1</v>
      </c>
      <c r="DB6" s="2">
        <f t="array" ref="DB6">MATCH(MAX(ABS(DB3:DB5)), ABS(DB3:DB5), 0)</f>
        <v>1</v>
      </c>
      <c r="DC6" s="2">
        <f t="array" ref="DC6">MATCH(MAX(ABS(DC3:DC5)), ABS(DC3:DC5), 0)</f>
        <v>1</v>
      </c>
      <c r="DD6" s="2">
        <f t="array" ref="DD6">MATCH(MAX(ABS(DD3:DD5)), ABS(DD3:DD5), 0)</f>
        <v>1</v>
      </c>
      <c r="DE6" s="2">
        <f t="array" ref="DE6">MATCH(MAX(ABS(DE3:DE5)), ABS(DE3:DE5), 0)</f>
        <v>1</v>
      </c>
      <c r="DF6" s="2">
        <f t="array" ref="DF6">MATCH(MAX(ABS(DF3:DF5)), ABS(DF3:DF5), 0)</f>
        <v>2</v>
      </c>
      <c r="DG6" s="2">
        <f t="array" ref="DG6">MATCH(MAX(ABS(DG3:DG5)), ABS(DG3:DG5), 0)</f>
        <v>1</v>
      </c>
      <c r="DH6" s="2">
        <f t="array" ref="DH6">MATCH(MAX(ABS(DH3:DH5)), ABS(DH3:DH5), 0)</f>
        <v>1</v>
      </c>
      <c r="DI6" s="2">
        <f t="array" ref="DI6">MATCH(MAX(ABS(DI3:DI5)), ABS(DI3:DI5), 0)</f>
        <v>1</v>
      </c>
      <c r="DJ6" s="2">
        <f t="array" ref="DJ6">MATCH(MAX(ABS(DJ3:DJ5)), ABS(DJ3:DJ5), 0)</f>
        <v>1</v>
      </c>
      <c r="DK6" s="2">
        <f t="array" ref="DK6">MATCH(MAX(ABS(DK3:DK5)), ABS(DK3:DK5), 0)</f>
        <v>1</v>
      </c>
      <c r="DL6" s="2">
        <f t="array" ref="DL6">MATCH(MAX(ABS(DL3:DL5)), ABS(DL3:DL5), 0)</f>
        <v>2</v>
      </c>
      <c r="DM6" s="2">
        <f t="array" ref="DM6">MATCH(MAX(ABS(DM3:DM5)), ABS(DM3:DM5), 0)</f>
        <v>1</v>
      </c>
      <c r="DN6" s="2">
        <f t="array" ref="DN6">MATCH(MAX(ABS(DN3:DN5)), ABS(DN3:DN5), 0)</f>
        <v>1</v>
      </c>
      <c r="DO6" s="2">
        <f t="array" ref="DO6">MATCH(MAX(ABS(DO3:DO5)), ABS(DO3:DO5), 0)</f>
        <v>2</v>
      </c>
      <c r="DP6" s="2">
        <f t="array" ref="DP6">MATCH(MAX(ABS(DP3:DP5)), ABS(DP3:DP5), 0)</f>
        <v>1</v>
      </c>
      <c r="DQ6" s="2">
        <f t="array" ref="DQ6">MATCH(MAX(ABS(DQ3:DQ5)), ABS(DQ3:DQ5), 0)</f>
        <v>1</v>
      </c>
      <c r="DR6" s="2">
        <f t="array" ref="DR6">MATCH(MAX(ABS(DR3:DR5)), ABS(DR3:DR5), 0)</f>
        <v>1</v>
      </c>
      <c r="DS6" s="2">
        <f t="array" ref="DS6">MATCH(MAX(ABS(DS3:DS5)), ABS(DS3:DS5), 0)</f>
        <v>1</v>
      </c>
      <c r="DT6" s="2">
        <f t="array" ref="DT6">MATCH(MAX(ABS(DT3:DT5)), ABS(DT3:DT5), 0)</f>
        <v>2</v>
      </c>
      <c r="DU6" s="2">
        <f t="array" ref="DU6">MATCH(MAX(ABS(DU3:DU5)), ABS(DU3:DU5), 0)</f>
        <v>1</v>
      </c>
      <c r="DV6" s="2">
        <f t="array" ref="DV6">MATCH(MAX(ABS(DV3:DV5)), ABS(DV3:DV5), 0)</f>
        <v>1</v>
      </c>
      <c r="DW6" s="2">
        <f t="array" ref="DW6">MATCH(MAX(ABS(DW3:DW5)), ABS(DW3:DW5), 0)</f>
        <v>1</v>
      </c>
      <c r="DX6" s="2">
        <f t="array" ref="DX6">MATCH(MAX(ABS(DX3:DX5)), ABS(DX3:DX5), 0)</f>
        <v>2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1</v>
      </c>
      <c r="EB6" s="2">
        <f t="array" ref="EB6">MATCH(MAX(ABS(EB3:EB5)), ABS(EB3:EB5), 0)</f>
        <v>2</v>
      </c>
      <c r="EC6" s="2">
        <f t="array" ref="EC6">MATCH(MAX(ABS(EC3:EC5)), ABS(EC3:EC5), 0)</f>
        <v>2</v>
      </c>
      <c r="ED6" s="2">
        <f t="array" ref="ED6">MATCH(MAX(ABS(ED3:ED5)), ABS(ED3:ED5), 0)</f>
        <v>1</v>
      </c>
      <c r="EE6" s="2">
        <f t="array" ref="EE6">MATCH(MAX(ABS(EE3:EE5)), ABS(EE3:EE5), 0)</f>
        <v>1</v>
      </c>
      <c r="EF6" s="2">
        <f t="array" ref="EF6">MATCH(MAX(ABS(EF3:EF5)), ABS(EF3:EF5), 0)</f>
        <v>1</v>
      </c>
      <c r="EG6" s="2">
        <f t="array" ref="EG6">MATCH(MAX(ABS(EG3:EG5)), ABS(EG3:EG5), 0)</f>
        <v>1</v>
      </c>
      <c r="EH6" s="2">
        <f t="array" ref="EH6">MATCH(MAX(ABS(EH3:EH5)), ABS(EH3:EH5), 0)</f>
        <v>2</v>
      </c>
      <c r="EI6" s="2">
        <f t="array" ref="EI6">MATCH(MAX(ABS(EI3:EI5)), ABS(EI3:EI5), 0)</f>
        <v>1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bm</v>
      </c>
      <c r="D7" s="2" t="str">
        <f t="shared" si="0"/>
        <v>bm</v>
      </c>
      <c r="E7" s="2" t="str">
        <f t="shared" si="0"/>
        <v>size</v>
      </c>
      <c r="F7" s="2" t="str">
        <f t="shared" si="0"/>
        <v>bm</v>
      </c>
      <c r="G7" s="2" t="str">
        <f t="shared" si="0"/>
        <v>bm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bm</v>
      </c>
      <c r="M7" s="2" t="str">
        <f t="shared" si="0"/>
        <v>bm</v>
      </c>
      <c r="N7" s="2" t="str">
        <f t="shared" si="0"/>
        <v>bm</v>
      </c>
      <c r="O7" s="2" t="str">
        <f t="shared" si="0"/>
        <v>bm</v>
      </c>
      <c r="P7" s="2" t="str">
        <f t="shared" si="0"/>
        <v>size</v>
      </c>
      <c r="Q7" s="2" t="str">
        <f t="shared" si="0"/>
        <v>bm</v>
      </c>
      <c r="R7" s="2" t="str">
        <f t="shared" si="0"/>
        <v>bm</v>
      </c>
      <c r="S7" s="2" t="str">
        <f t="shared" si="0"/>
        <v>bm</v>
      </c>
      <c r="T7" s="2" t="str">
        <f t="shared" si="0"/>
        <v>mom</v>
      </c>
      <c r="U7" s="2" t="str">
        <f t="shared" si="0"/>
        <v>bm</v>
      </c>
      <c r="V7" s="2" t="str">
        <f t="shared" si="0"/>
        <v>bm</v>
      </c>
      <c r="W7" s="2" t="str">
        <f t="shared" si="0"/>
        <v>bm</v>
      </c>
      <c r="X7" s="2" t="str">
        <f t="shared" si="0"/>
        <v>bm</v>
      </c>
      <c r="Y7" s="2" t="str">
        <f t="shared" si="0"/>
        <v>bm</v>
      </c>
      <c r="Z7" s="2" t="str">
        <f t="shared" si="0"/>
        <v>bm</v>
      </c>
      <c r="AA7" s="2" t="str">
        <f t="shared" si="0"/>
        <v>bm</v>
      </c>
      <c r="AB7" s="2" t="str">
        <f t="shared" si="0"/>
        <v>bm</v>
      </c>
      <c r="AC7" s="2" t="str">
        <f t="shared" si="0"/>
        <v>bm</v>
      </c>
      <c r="AD7" s="2" t="str">
        <f t="shared" si="0"/>
        <v>bm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size</v>
      </c>
      <c r="AI7" s="2" t="str">
        <f t="shared" ref="AI7:BN7" si="1">IF(AI6=1,"bm",IF(AI6=2,"size",IF(AI6=3,"mom")))</f>
        <v>bm</v>
      </c>
      <c r="AJ7" s="2" t="str">
        <f t="shared" si="1"/>
        <v>bm</v>
      </c>
      <c r="AK7" s="2" t="str">
        <f t="shared" si="1"/>
        <v>bm</v>
      </c>
      <c r="AL7" s="2" t="str">
        <f t="shared" si="1"/>
        <v>bm</v>
      </c>
      <c r="AM7" s="2" t="str">
        <f t="shared" si="1"/>
        <v>bm</v>
      </c>
      <c r="AN7" s="2" t="str">
        <f t="shared" si="1"/>
        <v>bm</v>
      </c>
      <c r="AO7" s="2" t="str">
        <f t="shared" si="1"/>
        <v>size</v>
      </c>
      <c r="AP7" s="2" t="str">
        <f t="shared" si="1"/>
        <v>size</v>
      </c>
      <c r="AQ7" s="2" t="str">
        <f t="shared" si="1"/>
        <v>bm</v>
      </c>
      <c r="AR7" s="2" t="str">
        <f t="shared" si="1"/>
        <v>bm</v>
      </c>
      <c r="AS7" s="2" t="str">
        <f t="shared" si="1"/>
        <v>bm</v>
      </c>
      <c r="AT7" s="2" t="str">
        <f t="shared" si="1"/>
        <v>bm</v>
      </c>
      <c r="AU7" s="2" t="str">
        <f t="shared" si="1"/>
        <v>size</v>
      </c>
      <c r="AV7" s="2" t="str">
        <f t="shared" si="1"/>
        <v>bm</v>
      </c>
      <c r="AW7" s="2" t="str">
        <f t="shared" si="1"/>
        <v>bm</v>
      </c>
      <c r="AX7" s="2" t="str">
        <f t="shared" si="1"/>
        <v>bm</v>
      </c>
      <c r="AY7" s="2" t="str">
        <f t="shared" si="1"/>
        <v>size</v>
      </c>
      <c r="AZ7" s="2" t="str">
        <f t="shared" si="1"/>
        <v>size</v>
      </c>
      <c r="BA7" s="2" t="str">
        <f t="shared" si="1"/>
        <v>bm</v>
      </c>
      <c r="BB7" s="2" t="str">
        <f t="shared" si="1"/>
        <v>bm</v>
      </c>
      <c r="BC7" s="2" t="str">
        <f t="shared" si="1"/>
        <v>bm</v>
      </c>
      <c r="BD7" s="2" t="str">
        <f t="shared" si="1"/>
        <v>size</v>
      </c>
      <c r="BE7" s="2" t="str">
        <f t="shared" si="1"/>
        <v>size</v>
      </c>
      <c r="BF7" s="2" t="str">
        <f t="shared" si="1"/>
        <v>bm</v>
      </c>
      <c r="BG7" s="2" t="str">
        <f t="shared" si="1"/>
        <v>size</v>
      </c>
      <c r="BH7" s="2" t="str">
        <f t="shared" si="1"/>
        <v>bm</v>
      </c>
      <c r="BI7" s="2" t="str">
        <f t="shared" si="1"/>
        <v>bm</v>
      </c>
      <c r="BJ7" s="2" t="str">
        <f t="shared" si="1"/>
        <v>mom</v>
      </c>
      <c r="BK7" s="2" t="str">
        <f t="shared" si="1"/>
        <v>bm</v>
      </c>
      <c r="BL7" s="2" t="str">
        <f t="shared" si="1"/>
        <v>bm</v>
      </c>
      <c r="BM7" s="2" t="str">
        <f t="shared" si="1"/>
        <v>bm</v>
      </c>
      <c r="BN7" s="2" t="str">
        <f t="shared" si="1"/>
        <v>bm</v>
      </c>
      <c r="BO7" s="2" t="str">
        <f t="shared" ref="BO7:CT7" si="2">IF(BO6=1,"bm",IF(BO6=2,"size",IF(BO6=3,"mom")))</f>
        <v>size</v>
      </c>
      <c r="BP7" s="2" t="str">
        <f t="shared" si="2"/>
        <v>bm</v>
      </c>
      <c r="BQ7" s="2" t="str">
        <f t="shared" si="2"/>
        <v>bm</v>
      </c>
      <c r="BR7" s="2" t="str">
        <f t="shared" si="2"/>
        <v>size</v>
      </c>
      <c r="BS7" s="2" t="str">
        <f t="shared" si="2"/>
        <v>bm</v>
      </c>
      <c r="BT7" s="2" t="str">
        <f t="shared" si="2"/>
        <v>bm</v>
      </c>
      <c r="BU7" s="2" t="str">
        <f t="shared" si="2"/>
        <v>bm</v>
      </c>
      <c r="BV7" s="2" t="str">
        <f t="shared" si="2"/>
        <v>bm</v>
      </c>
      <c r="BW7" s="2" t="str">
        <f t="shared" si="2"/>
        <v>mom</v>
      </c>
      <c r="BX7" s="2" t="str">
        <f t="shared" si="2"/>
        <v>bm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bm</v>
      </c>
      <c r="CD7" s="2" t="str">
        <f t="shared" si="2"/>
        <v>bm</v>
      </c>
      <c r="CE7" s="2" t="str">
        <f t="shared" si="2"/>
        <v>bm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size</v>
      </c>
      <c r="CJ7" s="2" t="str">
        <f t="shared" si="2"/>
        <v>bm</v>
      </c>
      <c r="CK7" s="2" t="str">
        <f t="shared" si="2"/>
        <v>bm</v>
      </c>
      <c r="CL7" s="2" t="str">
        <f t="shared" si="2"/>
        <v>size</v>
      </c>
      <c r="CM7" s="2" t="str">
        <f t="shared" si="2"/>
        <v>bm</v>
      </c>
      <c r="CN7" s="2" t="str">
        <f t="shared" si="2"/>
        <v>bm</v>
      </c>
      <c r="CO7" s="2" t="str">
        <f t="shared" si="2"/>
        <v>size</v>
      </c>
      <c r="CP7" s="2" t="str">
        <f t="shared" si="2"/>
        <v>bm</v>
      </c>
      <c r="CQ7" s="2" t="str">
        <f t="shared" si="2"/>
        <v>size</v>
      </c>
      <c r="CR7" s="2" t="str">
        <f t="shared" si="2"/>
        <v>size</v>
      </c>
      <c r="CS7" s="2" t="str">
        <f t="shared" si="2"/>
        <v>bm</v>
      </c>
      <c r="CT7" s="2" t="str">
        <f t="shared" si="2"/>
        <v>bm</v>
      </c>
      <c r="CU7" s="2" t="str">
        <f t="shared" ref="CU7:DZ7" si="3">IF(CU6=1,"bm",IF(CU6=2,"size",IF(CU6=3,"mom")))</f>
        <v>bm</v>
      </c>
      <c r="CV7" s="2" t="str">
        <f t="shared" si="3"/>
        <v>bm</v>
      </c>
      <c r="CW7" s="2" t="str">
        <f t="shared" si="3"/>
        <v>size</v>
      </c>
      <c r="CX7" s="2" t="str">
        <f t="shared" si="3"/>
        <v>bm</v>
      </c>
      <c r="CY7" s="2" t="str">
        <f t="shared" si="3"/>
        <v>bm</v>
      </c>
      <c r="CZ7" s="2" t="str">
        <f t="shared" si="3"/>
        <v>bm</v>
      </c>
      <c r="DA7" s="2" t="str">
        <f t="shared" si="3"/>
        <v>bm</v>
      </c>
      <c r="DB7" s="2" t="str">
        <f t="shared" si="3"/>
        <v>bm</v>
      </c>
      <c r="DC7" s="2" t="str">
        <f t="shared" si="3"/>
        <v>bm</v>
      </c>
      <c r="DD7" s="2" t="str">
        <f t="shared" si="3"/>
        <v>bm</v>
      </c>
      <c r="DE7" s="2" t="str">
        <f t="shared" si="3"/>
        <v>bm</v>
      </c>
      <c r="DF7" s="2" t="str">
        <f t="shared" si="3"/>
        <v>size</v>
      </c>
      <c r="DG7" s="2" t="str">
        <f t="shared" si="3"/>
        <v>bm</v>
      </c>
      <c r="DH7" s="2" t="str">
        <f t="shared" si="3"/>
        <v>bm</v>
      </c>
      <c r="DI7" s="2" t="str">
        <f t="shared" si="3"/>
        <v>bm</v>
      </c>
      <c r="DJ7" s="2" t="str">
        <f t="shared" si="3"/>
        <v>bm</v>
      </c>
      <c r="DK7" s="2" t="str">
        <f t="shared" si="3"/>
        <v>bm</v>
      </c>
      <c r="DL7" s="2" t="str">
        <f t="shared" si="3"/>
        <v>size</v>
      </c>
      <c r="DM7" s="2" t="str">
        <f t="shared" si="3"/>
        <v>bm</v>
      </c>
      <c r="DN7" s="2" t="str">
        <f t="shared" si="3"/>
        <v>bm</v>
      </c>
      <c r="DO7" s="2" t="str">
        <f t="shared" si="3"/>
        <v>size</v>
      </c>
      <c r="DP7" s="2" t="str">
        <f t="shared" si="3"/>
        <v>bm</v>
      </c>
      <c r="DQ7" s="2" t="str">
        <f t="shared" si="3"/>
        <v>bm</v>
      </c>
      <c r="DR7" s="2" t="str">
        <f t="shared" si="3"/>
        <v>bm</v>
      </c>
      <c r="DS7" s="2" t="str">
        <f t="shared" si="3"/>
        <v>bm</v>
      </c>
      <c r="DT7" s="2" t="str">
        <f t="shared" si="3"/>
        <v>size</v>
      </c>
      <c r="DU7" s="2" t="str">
        <f t="shared" si="3"/>
        <v>bm</v>
      </c>
      <c r="DV7" s="2" t="str">
        <f t="shared" si="3"/>
        <v>bm</v>
      </c>
      <c r="DW7" s="2" t="str">
        <f t="shared" si="3"/>
        <v>bm</v>
      </c>
      <c r="DX7" s="2" t="str">
        <f t="shared" si="3"/>
        <v>size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bm</v>
      </c>
      <c r="EB7" s="2" t="str">
        <f t="shared" si="4"/>
        <v>size</v>
      </c>
      <c r="EC7" s="2" t="str">
        <f t="shared" si="4"/>
        <v>size</v>
      </c>
      <c r="ED7" s="2" t="str">
        <f t="shared" si="4"/>
        <v>bm</v>
      </c>
      <c r="EE7" s="2" t="str">
        <f t="shared" si="4"/>
        <v>bm</v>
      </c>
      <c r="EF7" s="2" t="str">
        <f t="shared" si="4"/>
        <v>bm</v>
      </c>
      <c r="EG7" s="2" t="str">
        <f t="shared" si="4"/>
        <v>bm</v>
      </c>
      <c r="EH7" s="2" t="str">
        <f t="shared" si="4"/>
        <v>size</v>
      </c>
      <c r="EI7" s="2" t="str">
        <f t="shared" si="4"/>
        <v>bm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6.12049400806427E-2</v>
      </c>
      <c r="D8" s="2">
        <f t="shared" si="5"/>
        <v>7.2511330246925354E-2</v>
      </c>
      <c r="E8" s="2">
        <f t="shared" si="5"/>
        <v>-3.9785187691450119E-2</v>
      </c>
      <c r="F8" s="2">
        <f t="shared" si="5"/>
        <v>6.0068525373935699E-2</v>
      </c>
      <c r="G8" s="2">
        <f t="shared" si="5"/>
        <v>5.4933164268732071E-2</v>
      </c>
      <c r="H8" s="2">
        <f t="shared" si="5"/>
        <v>-0.1628625690937042</v>
      </c>
      <c r="I8" s="2">
        <f t="shared" si="5"/>
        <v>4.1277538985013962E-2</v>
      </c>
      <c r="J8" s="2">
        <f t="shared" si="5"/>
        <v>4.0029242634773247E-2</v>
      </c>
      <c r="K8" s="2">
        <f t="shared" si="5"/>
        <v>-3.253590315580368E-2</v>
      </c>
      <c r="L8" s="2">
        <f t="shared" si="5"/>
        <v>7.7602483332157135E-2</v>
      </c>
      <c r="M8" s="2">
        <f t="shared" si="5"/>
        <v>4.2970236390829093E-2</v>
      </c>
      <c r="N8" s="2">
        <f t="shared" si="5"/>
        <v>5.1299545913934708E-2</v>
      </c>
      <c r="O8" s="2">
        <f t="shared" si="5"/>
        <v>6.7217230796813965E-2</v>
      </c>
      <c r="P8" s="2">
        <f t="shared" si="5"/>
        <v>-4.0444657206535339E-2</v>
      </c>
      <c r="Q8" s="2">
        <f t="shared" si="5"/>
        <v>3.6692902445793152E-2</v>
      </c>
      <c r="R8" s="2">
        <f t="shared" si="5"/>
        <v>5.7352703064680099E-2</v>
      </c>
      <c r="S8" s="2">
        <f t="shared" si="5"/>
        <v>5.824115127325058E-2</v>
      </c>
      <c r="T8" s="2">
        <f t="shared" si="5"/>
        <v>5.9111282229423523E-2</v>
      </c>
      <c r="U8" s="2">
        <f t="shared" si="5"/>
        <v>8.7644942104816437E-2</v>
      </c>
      <c r="V8" s="2">
        <f t="shared" si="5"/>
        <v>5.71180060505867E-2</v>
      </c>
      <c r="W8" s="2">
        <f t="shared" si="5"/>
        <v>5.8588448911905289E-2</v>
      </c>
      <c r="X8" s="2">
        <f t="shared" si="5"/>
        <v>5.677197128534317E-2</v>
      </c>
      <c r="Y8" s="2">
        <f t="shared" si="5"/>
        <v>5.9611771255731583E-2</v>
      </c>
      <c r="Z8" s="2">
        <f t="shared" si="5"/>
        <v>5.6625247001647949E-2</v>
      </c>
      <c r="AA8" s="2">
        <f t="shared" si="5"/>
        <v>5.8075748383998871E-2</v>
      </c>
      <c r="AB8" s="2">
        <f t="shared" si="5"/>
        <v>5.8921128511428833E-2</v>
      </c>
      <c r="AC8" s="2">
        <f t="shared" si="5"/>
        <v>5.7191025465726852E-2</v>
      </c>
      <c r="AD8" s="2">
        <f t="shared" si="5"/>
        <v>4.8412855714559562E-2</v>
      </c>
      <c r="AE8" s="2">
        <f t="shared" si="5"/>
        <v>0.1127459183335304</v>
      </c>
      <c r="AF8" s="2">
        <f t="shared" si="5"/>
        <v>4.2073335498571403E-2</v>
      </c>
      <c r="AG8" s="2">
        <f t="shared" si="5"/>
        <v>5.5390156805515289E-2</v>
      </c>
      <c r="AH8" s="2">
        <f t="shared" si="5"/>
        <v>-1.8579920753836628E-2</v>
      </c>
      <c r="AI8" s="2">
        <f t="shared" ref="AI8:BN8" si="6">IF(AI6=1,AI3,IF(AI6=2,AI4,IF(AI6=3,AI5)))</f>
        <v>3.7803374230861657E-2</v>
      </c>
      <c r="AJ8" s="2">
        <f t="shared" si="6"/>
        <v>3.8440905511379242E-2</v>
      </c>
      <c r="AK8" s="2">
        <f t="shared" si="6"/>
        <v>4.3643329292535782E-2</v>
      </c>
      <c r="AL8" s="2">
        <f t="shared" si="6"/>
        <v>5.5902425199747093E-2</v>
      </c>
      <c r="AM8" s="2">
        <f t="shared" si="6"/>
        <v>4.4350031763315201E-2</v>
      </c>
      <c r="AN8" s="2">
        <f t="shared" si="6"/>
        <v>5.7365026324987411E-2</v>
      </c>
      <c r="AO8" s="2">
        <f t="shared" si="6"/>
        <v>-5.1725324243307107E-2</v>
      </c>
      <c r="AP8" s="2">
        <f t="shared" si="6"/>
        <v>6.6316254436969757E-2</v>
      </c>
      <c r="AQ8" s="2">
        <f t="shared" si="6"/>
        <v>5.1331903785467148E-2</v>
      </c>
      <c r="AR8" s="2">
        <f t="shared" si="6"/>
        <v>5.3158313035964973E-2</v>
      </c>
      <c r="AS8" s="2">
        <f t="shared" si="6"/>
        <v>5.3955111652612693E-2</v>
      </c>
      <c r="AT8" s="2">
        <f t="shared" si="6"/>
        <v>4.2485147714614868E-2</v>
      </c>
      <c r="AU8" s="2">
        <f t="shared" si="6"/>
        <v>-4.8994671553373337E-2</v>
      </c>
      <c r="AV8" s="2">
        <f t="shared" si="6"/>
        <v>5.8870542794466019E-2</v>
      </c>
      <c r="AW8" s="2">
        <f t="shared" si="6"/>
        <v>4.7994006425142288E-2</v>
      </c>
      <c r="AX8" s="2">
        <f t="shared" si="6"/>
        <v>8.6182266473770142E-2</v>
      </c>
      <c r="AY8" s="2">
        <f t="shared" si="6"/>
        <v>3.8394477218389511E-2</v>
      </c>
      <c r="AZ8" s="2">
        <f t="shared" si="6"/>
        <v>-4.6988997608423233E-2</v>
      </c>
      <c r="BA8" s="2">
        <f t="shared" si="6"/>
        <v>4.9207791686058037E-2</v>
      </c>
      <c r="BB8" s="2">
        <f t="shared" si="6"/>
        <v>7.653963565826416E-2</v>
      </c>
      <c r="BC8" s="2">
        <f t="shared" si="6"/>
        <v>5.167977511882782E-2</v>
      </c>
      <c r="BD8" s="2">
        <f t="shared" si="6"/>
        <v>7.9279758036136627E-2</v>
      </c>
      <c r="BE8" s="2">
        <f t="shared" si="6"/>
        <v>-6.5230011940002441E-2</v>
      </c>
      <c r="BF8" s="2">
        <f t="shared" si="6"/>
        <v>5.2925221621990197E-2</v>
      </c>
      <c r="BG8" s="2">
        <f t="shared" si="6"/>
        <v>-6.3128843903541565E-2</v>
      </c>
      <c r="BH8" s="2">
        <f t="shared" si="6"/>
        <v>4.4987935572862632E-2</v>
      </c>
      <c r="BI8" s="2">
        <f t="shared" si="6"/>
        <v>-5.5818486958742142E-2</v>
      </c>
      <c r="BJ8" s="2">
        <f t="shared" si="6"/>
        <v>4.7536559402942657E-2</v>
      </c>
      <c r="BK8" s="2">
        <f t="shared" si="6"/>
        <v>5.2559554576873779E-2</v>
      </c>
      <c r="BL8" s="2">
        <f t="shared" si="6"/>
        <v>-1.9598362967371941E-2</v>
      </c>
      <c r="BM8" s="2">
        <f t="shared" si="6"/>
        <v>5.2786063402891159E-2</v>
      </c>
      <c r="BN8" s="2">
        <f t="shared" si="6"/>
        <v>5.6244544684886932E-2</v>
      </c>
      <c r="BO8" s="2">
        <f t="shared" ref="BO8:CT8" si="7">IF(BO6=1,BO3,IF(BO6=2,BO4,IF(BO6=3,BO5)))</f>
        <v>-9.0293154120445251E-2</v>
      </c>
      <c r="BP8" s="2">
        <f t="shared" si="7"/>
        <v>5.9325642883777618E-2</v>
      </c>
      <c r="BQ8" s="2">
        <f t="shared" si="7"/>
        <v>5.38657046854496E-2</v>
      </c>
      <c r="BR8" s="2">
        <f t="shared" si="7"/>
        <v>-5.8591317385435097E-2</v>
      </c>
      <c r="BS8" s="2">
        <f t="shared" si="7"/>
        <v>5.4341584444046021E-2</v>
      </c>
      <c r="BT8" s="2">
        <f t="shared" si="7"/>
        <v>6.0930393636226647E-2</v>
      </c>
      <c r="BU8" s="2">
        <f t="shared" si="7"/>
        <v>5.4812837392091751E-2</v>
      </c>
      <c r="BV8" s="2">
        <f t="shared" si="7"/>
        <v>5.2568450570106513E-2</v>
      </c>
      <c r="BW8" s="2">
        <f t="shared" si="7"/>
        <v>-4.5471269637346268E-2</v>
      </c>
      <c r="BX8" s="2">
        <f t="shared" si="7"/>
        <v>5.682339146733284E-2</v>
      </c>
      <c r="BY8" s="2">
        <f t="shared" si="7"/>
        <v>5.5634047836065292E-2</v>
      </c>
      <c r="BZ8" s="2">
        <f t="shared" si="7"/>
        <v>5.4056894034147263E-2</v>
      </c>
      <c r="CA8" s="2">
        <f t="shared" si="7"/>
        <v>5.063512921333313E-2</v>
      </c>
      <c r="CB8" s="2">
        <f t="shared" si="7"/>
        <v>-4.9766700714826577E-2</v>
      </c>
      <c r="CC8" s="2">
        <f t="shared" si="7"/>
        <v>5.2197903394699097E-2</v>
      </c>
      <c r="CD8" s="2">
        <f t="shared" si="7"/>
        <v>4.967692494392395E-2</v>
      </c>
      <c r="CE8" s="2">
        <f t="shared" si="7"/>
        <v>4.7654405236244202E-2</v>
      </c>
      <c r="CF8" s="2">
        <f t="shared" si="7"/>
        <v>5.0498437136411667E-2</v>
      </c>
      <c r="CG8" s="2">
        <f t="shared" si="7"/>
        <v>-0.13772884011268621</v>
      </c>
      <c r="CH8" s="2">
        <f t="shared" si="7"/>
        <v>-5.2071664482355118E-2</v>
      </c>
      <c r="CI8" s="2">
        <f t="shared" si="7"/>
        <v>-4.0054671466350562E-2</v>
      </c>
      <c r="CJ8" s="2">
        <f t="shared" si="7"/>
        <v>6.2081679701805108E-2</v>
      </c>
      <c r="CK8" s="2">
        <f t="shared" si="7"/>
        <v>5.1945634186267853E-2</v>
      </c>
      <c r="CL8" s="2">
        <f t="shared" si="7"/>
        <v>5.391576886177063E-2</v>
      </c>
      <c r="CM8" s="2">
        <f t="shared" si="7"/>
        <v>4.9791298806667328E-2</v>
      </c>
      <c r="CN8" s="2">
        <f t="shared" si="7"/>
        <v>-5.1051981747150421E-2</v>
      </c>
      <c r="CO8" s="2">
        <f t="shared" si="7"/>
        <v>-6.1310693621635437E-2</v>
      </c>
      <c r="CP8" s="2">
        <f t="shared" si="7"/>
        <v>3.831993043422699E-2</v>
      </c>
      <c r="CQ8" s="2">
        <f t="shared" si="7"/>
        <v>-6.4088389277458191E-2</v>
      </c>
      <c r="CR8" s="2">
        <f t="shared" si="7"/>
        <v>5.1752254366874688E-2</v>
      </c>
      <c r="CS8" s="2">
        <f t="shared" si="7"/>
        <v>4.7766562551259988E-2</v>
      </c>
      <c r="CT8" s="2">
        <f t="shared" si="7"/>
        <v>2.650626003742218E-2</v>
      </c>
      <c r="CU8" s="2">
        <f t="shared" ref="CU8:DZ8" si="8">IF(CU6=1,CU3,IF(CU6=2,CU4,IF(CU6=3,CU5)))</f>
        <v>4.5024186372756958E-2</v>
      </c>
      <c r="CV8" s="2">
        <f t="shared" si="8"/>
        <v>5.1086608320474618E-2</v>
      </c>
      <c r="CW8" s="2">
        <f t="shared" si="8"/>
        <v>-5.0927214324474328E-2</v>
      </c>
      <c r="CX8" s="2">
        <f t="shared" si="8"/>
        <v>5.2254576236009598E-2</v>
      </c>
      <c r="CY8" s="2">
        <f t="shared" si="8"/>
        <v>5.200684443116188E-2</v>
      </c>
      <c r="CZ8" s="2">
        <f t="shared" si="8"/>
        <v>4.3027881532907493E-2</v>
      </c>
      <c r="DA8" s="2">
        <f t="shared" si="8"/>
        <v>4.4491849839687347E-2</v>
      </c>
      <c r="DB8" s="2">
        <f t="shared" si="8"/>
        <v>5.3787026554346078E-2</v>
      </c>
      <c r="DC8" s="2">
        <f t="shared" si="8"/>
        <v>5.2698738873004913E-2</v>
      </c>
      <c r="DD8" s="2">
        <f t="shared" si="8"/>
        <v>3.576786071062088E-2</v>
      </c>
      <c r="DE8" s="2">
        <f t="shared" si="8"/>
        <v>5.2665602415800088E-2</v>
      </c>
      <c r="DF8" s="2">
        <f t="shared" si="8"/>
        <v>0.1166923344135284</v>
      </c>
      <c r="DG8" s="2">
        <f t="shared" si="8"/>
        <v>3.4475583583116531E-2</v>
      </c>
      <c r="DH8" s="2">
        <f t="shared" si="8"/>
        <v>4.8142813146114349E-2</v>
      </c>
      <c r="DI8" s="2">
        <f t="shared" si="8"/>
        <v>4.9271531403064728E-2</v>
      </c>
      <c r="DJ8" s="2">
        <f t="shared" si="8"/>
        <v>5.2601665258407593E-2</v>
      </c>
      <c r="DK8" s="2">
        <f t="shared" si="8"/>
        <v>6.7928150296211243E-2</v>
      </c>
      <c r="DL8" s="2">
        <f t="shared" si="8"/>
        <v>-6.0599394142627723E-2</v>
      </c>
      <c r="DM8" s="2">
        <f t="shared" si="8"/>
        <v>4.8600025475025177E-2</v>
      </c>
      <c r="DN8" s="2">
        <f t="shared" si="8"/>
        <v>4.6405158936977393E-2</v>
      </c>
      <c r="DO8" s="2">
        <f t="shared" si="8"/>
        <v>-3.7243012338876717E-2</v>
      </c>
      <c r="DP8" s="2">
        <f t="shared" si="8"/>
        <v>4.7461628913879388E-2</v>
      </c>
      <c r="DQ8" s="2">
        <f t="shared" si="8"/>
        <v>3.6974836140871048E-2</v>
      </c>
      <c r="DR8" s="2">
        <f t="shared" si="8"/>
        <v>4.2524911463260651E-2</v>
      </c>
      <c r="DS8" s="2">
        <f t="shared" si="8"/>
        <v>4.7911066561937332E-2</v>
      </c>
      <c r="DT8" s="2">
        <f t="shared" si="8"/>
        <v>-4.7935560345649719E-2</v>
      </c>
      <c r="DU8" s="2">
        <f t="shared" si="8"/>
        <v>5.4288685321807861E-2</v>
      </c>
      <c r="DV8" s="2">
        <f t="shared" si="8"/>
        <v>4.625309631228447E-2</v>
      </c>
      <c r="DW8" s="2">
        <f t="shared" si="8"/>
        <v>4.7988094389438629E-2</v>
      </c>
      <c r="DX8" s="2">
        <f t="shared" si="8"/>
        <v>5.0036542117595673E-2</v>
      </c>
      <c r="DY8" s="2">
        <f t="shared" si="8"/>
        <v>-6.7029789090156555E-2</v>
      </c>
      <c r="DZ8" s="2">
        <f t="shared" si="8"/>
        <v>3.5397574305534363E-2</v>
      </c>
      <c r="EA8" s="2">
        <f t="shared" ref="EA8:EM8" si="9">IF(EA6=1,EA3,IF(EA6=2,EA4,IF(EA6=3,EA5)))</f>
        <v>4.962235689163208E-2</v>
      </c>
      <c r="EB8" s="2">
        <f t="shared" si="9"/>
        <v>-2.8134334832429889E-2</v>
      </c>
      <c r="EC8" s="2">
        <f t="shared" si="9"/>
        <v>3.842022642493248E-2</v>
      </c>
      <c r="ED8" s="2">
        <f t="shared" si="9"/>
        <v>6.3536964356899261E-2</v>
      </c>
      <c r="EE8" s="2">
        <f t="shared" si="9"/>
        <v>4.7288980334997177E-2</v>
      </c>
      <c r="EF8" s="2">
        <f t="shared" si="9"/>
        <v>4.9761466681957238E-2</v>
      </c>
      <c r="EG8" s="2">
        <f t="shared" si="9"/>
        <v>4.3250363320112228E-2</v>
      </c>
      <c r="EH8" s="2">
        <f t="shared" si="9"/>
        <v>-4.1339848190546043E-2</v>
      </c>
      <c r="EI8" s="2">
        <f t="shared" si="9"/>
        <v>5.3057532757520683E-2</v>
      </c>
      <c r="EJ8" s="2">
        <f t="shared" si="9"/>
        <v>4.9299325793981552E-2</v>
      </c>
      <c r="EK8" s="2">
        <f t="shared" si="9"/>
        <v>-5.0885953009128571E-2</v>
      </c>
      <c r="EL8" s="2">
        <f t="shared" si="9"/>
        <v>4.7524686902761459E-2</v>
      </c>
      <c r="EM8" s="2">
        <f t="shared" si="9"/>
        <v>5.1978707313537598E-2</v>
      </c>
    </row>
    <row r="10" spans="1:145" x14ac:dyDescent="0.3">
      <c r="A10" s="21" t="s">
        <v>147</v>
      </c>
      <c r="B10" s="22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9">
        <v>10</v>
      </c>
      <c r="B12" s="19">
        <f t="shared" ref="B12:B24" si="10">ROUND($D$10/A12,0)</f>
        <v>105</v>
      </c>
      <c r="C12" s="3">
        <v>8.5633312230196421E-2</v>
      </c>
      <c r="D12" s="3">
        <v>7.7729503154376378E-2</v>
      </c>
      <c r="E12" s="3">
        <v>2.1856465519392979E-2</v>
      </c>
      <c r="F12" s="3">
        <v>-1.1606093574395151E-2</v>
      </c>
      <c r="G12" s="3">
        <v>-1.1115292118230849E-2</v>
      </c>
      <c r="H12" s="3">
        <v>4.7549460675043877E-2</v>
      </c>
      <c r="I12" s="3">
        <v>4.1112693506457167E-2</v>
      </c>
      <c r="J12" s="3">
        <v>4.1887109239853747E-2</v>
      </c>
      <c r="K12" s="3">
        <v>5.2139436501349862E-3</v>
      </c>
      <c r="L12" s="3">
        <v>-7.6613211035560722E-3</v>
      </c>
      <c r="M12" s="3">
        <v>-1.3642143304613819E-2</v>
      </c>
      <c r="N12" s="3">
        <v>-2.5141651356000438E-2</v>
      </c>
      <c r="O12" s="3">
        <v>-6.2853742140274536E-3</v>
      </c>
      <c r="P12" s="3">
        <v>5.2291788400131876E-3</v>
      </c>
      <c r="Q12" s="3">
        <v>-1.456353524496567E-2</v>
      </c>
      <c r="R12" s="3">
        <v>6.5501356848768266E-3</v>
      </c>
      <c r="S12" s="3">
        <v>-3.3044001337843097E-2</v>
      </c>
      <c r="T12" s="3">
        <v>9.6377079677424995E-3</v>
      </c>
      <c r="U12" s="3">
        <v>1.8075871150034781E-4</v>
      </c>
      <c r="V12" s="3">
        <v>1.4928622442590109E-2</v>
      </c>
      <c r="W12" s="3">
        <v>6.6938209233835616E-2</v>
      </c>
      <c r="X12" s="3">
        <v>5.2920933630529222E-2</v>
      </c>
      <c r="Y12" s="3">
        <v>-3.0234922185923978E-2</v>
      </c>
      <c r="Z12" s="3">
        <v>5.0316199424580509E-2</v>
      </c>
      <c r="AA12" s="3">
        <v>-2.47196184100343E-2</v>
      </c>
      <c r="AB12" s="3">
        <v>1.28050226301566E-2</v>
      </c>
      <c r="AC12" s="3">
        <v>3.5365780908139223E-2</v>
      </c>
      <c r="AD12" s="3">
        <v>1.086328576234195E-2</v>
      </c>
      <c r="AE12" s="3">
        <v>4.461538175804991E-2</v>
      </c>
      <c r="AF12" s="3">
        <v>2.4289460160684801E-2</v>
      </c>
      <c r="AG12" s="3">
        <v>2.8863802865041369E-2</v>
      </c>
      <c r="AH12" s="3">
        <v>3.1323434985941007E-2</v>
      </c>
      <c r="AI12" s="3">
        <v>-1.6295303623246288E-2</v>
      </c>
      <c r="AJ12" s="3">
        <v>1.4163828625478939E-2</v>
      </c>
      <c r="AK12" s="3">
        <v>2.7691654766804959E-2</v>
      </c>
      <c r="AL12" s="3">
        <v>-4.5646982789463907E-2</v>
      </c>
      <c r="AM12" s="3">
        <v>2.945850880592852E-2</v>
      </c>
      <c r="AN12" s="3">
        <v>6.8507301791002159E-2</v>
      </c>
      <c r="AO12" s="3">
        <v>1.8709154626106419E-2</v>
      </c>
      <c r="AP12" s="3">
        <v>-1.055268923630342E-2</v>
      </c>
      <c r="AQ12" s="3">
        <v>-9.0323398943565475E-6</v>
      </c>
      <c r="AR12" s="3">
        <v>-1.6169855099648751E-2</v>
      </c>
      <c r="AS12" s="3">
        <v>1.652079322834769E-2</v>
      </c>
      <c r="AT12" s="3">
        <v>4.2563625610466657E-2</v>
      </c>
      <c r="AU12" s="3">
        <v>6.6707035595512693E-2</v>
      </c>
      <c r="AV12" s="3">
        <v>-1.148311743933033E-2</v>
      </c>
      <c r="AW12" s="3">
        <v>-8.512545737203444E-3</v>
      </c>
      <c r="AX12" s="3">
        <v>3.8310811832114967E-2</v>
      </c>
      <c r="AY12" s="3">
        <v>8.7400684750788167E-3</v>
      </c>
      <c r="AZ12" s="3">
        <v>2.9172627603145509E-2</v>
      </c>
      <c r="BA12" s="3">
        <v>-2.9978315973178842E-2</v>
      </c>
      <c r="BB12" s="3">
        <v>5.4294698574851051E-2</v>
      </c>
      <c r="BC12" s="3">
        <v>1.6167769418168779E-2</v>
      </c>
      <c r="BD12" s="3">
        <v>-2.5513485778538091E-2</v>
      </c>
      <c r="BE12" s="3">
        <v>-4.3456119679611348E-2</v>
      </c>
      <c r="BF12" s="3">
        <v>2.2114673674534839E-2</v>
      </c>
      <c r="BG12" s="3">
        <v>-7.8499561190825684E-5</v>
      </c>
      <c r="BH12" s="3">
        <v>1.371638789987889E-2</v>
      </c>
      <c r="BI12" s="3">
        <v>-2.3178691606798312E-3</v>
      </c>
      <c r="BJ12" s="3">
        <v>3.7635311736409723E-2</v>
      </c>
      <c r="BK12" s="3">
        <v>-2.532310696487499E-2</v>
      </c>
      <c r="BL12" s="3">
        <v>-2.9372459260221351E-2</v>
      </c>
      <c r="BM12" s="3">
        <v>1.294598257996768E-2</v>
      </c>
      <c r="BN12" s="3">
        <v>3.9838663038875823E-2</v>
      </c>
      <c r="BO12" s="3">
        <v>1.7665822696473009E-2</v>
      </c>
      <c r="BP12" s="3">
        <v>2.0829239825692829E-2</v>
      </c>
      <c r="BQ12" s="3">
        <v>-1.2218692769220519E-3</v>
      </c>
      <c r="BR12" s="3">
        <v>1.811447057380175E-2</v>
      </c>
      <c r="BS12" s="3">
        <v>-1.544605760644476E-2</v>
      </c>
      <c r="BT12" s="3">
        <v>-6.3581732722415851E-3</v>
      </c>
      <c r="BU12" s="3">
        <v>-1.7247891469781829E-2</v>
      </c>
      <c r="BV12" s="3">
        <v>3.0228578416146588E-2</v>
      </c>
      <c r="BW12" s="3">
        <v>4.0821135961161208E-2</v>
      </c>
      <c r="BX12" s="3">
        <v>1.181078029617923E-2</v>
      </c>
      <c r="BY12" s="3">
        <v>7.1548269444234092E-2</v>
      </c>
      <c r="BZ12" s="3">
        <v>4.4537792427857048E-2</v>
      </c>
      <c r="CA12" s="3">
        <v>-5.1930796052283228E-2</v>
      </c>
      <c r="CB12" s="3">
        <v>3.4185595223638059E-2</v>
      </c>
      <c r="CC12" s="3">
        <v>1.1112348656771459E-2</v>
      </c>
      <c r="CD12" s="3">
        <v>4.4111095676127483E-2</v>
      </c>
      <c r="CE12" s="3">
        <v>9.3082777333268779E-2</v>
      </c>
      <c r="CF12" s="3">
        <v>2.8231068898326959E-2</v>
      </c>
      <c r="CG12" s="3">
        <v>2.688397182776665E-2</v>
      </c>
      <c r="CH12" s="3">
        <v>-7.9744682876614473E-2</v>
      </c>
      <c r="CI12" s="3">
        <v>-2.2994951927025459E-2</v>
      </c>
      <c r="CJ12" s="3">
        <v>-8.7014726152414429E-3</v>
      </c>
      <c r="CK12" s="3">
        <v>3.0480879783935249E-2</v>
      </c>
      <c r="CL12" s="3">
        <v>3.7074074661198261E-2</v>
      </c>
      <c r="CM12" s="3">
        <v>-5.7273267349998852E-2</v>
      </c>
      <c r="CN12" s="3">
        <v>1.148687480240858E-2</v>
      </c>
      <c r="CO12" s="3">
        <v>6.892627828646343E-2</v>
      </c>
      <c r="CP12" s="3">
        <v>1.8914504719720039E-2</v>
      </c>
      <c r="CQ12" s="3">
        <v>6.5228339363637353E-2</v>
      </c>
      <c r="CR12" s="3">
        <v>-5.567276324023835E-2</v>
      </c>
      <c r="CS12" s="3">
        <v>-1.5115716275611609E-2</v>
      </c>
      <c r="CT12" s="3">
        <v>5.1511971624949679E-2</v>
      </c>
      <c r="CU12" s="3">
        <v>1.9650223479113809E-2</v>
      </c>
      <c r="CV12" s="3">
        <v>8.8720427685105262E-3</v>
      </c>
      <c r="CW12" s="3">
        <v>2.482112578095412E-2</v>
      </c>
      <c r="CX12" s="3">
        <v>-4.2453214313175197E-3</v>
      </c>
      <c r="CY12" s="3">
        <v>1.133927323856148E-2</v>
      </c>
      <c r="CZ12" s="3">
        <v>-2.4251029240258411E-2</v>
      </c>
      <c r="DA12" s="3">
        <v>2.583973073565746E-2</v>
      </c>
      <c r="DB12" s="3">
        <v>4.4362951928269487E-2</v>
      </c>
      <c r="DC12" s="3">
        <v>3.1575599806105997E-2</v>
      </c>
      <c r="DD12" s="3">
        <v>1.099074685387286E-2</v>
      </c>
      <c r="DE12" s="3">
        <v>-1.9411846128381639E-2</v>
      </c>
      <c r="DF12" s="3">
        <v>-5.9564917407514961E-2</v>
      </c>
      <c r="DG12" s="3">
        <v>-3.4752067638864299E-2</v>
      </c>
      <c r="DH12" s="3">
        <v>2.2811812957009719E-2</v>
      </c>
      <c r="DI12" s="3">
        <v>1.3078342571866641E-2</v>
      </c>
      <c r="DJ12" s="3">
        <v>3.1760215683925348E-2</v>
      </c>
      <c r="DK12" s="3">
        <v>-3.3417046045927053E-2</v>
      </c>
      <c r="DL12" s="3">
        <v>1.8636238585353661E-2</v>
      </c>
      <c r="DM12" s="3">
        <v>-2.6907359761327219E-2</v>
      </c>
      <c r="DN12" s="3">
        <v>-2.2161718092860161E-2</v>
      </c>
      <c r="DO12" s="3">
        <v>1.3948470438995079E-2</v>
      </c>
      <c r="DP12" s="3">
        <v>5.3448868559503947E-2</v>
      </c>
      <c r="DQ12" s="3">
        <v>2.6133487961207259E-3</v>
      </c>
      <c r="DR12" s="3">
        <v>-1.0502222440561751E-2</v>
      </c>
      <c r="DS12" s="3">
        <v>-4.2139303142976127E-2</v>
      </c>
      <c r="DT12" s="3">
        <v>2.3941788670226428E-2</v>
      </c>
      <c r="DU12" s="3">
        <v>-3.6039051240907102E-2</v>
      </c>
      <c r="DV12" s="3">
        <v>4.7734588531328843E-2</v>
      </c>
      <c r="DW12" s="3">
        <v>-1.375334375706826E-2</v>
      </c>
      <c r="DX12" s="3">
        <v>-7.2089817413830401E-2</v>
      </c>
      <c r="DY12" s="3">
        <v>-6.1691425570940903E-3</v>
      </c>
      <c r="DZ12" s="3">
        <v>2.2864698724753399E-2</v>
      </c>
      <c r="EA12" s="3">
        <v>7.2159528660282621E-2</v>
      </c>
      <c r="EB12" s="3">
        <v>1.1814815991226199E-2</v>
      </c>
      <c r="EC12" s="3">
        <v>3.1792071390580601E-2</v>
      </c>
      <c r="ED12" s="3">
        <v>-5.0318442059347997E-2</v>
      </c>
      <c r="EE12" s="3">
        <v>-2.3336886975007438E-3</v>
      </c>
      <c r="EF12" s="3">
        <v>4.4687605916729448E-2</v>
      </c>
      <c r="EG12" s="3">
        <v>1.2443626226153781E-2</v>
      </c>
      <c r="EH12" s="3">
        <v>-1.587393824160049E-2</v>
      </c>
      <c r="EI12" s="3">
        <v>-5.5885349373090858E-2</v>
      </c>
      <c r="EJ12" s="3">
        <v>-8.2920750942980542E-2</v>
      </c>
      <c r="EK12" s="3">
        <v>-1.2461215246702651E-2</v>
      </c>
      <c r="EL12" s="3">
        <v>-7.9146182513910937E-3</v>
      </c>
      <c r="EM12">
        <f t="shared" ref="EM12:EM24" si="11">AVERAGE(C12:EL12)</f>
        <v>8.8821408649437765E-3</v>
      </c>
      <c r="EN12">
        <f t="shared" ref="EN12:EN25" si="12">STDEV(C12:EL12)</f>
        <v>3.4627141716216982E-2</v>
      </c>
      <c r="EO12">
        <f t="shared" ref="EO12:EO25" si="13">EM12/EN12</f>
        <v>0.25650805768886176</v>
      </c>
    </row>
    <row r="13" spans="1:145" x14ac:dyDescent="0.3">
      <c r="A13" s="19">
        <v>20</v>
      </c>
      <c r="B13" s="19">
        <f t="shared" si="10"/>
        <v>53</v>
      </c>
      <c r="C13" s="3">
        <v>9.8792643428277788E-2</v>
      </c>
      <c r="D13" s="3">
        <v>0.1067788406720501</v>
      </c>
      <c r="E13" s="3">
        <v>1.526037417406415E-2</v>
      </c>
      <c r="F13" s="3">
        <v>-3.0480290490806639E-2</v>
      </c>
      <c r="G13" s="3">
        <v>-3.5804493998673567E-2</v>
      </c>
      <c r="H13" s="3">
        <v>4.5055199437944372E-2</v>
      </c>
      <c r="I13" s="3">
        <v>5.2319181771136883E-2</v>
      </c>
      <c r="J13" s="3">
        <v>5.4182210666430801E-2</v>
      </c>
      <c r="K13" s="3">
        <v>-1.2261788434100159E-2</v>
      </c>
      <c r="L13" s="3">
        <v>-2.930990728963119E-2</v>
      </c>
      <c r="M13" s="3">
        <v>-5.9946805804311776E-3</v>
      </c>
      <c r="N13" s="3">
        <v>-3.1806189226706257E-2</v>
      </c>
      <c r="O13" s="3">
        <v>-7.9017871642310042E-3</v>
      </c>
      <c r="P13" s="3">
        <v>6.3382350844851353E-3</v>
      </c>
      <c r="Q13" s="3">
        <v>4.3227996043756502E-4</v>
      </c>
      <c r="R13" s="3">
        <v>6.1933885196667274E-3</v>
      </c>
      <c r="S13" s="3">
        <v>-3.8970640487775363E-2</v>
      </c>
      <c r="T13" s="3">
        <v>-6.4848326453927768E-3</v>
      </c>
      <c r="U13" s="3">
        <v>-3.0213945508959159E-2</v>
      </c>
      <c r="V13" s="3">
        <v>1.867508806384921E-3</v>
      </c>
      <c r="W13" s="3">
        <v>8.700433631275227E-2</v>
      </c>
      <c r="X13" s="3">
        <v>7.5537111031576065E-2</v>
      </c>
      <c r="Y13" s="3">
        <v>-3.1839097248080629E-2</v>
      </c>
      <c r="Z13" s="3">
        <v>5.0849750018557592E-2</v>
      </c>
      <c r="AA13" s="3">
        <v>-1.054570249729498E-2</v>
      </c>
      <c r="AB13" s="3">
        <v>5.1331118698392117E-2</v>
      </c>
      <c r="AC13" s="3">
        <v>2.9223543424885031E-2</v>
      </c>
      <c r="AD13" s="3">
        <v>-1.081212854982527E-4</v>
      </c>
      <c r="AE13" s="3">
        <v>7.3493181917514944E-2</v>
      </c>
      <c r="AF13" s="3">
        <v>3.4859123519884877E-2</v>
      </c>
      <c r="AG13" s="3">
        <v>3.8678985713873328E-2</v>
      </c>
      <c r="AH13" s="3">
        <v>4.4851343838949842E-2</v>
      </c>
      <c r="AI13" s="3">
        <v>-2.7397189114958271E-2</v>
      </c>
      <c r="AJ13" s="3">
        <v>-7.2932155894338063E-4</v>
      </c>
      <c r="AK13" s="3">
        <v>5.1740676043206917E-2</v>
      </c>
      <c r="AL13" s="3">
        <v>-5.7630628611283062E-2</v>
      </c>
      <c r="AM13" s="3">
        <v>3.4609525293354523E-2</v>
      </c>
      <c r="AN13" s="3">
        <v>9.841890608917632E-2</v>
      </c>
      <c r="AO13" s="3">
        <v>2.170913309118409E-2</v>
      </c>
      <c r="AP13" s="3">
        <v>1.001200783186439E-2</v>
      </c>
      <c r="AQ13" s="3">
        <v>1.970991815865784E-2</v>
      </c>
      <c r="AR13" s="3">
        <v>-3.4199233494959007E-2</v>
      </c>
      <c r="AS13" s="3">
        <v>8.0310220913993244E-3</v>
      </c>
      <c r="AT13" s="3">
        <v>3.5552810248663719E-2</v>
      </c>
      <c r="AU13" s="3">
        <v>5.6352408962319987E-2</v>
      </c>
      <c r="AV13" s="3">
        <v>2.481343329869037E-2</v>
      </c>
      <c r="AW13" s="3">
        <v>1.459179287506593E-2</v>
      </c>
      <c r="AX13" s="3">
        <v>4.4879657317413973E-2</v>
      </c>
      <c r="AY13" s="3">
        <v>4.62838805071044E-3</v>
      </c>
      <c r="AZ13" s="3">
        <v>3.4628355474924537E-2</v>
      </c>
      <c r="BA13" s="3">
        <v>-1.3371371454229749E-2</v>
      </c>
      <c r="BB13" s="3">
        <v>4.4003842518792163E-2</v>
      </c>
      <c r="BC13" s="3">
        <v>-8.9435931540631612E-3</v>
      </c>
      <c r="BD13" s="3">
        <v>-1.8647310661448421E-2</v>
      </c>
      <c r="BE13" s="3">
        <v>-2.715987608210222E-2</v>
      </c>
      <c r="BF13" s="3">
        <v>2.5173126136614859E-2</v>
      </c>
      <c r="BG13" s="3">
        <v>5.2902507274743653E-3</v>
      </c>
      <c r="BH13" s="3">
        <v>2.8629511040470731E-2</v>
      </c>
      <c r="BI13" s="3">
        <v>-3.3906619207849951E-2</v>
      </c>
      <c r="BJ13" s="3">
        <v>5.0262869813184667E-2</v>
      </c>
      <c r="BK13" s="3">
        <v>-1.592377203756927E-2</v>
      </c>
      <c r="BL13" s="3">
        <v>-3.448594550412544E-2</v>
      </c>
      <c r="BM13" s="3">
        <v>4.0971830827686032E-2</v>
      </c>
      <c r="BN13" s="3">
        <v>4.8930133231434643E-2</v>
      </c>
      <c r="BO13" s="3">
        <v>-1.478518381657812E-2</v>
      </c>
      <c r="BP13" s="3">
        <v>1.9627433917927029E-2</v>
      </c>
      <c r="BQ13" s="3">
        <v>-1.017092143224098E-2</v>
      </c>
      <c r="BR13" s="3">
        <v>4.444072774869353E-3</v>
      </c>
      <c r="BS13" s="3">
        <v>-2.0937853336782119E-2</v>
      </c>
      <c r="BT13" s="3">
        <v>-1.310933039768951E-2</v>
      </c>
      <c r="BU13" s="3">
        <v>-1.8596098966652201E-2</v>
      </c>
      <c r="BV13" s="3">
        <v>3.2479688868567218E-2</v>
      </c>
      <c r="BW13" s="3">
        <v>6.0106924231370928E-2</v>
      </c>
      <c r="BX13" s="3">
        <v>1.7575430870235421E-2</v>
      </c>
      <c r="BY13" s="3">
        <v>7.6567929945228624E-2</v>
      </c>
      <c r="BZ13" s="3">
        <v>8.8328465250556862E-2</v>
      </c>
      <c r="CA13" s="3">
        <v>-4.6738317705734257E-2</v>
      </c>
      <c r="CB13" s="3">
        <v>4.3100922470888509E-2</v>
      </c>
      <c r="CC13" s="3">
        <v>1.439639981699627E-2</v>
      </c>
      <c r="CD13" s="3">
        <v>7.0931556268952173E-2</v>
      </c>
      <c r="CE13" s="3">
        <v>0.10500826007158259</v>
      </c>
      <c r="CF13" s="3">
        <v>3.8467607345739917E-2</v>
      </c>
      <c r="CG13" s="3">
        <v>3.8041916820988307E-2</v>
      </c>
      <c r="CH13" s="3">
        <v>-7.5936441194519644E-2</v>
      </c>
      <c r="CI13" s="3">
        <v>1.2506918833192771E-2</v>
      </c>
      <c r="CJ13" s="3">
        <v>-7.113120620769596E-3</v>
      </c>
      <c r="CK13" s="3">
        <v>9.253398263457932E-3</v>
      </c>
      <c r="CL13" s="3">
        <v>1.529471524234979E-2</v>
      </c>
      <c r="CM13" s="3">
        <v>-5.1867772899700813E-2</v>
      </c>
      <c r="CN13" s="3">
        <v>2.5522977655899469E-2</v>
      </c>
      <c r="CO13" s="3">
        <v>5.4149050866650887E-2</v>
      </c>
      <c r="CP13" s="3">
        <v>-8.235448040710823E-3</v>
      </c>
      <c r="CQ13" s="3">
        <v>6.0680346629329349E-2</v>
      </c>
      <c r="CR13" s="3">
        <v>-9.4423704242970474E-2</v>
      </c>
      <c r="CS13" s="3">
        <v>-1.346380402901772E-2</v>
      </c>
      <c r="CT13" s="3">
        <v>2.1422864983680311E-2</v>
      </c>
      <c r="CU13" s="3">
        <v>1.4699066750555909E-2</v>
      </c>
      <c r="CV13" s="3">
        <v>1.3793727516552E-2</v>
      </c>
      <c r="CW13" s="3">
        <v>3.2510309716531932E-2</v>
      </c>
      <c r="CX13" s="3">
        <v>-1.0429165459069131E-2</v>
      </c>
      <c r="CY13" s="3">
        <v>1.139052914487064E-2</v>
      </c>
      <c r="CZ13" s="3">
        <v>-3.085525462812759E-2</v>
      </c>
      <c r="DA13" s="3">
        <v>3.003531187819582E-2</v>
      </c>
      <c r="DB13" s="3">
        <v>5.6395640249340413E-2</v>
      </c>
      <c r="DC13" s="3">
        <v>3.4364711549267637E-2</v>
      </c>
      <c r="DD13" s="3">
        <v>-1.3602800126942521E-2</v>
      </c>
      <c r="DE13" s="3">
        <v>-6.5800150839921412E-3</v>
      </c>
      <c r="DF13" s="3">
        <v>-0.1066673291164402</v>
      </c>
      <c r="DG13" s="3">
        <v>-3.8572189072098417E-2</v>
      </c>
      <c r="DH13" s="3">
        <v>3.1339105937143723E-2</v>
      </c>
      <c r="DI13" s="3">
        <v>3.269404446574265E-3</v>
      </c>
      <c r="DJ13" s="3">
        <v>4.137931488289965E-2</v>
      </c>
      <c r="DK13" s="3">
        <v>-3.500446266723329E-2</v>
      </c>
      <c r="DL13" s="3">
        <v>3.6760077446737788E-2</v>
      </c>
      <c r="DM13" s="3">
        <v>-4.9361703305582268E-2</v>
      </c>
      <c r="DN13" s="3">
        <v>-1.6977695686384759E-2</v>
      </c>
      <c r="DO13" s="3">
        <v>2.2923654596249021E-2</v>
      </c>
      <c r="DP13" s="3">
        <v>4.2280839524253253E-2</v>
      </c>
      <c r="DQ13" s="3">
        <v>1.2626848057240471E-2</v>
      </c>
      <c r="DR13" s="3">
        <v>5.8036297852641361E-4</v>
      </c>
      <c r="DS13" s="3">
        <v>-3.2688189343728379E-2</v>
      </c>
      <c r="DT13" s="3">
        <v>5.1588227790936518E-2</v>
      </c>
      <c r="DU13" s="3">
        <v>-2.8634370902116141E-2</v>
      </c>
      <c r="DV13" s="3">
        <v>7.5761275677540013E-2</v>
      </c>
      <c r="DW13" s="3">
        <v>-3.039296835692536E-2</v>
      </c>
      <c r="DX13" s="3">
        <v>-6.9048546523617346E-2</v>
      </c>
      <c r="DY13" s="3">
        <v>1.513360778327413E-2</v>
      </c>
      <c r="DZ13" s="3">
        <v>6.0633053305503134E-3</v>
      </c>
      <c r="EA13" s="3">
        <v>5.9251402096742622E-2</v>
      </c>
      <c r="EB13" s="3">
        <v>-5.3772006283440664E-3</v>
      </c>
      <c r="EC13" s="3">
        <v>1.2349040539856689E-2</v>
      </c>
      <c r="ED13" s="3">
        <v>-7.1095682803489282E-2</v>
      </c>
      <c r="EE13" s="3">
        <v>-6.1850960555556098E-3</v>
      </c>
      <c r="EF13" s="3">
        <v>4.4409835646792108E-2</v>
      </c>
      <c r="EG13" s="3">
        <v>1.314752212792184E-2</v>
      </c>
      <c r="EH13" s="3">
        <v>-4.2802951546064838E-3</v>
      </c>
      <c r="EI13" s="3">
        <v>-5.6898149704268167E-2</v>
      </c>
      <c r="EJ13" s="3">
        <v>-9.4325371681550446E-2</v>
      </c>
      <c r="EK13" s="3">
        <v>-1.963748441072884E-2</v>
      </c>
      <c r="EL13" s="3">
        <v>-5.822693537562814E-3</v>
      </c>
      <c r="EM13">
        <f t="shared" si="11"/>
        <v>9.957264001755204E-3</v>
      </c>
      <c r="EN13">
        <f t="shared" si="12"/>
        <v>4.1175042651893493E-2</v>
      </c>
      <c r="EO13">
        <f t="shared" si="13"/>
        <v>0.24182765482326235</v>
      </c>
    </row>
    <row r="14" spans="1:145" x14ac:dyDescent="0.3">
      <c r="A14" s="19">
        <v>50</v>
      </c>
      <c r="B14" s="19">
        <f t="shared" si="10"/>
        <v>21</v>
      </c>
      <c r="C14" s="3">
        <v>0.12518980645589431</v>
      </c>
      <c r="D14" s="3">
        <v>0.13956859445463671</v>
      </c>
      <c r="E14" s="3">
        <v>-7.8769243579909082E-3</v>
      </c>
      <c r="F14" s="3">
        <v>-7.0915056370932539E-2</v>
      </c>
      <c r="G14" s="3">
        <v>-5.2241450844548967E-2</v>
      </c>
      <c r="H14" s="3">
        <v>2.206513470919844E-2</v>
      </c>
      <c r="I14" s="3">
        <v>7.8518471071209767E-2</v>
      </c>
      <c r="J14" s="3">
        <v>5.8588051602278111E-2</v>
      </c>
      <c r="K14" s="3">
        <v>-9.9419142616440262E-2</v>
      </c>
      <c r="L14" s="3">
        <v>-2.656149857874375E-2</v>
      </c>
      <c r="M14" s="3">
        <v>3.2766623392868351E-2</v>
      </c>
      <c r="N14" s="3">
        <v>-7.4182571733398039E-2</v>
      </c>
      <c r="O14" s="3">
        <v>2.6782020353965059E-2</v>
      </c>
      <c r="P14" s="3">
        <v>5.3274773218451817E-2</v>
      </c>
      <c r="Q14" s="3">
        <v>-2.4957459136963709E-2</v>
      </c>
      <c r="R14" s="3">
        <v>4.828941942113979E-2</v>
      </c>
      <c r="S14" s="3">
        <v>-3.4233508879677493E-2</v>
      </c>
      <c r="T14" s="3">
        <v>-3.867606984499498E-3</v>
      </c>
      <c r="U14" s="3">
        <v>-8.95872981194685E-2</v>
      </c>
      <c r="V14" s="3">
        <v>-1.044591417993235E-4</v>
      </c>
      <c r="W14" s="3">
        <v>8.9503674093536323E-2</v>
      </c>
      <c r="X14" s="3">
        <v>0.1093827632837247</v>
      </c>
      <c r="Y14" s="3">
        <v>-2.2282268225461931E-2</v>
      </c>
      <c r="Z14" s="3">
        <v>5.7184402927026673E-2</v>
      </c>
      <c r="AA14" s="3">
        <v>-3.2755104388351573E-2</v>
      </c>
      <c r="AB14" s="3">
        <v>4.9832641324152049E-2</v>
      </c>
      <c r="AC14" s="3">
        <v>7.4701485952314234E-3</v>
      </c>
      <c r="AD14" s="3">
        <v>6.4500304169435377E-3</v>
      </c>
      <c r="AE14" s="3">
        <v>0.11245107763171951</v>
      </c>
      <c r="AF14" s="3">
        <v>7.7468952699343736E-3</v>
      </c>
      <c r="AG14" s="3">
        <v>5.0142716897095457E-2</v>
      </c>
      <c r="AH14" s="3">
        <v>2.5154055429500471E-2</v>
      </c>
      <c r="AI14" s="3">
        <v>-8.0917736835136048E-2</v>
      </c>
      <c r="AJ14" s="3">
        <v>-7.8805448039246523E-2</v>
      </c>
      <c r="AK14" s="3">
        <v>1.017530301428439E-2</v>
      </c>
      <c r="AL14" s="3">
        <v>-6.1264590362586947E-2</v>
      </c>
      <c r="AM14" s="3">
        <v>4.0665757930502353E-2</v>
      </c>
      <c r="AN14" s="3">
        <v>0.10998691122058619</v>
      </c>
      <c r="AO14" s="3">
        <v>2.8956541125896081E-2</v>
      </c>
      <c r="AP14" s="3">
        <v>1.8012316296212048E-2</v>
      </c>
      <c r="AQ14" s="3">
        <v>-5.2191887800246261E-3</v>
      </c>
      <c r="AR14" s="3">
        <v>-2.9596045162732541E-2</v>
      </c>
      <c r="AS14" s="3">
        <v>5.4774822046029958E-2</v>
      </c>
      <c r="AT14" s="3">
        <v>1.894888264093481E-3</v>
      </c>
      <c r="AU14" s="3">
        <v>0.1051714065189857</v>
      </c>
      <c r="AV14" s="3">
        <v>6.5414473432402129E-2</v>
      </c>
      <c r="AW14" s="3">
        <v>3.397665067478569E-2</v>
      </c>
      <c r="AX14" s="3">
        <v>1.1840340927092871E-2</v>
      </c>
      <c r="AY14" s="3">
        <v>5.2698886887800812E-2</v>
      </c>
      <c r="AZ14" s="3">
        <v>3.266631892498844E-2</v>
      </c>
      <c r="BA14" s="3">
        <v>-5.7309017025000408E-3</v>
      </c>
      <c r="BB14" s="3">
        <v>5.7464222333184579E-2</v>
      </c>
      <c r="BC14" s="3">
        <v>1.4147962398629241E-3</v>
      </c>
      <c r="BD14" s="3">
        <v>3.023905357524501E-2</v>
      </c>
      <c r="BE14" s="3">
        <v>-2.6465181485594669E-2</v>
      </c>
      <c r="BF14" s="3">
        <v>-8.8510197055100409E-3</v>
      </c>
      <c r="BG14" s="3">
        <v>-1.4684104325740931E-2</v>
      </c>
      <c r="BH14" s="3">
        <v>2.200347828468752E-2</v>
      </c>
      <c r="BI14" s="3">
        <v>-3.2065948604880941E-2</v>
      </c>
      <c r="BJ14" s="3">
        <v>9.1704863416196297E-2</v>
      </c>
      <c r="BK14" s="3">
        <v>-8.2204834363141521E-3</v>
      </c>
      <c r="BL14" s="3">
        <v>-2.462506312521355E-2</v>
      </c>
      <c r="BM14" s="3">
        <v>3.9182184157874861E-2</v>
      </c>
      <c r="BN14" s="3">
        <v>0.10293380964864229</v>
      </c>
      <c r="BO14" s="3">
        <v>-1.337057297281187E-2</v>
      </c>
      <c r="BP14" s="3">
        <v>4.8702973500952207E-2</v>
      </c>
      <c r="BQ14" s="3">
        <v>-2.2318780001433561E-2</v>
      </c>
      <c r="BR14" s="3">
        <v>2.7872427048394391E-2</v>
      </c>
      <c r="BS14" s="3">
        <v>-2.0223400559935559E-2</v>
      </c>
      <c r="BT14" s="3">
        <v>-2.7106910382747859E-2</v>
      </c>
      <c r="BU14" s="3">
        <v>-2.7401585505068379E-2</v>
      </c>
      <c r="BV14" s="3">
        <v>2.8780690621653379E-2</v>
      </c>
      <c r="BW14" s="3">
        <v>8.0413664163239557E-2</v>
      </c>
      <c r="BX14" s="3">
        <v>3.1436791559211287E-2</v>
      </c>
      <c r="BY14" s="3">
        <v>0.10168822434015951</v>
      </c>
      <c r="BZ14" s="3">
        <v>9.3206605236519663E-2</v>
      </c>
      <c r="CA14" s="3">
        <v>-6.921961636253574E-3</v>
      </c>
      <c r="CB14" s="3">
        <v>2.53631009642592E-2</v>
      </c>
      <c r="CC14" s="3">
        <v>9.8195136927686708E-3</v>
      </c>
      <c r="CD14" s="3">
        <v>7.6852632059656284E-2</v>
      </c>
      <c r="CE14" s="3">
        <v>9.1158709240540078E-2</v>
      </c>
      <c r="CF14" s="3">
        <v>2.6872219839184749E-2</v>
      </c>
      <c r="CG14" s="3">
        <v>3.1072146382193119E-2</v>
      </c>
      <c r="CH14" s="3">
        <v>-5.5958255969493657E-2</v>
      </c>
      <c r="CI14" s="3">
        <v>-4.533655670166549E-2</v>
      </c>
      <c r="CJ14" s="3">
        <v>2.9027858101489772E-2</v>
      </c>
      <c r="CK14" s="3">
        <v>5.1024947630915501E-2</v>
      </c>
      <c r="CL14" s="3">
        <v>4.079006777055727E-2</v>
      </c>
      <c r="CM14" s="3">
        <v>-3.8085740915604127E-2</v>
      </c>
      <c r="CN14" s="3">
        <v>9.967374747492859E-2</v>
      </c>
      <c r="CO14" s="3">
        <v>0.11599390490868169</v>
      </c>
      <c r="CP14" s="3">
        <v>-1.066033991479827E-2</v>
      </c>
      <c r="CQ14" s="3">
        <v>7.0081915811967946E-2</v>
      </c>
      <c r="CR14" s="3">
        <v>-1.6211056408130121E-2</v>
      </c>
      <c r="CS14" s="3">
        <v>-3.7336832881345809E-2</v>
      </c>
      <c r="CT14" s="3">
        <v>4.5846716293151138E-2</v>
      </c>
      <c r="CU14" s="3">
        <v>4.6764484434723121E-2</v>
      </c>
      <c r="CV14" s="3">
        <v>3.670206707326758E-3</v>
      </c>
      <c r="CW14" s="3">
        <v>4.3244137760443349E-2</v>
      </c>
      <c r="CX14" s="3">
        <v>3.5520144812364048E-2</v>
      </c>
      <c r="CY14" s="3">
        <v>-1.436817102802929E-2</v>
      </c>
      <c r="CZ14" s="3">
        <v>-4.0881216713577397E-2</v>
      </c>
      <c r="DA14" s="3">
        <v>6.5381159761494986E-3</v>
      </c>
      <c r="DB14" s="3">
        <v>5.2597623779169787E-2</v>
      </c>
      <c r="DC14" s="3">
        <v>3.8852781204206849E-2</v>
      </c>
      <c r="DD14" s="3">
        <v>-7.8007777862830363E-2</v>
      </c>
      <c r="DE14" s="3">
        <v>3.3718203109853143E-2</v>
      </c>
      <c r="DF14" s="3">
        <v>-0.16414749550356039</v>
      </c>
      <c r="DG14" s="3">
        <v>-4.3396985251582712E-2</v>
      </c>
      <c r="DH14" s="3">
        <v>2.254900084584063E-2</v>
      </c>
      <c r="DI14" s="3">
        <v>-2.072806527923433E-2</v>
      </c>
      <c r="DJ14" s="3">
        <v>3.7204871567285622E-2</v>
      </c>
      <c r="DK14" s="3">
        <v>-3.5033739761733268E-3</v>
      </c>
      <c r="DL14" s="3">
        <v>3.8534282660955342E-2</v>
      </c>
      <c r="DM14" s="3">
        <v>-3.8288572580262102E-2</v>
      </c>
      <c r="DN14" s="3">
        <v>-7.0469652533705934E-2</v>
      </c>
      <c r="DO14" s="3">
        <v>3.0086880555014978E-2</v>
      </c>
      <c r="DP14" s="3">
        <v>4.5573348212524241E-2</v>
      </c>
      <c r="DQ14" s="3">
        <v>1.414073981326823E-2</v>
      </c>
      <c r="DR14" s="3">
        <v>-1.4863374672542749E-2</v>
      </c>
      <c r="DS14" s="3">
        <v>-5.6378975855615417E-2</v>
      </c>
      <c r="DT14" s="3">
        <v>1.666052336485576E-2</v>
      </c>
      <c r="DU14" s="3">
        <v>-2.6056134945052718E-2</v>
      </c>
      <c r="DV14" s="3">
        <v>8.7044368673230677E-2</v>
      </c>
      <c r="DW14" s="3">
        <v>1.029311208585029E-3</v>
      </c>
      <c r="DX14" s="3">
        <v>-0.11652838235999</v>
      </c>
      <c r="DY14" s="3">
        <v>2.5147762727738009E-2</v>
      </c>
      <c r="DZ14" s="3">
        <v>-2.922962275347693E-2</v>
      </c>
      <c r="EA14" s="3">
        <v>7.0779933709534046E-3</v>
      </c>
      <c r="EB14" s="3">
        <v>-3.5759832184212137E-2</v>
      </c>
      <c r="EC14" s="3">
        <v>-6.7051800208669243E-3</v>
      </c>
      <c r="ED14" s="3">
        <v>-7.955931678659206E-2</v>
      </c>
      <c r="EE14" s="3">
        <v>-1.0365487813881019E-2</v>
      </c>
      <c r="EF14" s="3">
        <v>3.8863172022652909E-2</v>
      </c>
      <c r="EG14" s="3">
        <v>5.4478832322039303E-3</v>
      </c>
      <c r="EH14" s="3">
        <v>-9.358275401755399E-3</v>
      </c>
      <c r="EI14" s="3">
        <v>-5.0637233711480163E-2</v>
      </c>
      <c r="EJ14" s="3">
        <v>-9.2113687902622657E-2</v>
      </c>
      <c r="EK14" s="3">
        <v>-1.09892369390935E-2</v>
      </c>
      <c r="EL14" s="3">
        <v>-3.1191649695685129E-2</v>
      </c>
      <c r="EM14">
        <f t="shared" si="11"/>
        <v>1.0625666154162581E-2</v>
      </c>
      <c r="EN14">
        <f t="shared" si="12"/>
        <v>5.3678394925015784E-2</v>
      </c>
      <c r="EO14">
        <f t="shared" si="13"/>
        <v>0.19795051936641819</v>
      </c>
    </row>
    <row r="15" spans="1:145" x14ac:dyDescent="0.3">
      <c r="A15" s="19">
        <v>110</v>
      </c>
      <c r="B15" s="19">
        <f t="shared" si="10"/>
        <v>10</v>
      </c>
      <c r="C15" s="3">
        <v>0.17244467297463861</v>
      </c>
      <c r="D15" s="3">
        <v>0.16729678699902831</v>
      </c>
      <c r="E15" s="3">
        <v>1.274611217227313E-2</v>
      </c>
      <c r="F15" s="3">
        <v>-8.5129396243772165E-2</v>
      </c>
      <c r="G15" s="3">
        <v>-9.7457669563674437E-2</v>
      </c>
      <c r="H15" s="3">
        <v>8.2461398859748875E-2</v>
      </c>
      <c r="I15" s="3">
        <v>4.9633669661810417E-2</v>
      </c>
      <c r="J15" s="3">
        <v>8.6500782397240392E-2</v>
      </c>
      <c r="K15" s="3">
        <v>-1.7390759800903752E-2</v>
      </c>
      <c r="L15" s="3">
        <v>-5.9594260577870269E-2</v>
      </c>
      <c r="M15" s="3">
        <v>2.312021010657132E-2</v>
      </c>
      <c r="N15" s="3">
        <v>-9.9978603122280144E-2</v>
      </c>
      <c r="O15" s="3">
        <v>3.2939187924649782E-2</v>
      </c>
      <c r="P15" s="3">
        <v>9.2896493850756545E-2</v>
      </c>
      <c r="Q15" s="3">
        <v>-2.446691877969203E-2</v>
      </c>
      <c r="R15" s="3">
        <v>4.9022093649087467E-2</v>
      </c>
      <c r="S15" s="3">
        <v>-7.5844558074015772E-2</v>
      </c>
      <c r="T15" s="3">
        <v>-5.8375010547861983E-2</v>
      </c>
      <c r="U15" s="3">
        <v>-0.13805302639937569</v>
      </c>
      <c r="V15" s="3">
        <v>-6.8424636866293541E-3</v>
      </c>
      <c r="W15" s="3">
        <v>0.1183832457054432</v>
      </c>
      <c r="X15" s="3">
        <v>0.12880989175491911</v>
      </c>
      <c r="Y15" s="3">
        <v>-3.7431292531711853E-2</v>
      </c>
      <c r="Z15" s="3">
        <v>1.7292443191052401E-2</v>
      </c>
      <c r="AA15" s="3">
        <v>-6.2227930997356698E-2</v>
      </c>
      <c r="AB15" s="3">
        <v>4.9840523262419757E-2</v>
      </c>
      <c r="AC15" s="3">
        <v>4.0936342916128403E-2</v>
      </c>
      <c r="AD15" s="3">
        <v>-9.9421652701824001E-3</v>
      </c>
      <c r="AE15" s="3">
        <v>1.8631851667605961E-2</v>
      </c>
      <c r="AF15" s="3">
        <v>-2.433999198753093E-2</v>
      </c>
      <c r="AG15" s="3">
        <v>4.0868953279694177E-2</v>
      </c>
      <c r="AH15" s="3">
        <v>4.2847373438921747E-2</v>
      </c>
      <c r="AI15" s="3">
        <v>-0.12886788088923259</v>
      </c>
      <c r="AJ15" s="3">
        <v>2.3178338573348271E-2</v>
      </c>
      <c r="AK15" s="3">
        <v>7.2588568215647947E-3</v>
      </c>
      <c r="AL15" s="3">
        <v>-5.1440932243171637E-2</v>
      </c>
      <c r="AM15" s="3">
        <v>5.0501833125169607E-2</v>
      </c>
      <c r="AN15" s="3">
        <v>0.12060108762292231</v>
      </c>
      <c r="AO15" s="3">
        <v>2.536337956787835E-2</v>
      </c>
      <c r="AP15" s="3">
        <v>-2.0643322843002989E-3</v>
      </c>
      <c r="AQ15" s="3">
        <v>-2.830022749445861E-2</v>
      </c>
      <c r="AR15" s="3">
        <v>-2.3672473189331501E-2</v>
      </c>
      <c r="AS15" s="3">
        <v>0.13243789578269319</v>
      </c>
      <c r="AT15" s="3">
        <v>1.2557488439524001E-2</v>
      </c>
      <c r="AU15" s="3">
        <v>0.16049500121676041</v>
      </c>
      <c r="AV15" s="3">
        <v>7.8726300299426261E-2</v>
      </c>
      <c r="AW15" s="3">
        <v>4.2942996773435077E-2</v>
      </c>
      <c r="AX15" s="3">
        <v>3.2023551977148422E-2</v>
      </c>
      <c r="AY15" s="3">
        <v>6.0694014443240803E-2</v>
      </c>
      <c r="AZ15" s="3">
        <v>4.1961123929360612E-2</v>
      </c>
      <c r="BA15" s="3">
        <v>-2.2881401517667401E-2</v>
      </c>
      <c r="BB15" s="3">
        <v>0.1059606704104077</v>
      </c>
      <c r="BC15" s="3">
        <v>3.364422936195751E-2</v>
      </c>
      <c r="BD15" s="3">
        <v>1.0752142801234999E-2</v>
      </c>
      <c r="BE15" s="3">
        <v>-5.0737811676871858E-2</v>
      </c>
      <c r="BF15" s="3">
        <v>1.2825121735596679E-2</v>
      </c>
      <c r="BG15" s="3">
        <v>-7.1326136918050426E-2</v>
      </c>
      <c r="BH15" s="3">
        <v>1.6935059524144331E-2</v>
      </c>
      <c r="BI15" s="3">
        <v>-7.4322475711978184E-2</v>
      </c>
      <c r="BJ15" s="3">
        <v>0.1079971071220866</v>
      </c>
      <c r="BK15" s="3">
        <v>-2.560104739174408E-2</v>
      </c>
      <c r="BL15" s="3">
        <v>-3.261264905233896E-2</v>
      </c>
      <c r="BM15" s="3">
        <v>5.7860180586173302E-4</v>
      </c>
      <c r="BN15" s="3">
        <v>6.5919055518456948E-2</v>
      </c>
      <c r="BO15" s="3">
        <v>-1.9414644476301798E-2</v>
      </c>
      <c r="BP15" s="3">
        <v>8.6350718589167499E-2</v>
      </c>
      <c r="BQ15" s="3">
        <v>-2.0731417974052951E-2</v>
      </c>
      <c r="BR15" s="3">
        <v>1.670374979482037E-2</v>
      </c>
      <c r="BS15" s="3">
        <v>1.876218434169388E-3</v>
      </c>
      <c r="BT15" s="3">
        <v>-3.8138551336729942E-2</v>
      </c>
      <c r="BU15" s="3">
        <v>-6.0160245287896201E-2</v>
      </c>
      <c r="BV15" s="3">
        <v>4.1528321793588063E-2</v>
      </c>
      <c r="BW15" s="3">
        <v>0.16450513171855269</v>
      </c>
      <c r="BX15" s="3">
        <v>3.6785041107960492E-2</v>
      </c>
      <c r="BY15" s="3">
        <v>0.1193641183862553</v>
      </c>
      <c r="BZ15" s="3">
        <v>0.1160312624020601</v>
      </c>
      <c r="CA15" s="3">
        <v>-1.002919853652802E-2</v>
      </c>
      <c r="CB15" s="3">
        <v>4.7252411072647008E-2</v>
      </c>
      <c r="CC15" s="3">
        <v>1.6027785110409871E-2</v>
      </c>
      <c r="CD15" s="3">
        <v>2.3031270864749442E-2</v>
      </c>
      <c r="CE15" s="3">
        <v>8.5425265497702116E-2</v>
      </c>
      <c r="CF15" s="3">
        <v>2.425313250785965E-2</v>
      </c>
      <c r="CG15" s="3">
        <v>4.7538405854550089E-2</v>
      </c>
      <c r="CH15" s="3">
        <v>-8.3966150911933449E-2</v>
      </c>
      <c r="CI15" s="3">
        <v>2.8218523687080489E-2</v>
      </c>
      <c r="CJ15" s="3">
        <v>1.5648426480914749E-2</v>
      </c>
      <c r="CK15" s="3">
        <v>1.9063272141752931E-2</v>
      </c>
      <c r="CL15" s="3">
        <v>1.4698187831110739E-3</v>
      </c>
      <c r="CM15" s="3">
        <v>-2.444360754937145E-2</v>
      </c>
      <c r="CN15" s="3">
        <v>0.1834352910347995</v>
      </c>
      <c r="CO15" s="3">
        <v>0.1290856144889477</v>
      </c>
      <c r="CP15" s="3">
        <v>-2.6931960437074839E-2</v>
      </c>
      <c r="CQ15" s="3">
        <v>9.3460039596532429E-2</v>
      </c>
      <c r="CR15" s="3">
        <v>-8.1586790806549136E-3</v>
      </c>
      <c r="CS15" s="3">
        <v>-3.0329049038367469E-2</v>
      </c>
      <c r="CT15" s="3">
        <v>2.6534569300491639E-2</v>
      </c>
      <c r="CU15" s="3">
        <v>5.5961936113072819E-2</v>
      </c>
      <c r="CV15" s="3">
        <v>-1.14563176405835E-2</v>
      </c>
      <c r="CW15" s="3">
        <v>8.6018131456469249E-2</v>
      </c>
      <c r="CX15" s="3">
        <v>2.6618006250337851E-2</v>
      </c>
      <c r="CY15" s="3">
        <v>-1.394426735549836E-2</v>
      </c>
      <c r="CZ15" s="3">
        <v>3.5315079737554271E-3</v>
      </c>
      <c r="DA15" s="3">
        <v>-4.4725662876272602E-2</v>
      </c>
      <c r="DB15" s="3">
        <v>4.7576413100819059E-2</v>
      </c>
      <c r="DC15" s="3">
        <v>1.0356844494999981E-2</v>
      </c>
      <c r="DD15" s="3">
        <v>-0.15380876454790529</v>
      </c>
      <c r="DE15" s="3">
        <v>6.1260899849350813E-2</v>
      </c>
      <c r="DF15" s="3">
        <v>-0.2452878587965725</v>
      </c>
      <c r="DG15" s="3">
        <v>-3.8985803018541113E-2</v>
      </c>
      <c r="DH15" s="3">
        <v>3.6186820190793577E-2</v>
      </c>
      <c r="DI15" s="3">
        <v>-3.4883941269573747E-2</v>
      </c>
      <c r="DJ15" s="3">
        <v>3.3537129171366392E-2</v>
      </c>
      <c r="DK15" s="3">
        <v>-4.1043984073716573E-2</v>
      </c>
      <c r="DL15" s="3">
        <v>-6.0429926665387518E-5</v>
      </c>
      <c r="DM15" s="3">
        <v>-2.9343046374935029E-2</v>
      </c>
      <c r="DN15" s="3">
        <v>-0.1277168159177221</v>
      </c>
      <c r="DO15" s="3">
        <v>9.9708533081931908E-2</v>
      </c>
      <c r="DP15" s="3">
        <v>1.9322576578761061E-2</v>
      </c>
      <c r="DQ15" s="3">
        <v>-1.799878510336542E-2</v>
      </c>
      <c r="DR15" s="3">
        <v>-1.484962135743724E-2</v>
      </c>
      <c r="DS15" s="3">
        <v>-9.2911323195962126E-2</v>
      </c>
      <c r="DT15" s="3">
        <v>5.0588934913994459E-2</v>
      </c>
      <c r="DU15" s="3">
        <v>-7.5900104676245583E-2</v>
      </c>
      <c r="DV15" s="3">
        <v>0.12924981969543861</v>
      </c>
      <c r="DW15" s="3">
        <v>-4.0355897347300607E-3</v>
      </c>
      <c r="DX15" s="3">
        <v>-2.83918371150449E-2</v>
      </c>
      <c r="DY15" s="3">
        <v>6.8942146443045318E-2</v>
      </c>
      <c r="DZ15" s="3">
        <v>2.2048915717550401E-3</v>
      </c>
      <c r="EA15" s="3">
        <v>-8.3494034482591989E-3</v>
      </c>
      <c r="EB15" s="3">
        <v>-6.2994464976741132E-2</v>
      </c>
      <c r="EC15" s="3">
        <v>8.9680607583817115E-3</v>
      </c>
      <c r="ED15" s="3">
        <v>-0.1358012135253597</v>
      </c>
      <c r="EE15" s="3">
        <v>1.442795807034458E-2</v>
      </c>
      <c r="EF15" s="3">
        <v>4.1909237190026427E-2</v>
      </c>
      <c r="EG15" s="3">
        <v>1.305688574451612E-2</v>
      </c>
      <c r="EH15" s="3">
        <v>-1.054968065944069E-2</v>
      </c>
      <c r="EI15" s="3">
        <v>-5.6789063722390433E-2</v>
      </c>
      <c r="EJ15" s="3">
        <v>-0.1225385806999971</v>
      </c>
      <c r="EK15" s="3">
        <v>-8.126094739534731E-2</v>
      </c>
      <c r="EL15" s="3">
        <v>-5.6599342398976203E-2</v>
      </c>
      <c r="EM15">
        <f t="shared" si="11"/>
        <v>9.7257802969520982E-3</v>
      </c>
      <c r="EN15">
        <f t="shared" si="12"/>
        <v>7.1238927023753118E-2</v>
      </c>
      <c r="EO15">
        <f t="shared" si="13"/>
        <v>0.13652339673377228</v>
      </c>
    </row>
    <row r="16" spans="1:145" x14ac:dyDescent="0.3">
      <c r="A16" s="19">
        <v>120</v>
      </c>
      <c r="B16" s="19">
        <f t="shared" si="10"/>
        <v>9</v>
      </c>
      <c r="C16" s="3">
        <v>0.1859095332207335</v>
      </c>
      <c r="D16" s="3">
        <v>0.19521294755324711</v>
      </c>
      <c r="E16" s="3">
        <v>1.4013700240971949E-2</v>
      </c>
      <c r="F16" s="3">
        <v>-9.6965542203038435E-2</v>
      </c>
      <c r="G16" s="3">
        <v>-0.11111133141103979</v>
      </c>
      <c r="H16" s="3">
        <v>8.0193829957335566E-2</v>
      </c>
      <c r="I16" s="3">
        <v>4.8763638995652302E-2</v>
      </c>
      <c r="J16" s="3">
        <v>9.2567311474954658E-2</v>
      </c>
      <c r="K16" s="3">
        <v>3.3818281755082502E-4</v>
      </c>
      <c r="L16" s="3">
        <v>-5.3676918312975462E-2</v>
      </c>
      <c r="M16" s="3">
        <v>3.3390048918150443E-2</v>
      </c>
      <c r="N16" s="3">
        <v>-9.7398027202242082E-2</v>
      </c>
      <c r="O16" s="3">
        <v>2.8485193803511982E-2</v>
      </c>
      <c r="P16" s="3">
        <v>0.1072293637677917</v>
      </c>
      <c r="Q16" s="3">
        <v>-2.3555983938307851E-2</v>
      </c>
      <c r="R16" s="3">
        <v>6.4290491486870119E-2</v>
      </c>
      <c r="S16" s="3">
        <v>-7.7879933656555322E-2</v>
      </c>
      <c r="T16" s="3">
        <v>-4.9893408329586747E-2</v>
      </c>
      <c r="U16" s="3">
        <v>-0.1051713063154962</v>
      </c>
      <c r="V16" s="3">
        <v>-8.6064579959957144E-3</v>
      </c>
      <c r="W16" s="3">
        <v>0.12564834977253561</v>
      </c>
      <c r="X16" s="3">
        <v>0.1356109782163937</v>
      </c>
      <c r="Y16" s="3">
        <v>-1.6117579455660509E-2</v>
      </c>
      <c r="Z16" s="3">
        <v>2.6092685955204139E-2</v>
      </c>
      <c r="AA16" s="3">
        <v>-7.1133623847051436E-2</v>
      </c>
      <c r="AB16" s="3">
        <v>7.5487544165421111E-2</v>
      </c>
      <c r="AC16" s="3">
        <v>4.1298754710551722E-2</v>
      </c>
      <c r="AD16" s="3">
        <v>1.6219742285061641E-3</v>
      </c>
      <c r="AE16" s="3">
        <v>3.4256705603041823E-2</v>
      </c>
      <c r="AF16" s="3">
        <v>-2.1008911692404791E-2</v>
      </c>
      <c r="AG16" s="3">
        <v>3.1569910407079203E-2</v>
      </c>
      <c r="AH16" s="3">
        <v>2.872015196786629E-2</v>
      </c>
      <c r="AI16" s="3">
        <v>5.0805147765876073E-2</v>
      </c>
      <c r="AJ16" s="3">
        <v>2.23107549338116E-2</v>
      </c>
      <c r="AK16" s="3">
        <v>1.243644841541083E-2</v>
      </c>
      <c r="AL16" s="3">
        <v>-5.3312423567413607E-2</v>
      </c>
      <c r="AM16" s="3">
        <v>5.2851244489373873E-2</v>
      </c>
      <c r="AN16" s="3">
        <v>0.1271250007601277</v>
      </c>
      <c r="AO16" s="3">
        <v>2.7336328798271071E-2</v>
      </c>
      <c r="AP16" s="3">
        <v>-1.0506240039244649E-2</v>
      </c>
      <c r="AQ16" s="3">
        <v>-3.5635295038614227E-2</v>
      </c>
      <c r="AR16" s="3">
        <v>-2.860190197703693E-2</v>
      </c>
      <c r="AS16" s="3">
        <v>0.15557103855960319</v>
      </c>
      <c r="AT16" s="3">
        <v>1.5577489251420201E-2</v>
      </c>
      <c r="AU16" s="3">
        <v>0.12709281448212381</v>
      </c>
      <c r="AV16" s="3">
        <v>7.2962090253466089E-2</v>
      </c>
      <c r="AW16" s="3">
        <v>4.9637436679783889E-2</v>
      </c>
      <c r="AX16" s="3">
        <v>2.472914704034837E-2</v>
      </c>
      <c r="AY16" s="3">
        <v>7.7158209776363229E-2</v>
      </c>
      <c r="AZ16" s="3">
        <v>5.3614603285568378E-2</v>
      </c>
      <c r="BA16" s="3">
        <v>-5.8054132419682264E-3</v>
      </c>
      <c r="BB16" s="3">
        <v>0.12448810492283011</v>
      </c>
      <c r="BC16" s="3">
        <v>3.8287164857163457E-2</v>
      </c>
      <c r="BD16" s="3">
        <v>5.6607014605684191E-3</v>
      </c>
      <c r="BE16" s="3">
        <v>-5.0262637652283212E-2</v>
      </c>
      <c r="BF16" s="3">
        <v>-2.1272123152380759E-3</v>
      </c>
      <c r="BG16" s="3">
        <v>-7.2273385326830447E-2</v>
      </c>
      <c r="BH16" s="3">
        <v>2.1713276356860382E-2</v>
      </c>
      <c r="BI16" s="3">
        <v>-5.3091331991908922E-2</v>
      </c>
      <c r="BJ16" s="3">
        <v>2.6348232551539091E-2</v>
      </c>
      <c r="BK16" s="3">
        <v>-2.8445608213048972E-2</v>
      </c>
      <c r="BL16" s="3">
        <v>-4.1186753798699058E-2</v>
      </c>
      <c r="BM16" s="3">
        <v>4.8017572630736118E-3</v>
      </c>
      <c r="BN16" s="3">
        <v>7.609833383992802E-2</v>
      </c>
      <c r="BO16" s="3">
        <v>-1.7159028579772671E-2</v>
      </c>
      <c r="BP16" s="3">
        <v>9.8483851165519484E-2</v>
      </c>
      <c r="BQ16" s="3">
        <v>-2.0132120744984751E-2</v>
      </c>
      <c r="BR16" s="3">
        <v>3.308450512350361E-2</v>
      </c>
      <c r="BS16" s="3">
        <v>5.4141927496240859E-3</v>
      </c>
      <c r="BT16" s="3">
        <v>-3.6654774133762162E-2</v>
      </c>
      <c r="BU16" s="3">
        <v>-5.7278717180382577E-2</v>
      </c>
      <c r="BV16" s="3">
        <v>5.3034629381666823E-2</v>
      </c>
      <c r="BW16" s="3">
        <v>0.19122915237999791</v>
      </c>
      <c r="BX16" s="3">
        <v>1.528210636535212E-3</v>
      </c>
      <c r="BY16" s="3">
        <v>0.15535772009578311</v>
      </c>
      <c r="BZ16" s="3">
        <v>0.12549849473220651</v>
      </c>
      <c r="CA16" s="3">
        <v>6.2576270368087245E-5</v>
      </c>
      <c r="CB16" s="3">
        <v>3.2567816384575662E-2</v>
      </c>
      <c r="CC16" s="3">
        <v>2.5597969894166121E-2</v>
      </c>
      <c r="CD16" s="3">
        <v>5.2863305245940198E-2</v>
      </c>
      <c r="CE16" s="3">
        <v>8.9206005856069914E-2</v>
      </c>
      <c r="CF16" s="3">
        <v>1.8848080085453529E-2</v>
      </c>
      <c r="CG16" s="3">
        <v>0.1028349572928601</v>
      </c>
      <c r="CH16" s="3">
        <v>-7.532805394562124E-2</v>
      </c>
      <c r="CI16" s="3">
        <v>2.3065719342587599E-2</v>
      </c>
      <c r="CJ16" s="3">
        <v>1.7155187160489509E-2</v>
      </c>
      <c r="CK16" s="3">
        <v>1.914875102656954E-2</v>
      </c>
      <c r="CL16" s="3">
        <v>-1.369258662064177E-2</v>
      </c>
      <c r="CM16" s="3">
        <v>-2.4938158905027569E-2</v>
      </c>
      <c r="CN16" s="3">
        <v>0.20473596810468861</v>
      </c>
      <c r="CO16" s="3">
        <v>0.13212918060900319</v>
      </c>
      <c r="CP16" s="3">
        <v>-3.2245858262548589E-2</v>
      </c>
      <c r="CQ16" s="3">
        <v>9.2217442582499434E-2</v>
      </c>
      <c r="CR16" s="3">
        <v>-2.2092379377827421E-2</v>
      </c>
      <c r="CS16" s="3">
        <v>-3.1755461949138662E-2</v>
      </c>
      <c r="CT16" s="3">
        <v>2.3490681383749691E-2</v>
      </c>
      <c r="CU16" s="3">
        <v>6.4182601153290081E-2</v>
      </c>
      <c r="CV16" s="3">
        <v>-8.6683826820909988E-3</v>
      </c>
      <c r="CW16" s="3">
        <v>7.7323870968315542E-2</v>
      </c>
      <c r="CX16" s="3">
        <v>5.5171620153202171E-2</v>
      </c>
      <c r="CY16" s="3">
        <v>-1.6060697579783581E-2</v>
      </c>
      <c r="CZ16" s="3">
        <v>2.4948739081122481E-2</v>
      </c>
      <c r="DA16" s="3">
        <v>-4.3836107156472071E-2</v>
      </c>
      <c r="DB16" s="3">
        <v>4.0989226144370138E-2</v>
      </c>
      <c r="DC16" s="3">
        <v>3.095508979836209E-3</v>
      </c>
      <c r="DD16" s="3">
        <v>-0.18933892534617841</v>
      </c>
      <c r="DE16" s="3">
        <v>5.4620334902907408E-2</v>
      </c>
      <c r="DF16" s="3">
        <v>-0.13288224978443081</v>
      </c>
      <c r="DG16" s="3">
        <v>-4.7643489245483228E-2</v>
      </c>
      <c r="DH16" s="3">
        <v>4.2533244288883748E-2</v>
      </c>
      <c r="DI16" s="3">
        <v>-3.5670047371325481E-2</v>
      </c>
      <c r="DJ16" s="3">
        <v>3.8795686164761083E-2</v>
      </c>
      <c r="DK16" s="3">
        <v>-4.6375142748202522E-2</v>
      </c>
      <c r="DL16" s="3">
        <v>4.9904672324842594E-4</v>
      </c>
      <c r="DM16" s="3">
        <v>-2.9712228468996831E-2</v>
      </c>
      <c r="DN16" s="3">
        <v>-0.13045467909332351</v>
      </c>
      <c r="DO16" s="3">
        <v>0.12256843291140999</v>
      </c>
      <c r="DP16" s="3">
        <v>1.7872918491365679E-2</v>
      </c>
      <c r="DQ16" s="3">
        <v>-3.0512098778075689E-2</v>
      </c>
      <c r="DR16" s="3">
        <v>-1.4773174942723261E-2</v>
      </c>
      <c r="DS16" s="3">
        <v>-0.1060160996000151</v>
      </c>
      <c r="DT16" s="3">
        <v>5.043443772188401E-2</v>
      </c>
      <c r="DU16" s="3">
        <v>-8.4493224284471521E-2</v>
      </c>
      <c r="DV16" s="3">
        <v>0.119483346147294</v>
      </c>
      <c r="DW16" s="3">
        <v>-1.4519713830833071E-2</v>
      </c>
      <c r="DX16" s="3">
        <v>-2.812302036139348E-2</v>
      </c>
      <c r="DY16" s="3">
        <v>9.0265165846991707E-2</v>
      </c>
      <c r="DZ16" s="3">
        <v>-7.1416600701200515E-5</v>
      </c>
      <c r="EA16" s="3">
        <v>-7.5283633463288802E-3</v>
      </c>
      <c r="EB16" s="3">
        <v>-5.950380580849856E-2</v>
      </c>
      <c r="EC16" s="3">
        <v>2.563837901106809E-2</v>
      </c>
      <c r="ED16" s="3">
        <v>-0.15301011214508459</v>
      </c>
      <c r="EE16" s="3">
        <v>5.3236802297926206E-3</v>
      </c>
      <c r="EF16" s="3">
        <v>5.2949507529917277E-2</v>
      </c>
      <c r="EG16" s="3">
        <v>-5.1143806133224501E-3</v>
      </c>
      <c r="EH16" s="3">
        <v>-8.0165472696955929E-3</v>
      </c>
      <c r="EI16" s="3">
        <v>-5.9739736284856709E-2</v>
      </c>
      <c r="EJ16" s="3">
        <v>-0.11484701685214289</v>
      </c>
      <c r="EK16" s="3">
        <v>-6.8565597630244085E-2</v>
      </c>
      <c r="EL16" s="3">
        <v>-7.1573106584814541E-2</v>
      </c>
      <c r="EM16">
        <f t="shared" si="11"/>
        <v>1.3924735966632592E-2</v>
      </c>
      <c r="EN16">
        <f t="shared" si="12"/>
        <v>7.2245758858224568E-2</v>
      </c>
      <c r="EO16">
        <f t="shared" si="13"/>
        <v>0.19274122366073507</v>
      </c>
    </row>
    <row r="17" spans="1:145" x14ac:dyDescent="0.3">
      <c r="A17" s="19">
        <v>130</v>
      </c>
      <c r="B17" s="19">
        <f t="shared" si="10"/>
        <v>8</v>
      </c>
      <c r="C17" s="3">
        <v>0.17929879444723601</v>
      </c>
      <c r="D17" s="3">
        <v>0.19666985087786229</v>
      </c>
      <c r="E17" s="3">
        <v>-8.0682985997894731E-3</v>
      </c>
      <c r="F17" s="3">
        <v>-0.12509033885677209</v>
      </c>
      <c r="G17" s="3">
        <v>-0.14760539429035979</v>
      </c>
      <c r="H17" s="3">
        <v>9.7696121627011481E-2</v>
      </c>
      <c r="I17" s="3">
        <v>5.2434413996261468E-2</v>
      </c>
      <c r="J17" s="3">
        <v>9.9265599670353921E-2</v>
      </c>
      <c r="K17" s="3">
        <v>7.5682330329777669E-3</v>
      </c>
      <c r="L17" s="3">
        <v>-4.2323616949142828E-2</v>
      </c>
      <c r="M17" s="3">
        <v>3.7967682605600073E-2</v>
      </c>
      <c r="N17" s="3">
        <v>-7.4247513097286069E-2</v>
      </c>
      <c r="O17" s="3">
        <v>1.493100672120091E-2</v>
      </c>
      <c r="P17" s="3">
        <v>0.1225232808704583</v>
      </c>
      <c r="Q17" s="3">
        <v>-2.522190277927196E-2</v>
      </c>
      <c r="R17" s="3">
        <v>7.1088804962587626E-2</v>
      </c>
      <c r="S17" s="3">
        <v>-6.8267424854045827E-2</v>
      </c>
      <c r="T17" s="3">
        <v>1.641048466818033E-2</v>
      </c>
      <c r="U17" s="3">
        <v>-0.10867141849913189</v>
      </c>
      <c r="V17" s="3">
        <v>4.8281312933565121E-3</v>
      </c>
      <c r="W17" s="3">
        <v>0.1216076818274702</v>
      </c>
      <c r="X17" s="3">
        <v>0.13790610126505751</v>
      </c>
      <c r="Y17" s="3">
        <v>-1.174614324007893E-2</v>
      </c>
      <c r="Z17" s="3">
        <v>3.8480511365580991E-2</v>
      </c>
      <c r="AA17" s="3">
        <v>-6.9188971814445346E-2</v>
      </c>
      <c r="AB17" s="3">
        <v>8.1396596469440113E-2</v>
      </c>
      <c r="AC17" s="3">
        <v>3.7306456877121183E-2</v>
      </c>
      <c r="AD17" s="3">
        <v>1.063305989522592E-2</v>
      </c>
      <c r="AE17" s="3">
        <v>2.5705482085089121E-2</v>
      </c>
      <c r="AF17" s="3">
        <v>-1.8336186638043619E-2</v>
      </c>
      <c r="AG17" s="3">
        <v>3.5137126998259841E-2</v>
      </c>
      <c r="AH17" s="3">
        <v>3.2145263288216722E-2</v>
      </c>
      <c r="AI17" s="3">
        <v>4.4052744514561433E-2</v>
      </c>
      <c r="AJ17" s="3">
        <v>1.447335349914672E-2</v>
      </c>
      <c r="AK17" s="3">
        <v>1.494800167616296E-2</v>
      </c>
      <c r="AL17" s="3">
        <v>-5.4873727198308422E-2</v>
      </c>
      <c r="AM17" s="3">
        <v>5.3768694290185978E-2</v>
      </c>
      <c r="AN17" s="3">
        <v>0.13402258003150891</v>
      </c>
      <c r="AO17" s="3">
        <v>4.9202435084348357E-2</v>
      </c>
      <c r="AP17" s="3">
        <v>-1.7340983233430571E-2</v>
      </c>
      <c r="AQ17" s="3">
        <v>-2.8208454507571791E-2</v>
      </c>
      <c r="AR17" s="3">
        <v>-1.4867392399250799E-2</v>
      </c>
      <c r="AS17" s="3">
        <v>0.15142105529573721</v>
      </c>
      <c r="AT17" s="3">
        <v>-2.2799072591457342E-2</v>
      </c>
      <c r="AU17" s="3">
        <v>0.13265882583551891</v>
      </c>
      <c r="AV17" s="3">
        <v>6.218886788037549E-2</v>
      </c>
      <c r="AW17" s="3">
        <v>5.7086831907576671E-2</v>
      </c>
      <c r="AX17" s="3">
        <v>3.4573601699085847E-2</v>
      </c>
      <c r="AY17" s="3">
        <v>8.6600624867315984E-2</v>
      </c>
      <c r="AZ17" s="3">
        <v>6.1856489244769497E-2</v>
      </c>
      <c r="BA17" s="3">
        <v>-8.07619057082163E-3</v>
      </c>
      <c r="BB17" s="3">
        <v>0.14284115461099259</v>
      </c>
      <c r="BC17" s="3">
        <v>4.8255793056854263E-2</v>
      </c>
      <c r="BD17" s="3">
        <v>-3.8232263640699843E-2</v>
      </c>
      <c r="BE17" s="3">
        <v>-5.4084302239135698E-2</v>
      </c>
      <c r="BF17" s="3">
        <v>3.812539956502835E-3</v>
      </c>
      <c r="BG17" s="3">
        <v>-7.746539434379969E-2</v>
      </c>
      <c r="BH17" s="3">
        <v>4.5089697334360607E-2</v>
      </c>
      <c r="BI17" s="3">
        <v>-7.0206821526163032E-2</v>
      </c>
      <c r="BJ17" s="3">
        <v>3.3445901200846319E-2</v>
      </c>
      <c r="BK17" s="3">
        <v>-2.335704388999665E-2</v>
      </c>
      <c r="BL17" s="3">
        <v>-5.954844502967363E-2</v>
      </c>
      <c r="BM17" s="3">
        <v>-1.8606354709296349E-3</v>
      </c>
      <c r="BN17" s="3">
        <v>8.6885151214219108E-2</v>
      </c>
      <c r="BO17" s="3">
        <v>-1.8107481655341071E-2</v>
      </c>
      <c r="BP17" s="3">
        <v>0.1165778692483634</v>
      </c>
      <c r="BQ17" s="3">
        <v>-2.1086941349703011E-2</v>
      </c>
      <c r="BR17" s="3">
        <v>3.9044423938284722E-2</v>
      </c>
      <c r="BS17" s="3">
        <v>-6.9294655149151037E-3</v>
      </c>
      <c r="BT17" s="3">
        <v>-5.0675531729372572E-2</v>
      </c>
      <c r="BU17" s="3">
        <v>-6.5035732186137285E-2</v>
      </c>
      <c r="BV17" s="3">
        <v>6.4704688018097589E-2</v>
      </c>
      <c r="BW17" s="3">
        <v>6.085524118569656E-2</v>
      </c>
      <c r="BX17" s="3">
        <v>-2.184906647206514E-3</v>
      </c>
      <c r="BY17" s="3">
        <v>0.17895762592044179</v>
      </c>
      <c r="BZ17" s="3">
        <v>0.1182107087430346</v>
      </c>
      <c r="CA17" s="3">
        <v>1.0786480259808851E-2</v>
      </c>
      <c r="CB17" s="3">
        <v>3.1987392027262862E-2</v>
      </c>
      <c r="CC17" s="3">
        <v>1.357387171768662E-2</v>
      </c>
      <c r="CD17" s="3">
        <v>4.648772803606218E-2</v>
      </c>
      <c r="CE17" s="3">
        <v>9.6973725627285803E-2</v>
      </c>
      <c r="CF17" s="3">
        <v>4.1130172727426383E-2</v>
      </c>
      <c r="CG17" s="3">
        <v>0.1084281209158743</v>
      </c>
      <c r="CH17" s="3">
        <v>-9.1490435104109896E-2</v>
      </c>
      <c r="CI17" s="3">
        <v>1.6185092437423859E-2</v>
      </c>
      <c r="CJ17" s="3">
        <v>1.9902667074247631E-2</v>
      </c>
      <c r="CK17" s="3">
        <v>2.3211261551748779E-2</v>
      </c>
      <c r="CL17" s="3">
        <v>-5.758828051156778E-2</v>
      </c>
      <c r="CM17" s="3">
        <v>-2.7688819020555169E-2</v>
      </c>
      <c r="CN17" s="3">
        <v>0.23824740251435339</v>
      </c>
      <c r="CO17" s="3">
        <v>0.1631265745314569</v>
      </c>
      <c r="CP17" s="3">
        <v>-3.8126384256814513E-2</v>
      </c>
      <c r="CQ17" s="3">
        <v>9.2423502665998983E-2</v>
      </c>
      <c r="CR17" s="3">
        <v>1.9590276899622412E-2</v>
      </c>
      <c r="CS17" s="3">
        <v>-3.7359974607998482E-2</v>
      </c>
      <c r="CT17" s="3">
        <v>2.4960272215225159E-2</v>
      </c>
      <c r="CU17" s="3">
        <v>3.9134247727934439E-2</v>
      </c>
      <c r="CV17" s="3">
        <v>-1.0535653837906221E-2</v>
      </c>
      <c r="CW17" s="3">
        <v>5.7599387044239322E-2</v>
      </c>
      <c r="CX17" s="3">
        <v>1.3430242583262269E-3</v>
      </c>
      <c r="CY17" s="3">
        <v>-2.265526007569604E-2</v>
      </c>
      <c r="CZ17" s="3">
        <v>2.1819781622250678E-3</v>
      </c>
      <c r="DA17" s="3">
        <v>-4.5728502682071813E-2</v>
      </c>
      <c r="DB17" s="3">
        <v>4.0766861765166022E-2</v>
      </c>
      <c r="DC17" s="3">
        <v>1.441002453393056E-3</v>
      </c>
      <c r="DD17" s="3">
        <v>-0.22070814165590291</v>
      </c>
      <c r="DE17" s="3">
        <v>-1.755304718330826E-2</v>
      </c>
      <c r="DF17" s="3">
        <v>-0.15063330958747781</v>
      </c>
      <c r="DG17" s="3">
        <v>-5.6291953677994597E-2</v>
      </c>
      <c r="DH17" s="3">
        <v>4.9280063187293478E-2</v>
      </c>
      <c r="DI17" s="3">
        <v>-4.3526603939698469E-2</v>
      </c>
      <c r="DJ17" s="3">
        <v>4.7049290742651052E-2</v>
      </c>
      <c r="DK17" s="3">
        <v>-3.3228910028035302E-4</v>
      </c>
      <c r="DL17" s="3">
        <v>-5.8420164239514124E-3</v>
      </c>
      <c r="DM17" s="3">
        <v>-3.0064095908062589E-2</v>
      </c>
      <c r="DN17" s="3">
        <v>-0.104214160345471</v>
      </c>
      <c r="DO17" s="3">
        <v>0.12765424418439381</v>
      </c>
      <c r="DP17" s="3">
        <v>2.6657067851977839E-2</v>
      </c>
      <c r="DQ17" s="3">
        <v>-4.6658383709785242E-2</v>
      </c>
      <c r="DR17" s="3">
        <v>-3.112950806833761E-2</v>
      </c>
      <c r="DS17" s="3">
        <v>-0.1218277050300364</v>
      </c>
      <c r="DT17" s="3">
        <v>9.3916293292394953E-3</v>
      </c>
      <c r="DU17" s="3">
        <v>-9.2886057919761206E-2</v>
      </c>
      <c r="DV17" s="3">
        <v>0.1135005181349444</v>
      </c>
      <c r="DW17" s="3">
        <v>-2.8359309127543132E-2</v>
      </c>
      <c r="DX17" s="3">
        <v>-4.797318836183221E-2</v>
      </c>
      <c r="DY17" s="3">
        <v>8.5791656414733714E-2</v>
      </c>
      <c r="DZ17" s="3">
        <v>8.5240811625072761E-4</v>
      </c>
      <c r="EA17" s="3">
        <v>6.1379606579379381E-3</v>
      </c>
      <c r="EB17" s="3">
        <v>-7.4963814550295049E-2</v>
      </c>
      <c r="EC17" s="3">
        <v>2.2838459597891849E-2</v>
      </c>
      <c r="ED17" s="3">
        <v>-0.15982061760977909</v>
      </c>
      <c r="EE17" s="3">
        <v>4.9378555876698812E-3</v>
      </c>
      <c r="EF17" s="3">
        <v>6.3224637104902989E-2</v>
      </c>
      <c r="EG17" s="3">
        <v>3.3855404065273598E-4</v>
      </c>
      <c r="EH17" s="3">
        <v>-1.6365001117739579E-2</v>
      </c>
      <c r="EI17" s="3">
        <v>-7.425586800673932E-2</v>
      </c>
      <c r="EJ17" s="3">
        <v>-0.1222253270996201</v>
      </c>
      <c r="EK17" s="3">
        <v>-3.8188015560760312E-2</v>
      </c>
      <c r="EL17" s="3">
        <v>-7.5707172301654552E-2</v>
      </c>
      <c r="EM17">
        <f t="shared" si="11"/>
        <v>1.1994743435262932E-2</v>
      </c>
      <c r="EN17">
        <f t="shared" si="12"/>
        <v>7.5749168229970562E-2</v>
      </c>
      <c r="EO17">
        <f t="shared" si="13"/>
        <v>0.15834818672658571</v>
      </c>
    </row>
    <row r="18" spans="1:145" x14ac:dyDescent="0.3">
      <c r="A18" s="19">
        <v>150</v>
      </c>
      <c r="B18" s="19">
        <f t="shared" si="10"/>
        <v>7</v>
      </c>
      <c r="C18" s="3">
        <v>0.18958022066935429</v>
      </c>
      <c r="D18" s="3">
        <v>0.21664806730802891</v>
      </c>
      <c r="E18" s="3">
        <v>-5.7778403644748698E-2</v>
      </c>
      <c r="F18" s="3">
        <v>-0.1382265964009862</v>
      </c>
      <c r="G18" s="3">
        <v>-0.14913620900973229</v>
      </c>
      <c r="H18" s="3">
        <v>0.1022306196328665</v>
      </c>
      <c r="I18" s="3">
        <v>6.6714131064657581E-2</v>
      </c>
      <c r="J18" s="3">
        <v>0.1194452952901824</v>
      </c>
      <c r="K18" s="3">
        <v>2.0854643291287139E-2</v>
      </c>
      <c r="L18" s="3">
        <v>-2.979263734873307E-2</v>
      </c>
      <c r="M18" s="3">
        <v>4.2386471027719273E-2</v>
      </c>
      <c r="N18" s="3">
        <v>-0.146119968804543</v>
      </c>
      <c r="O18" s="3">
        <v>-3.4985550583642951E-2</v>
      </c>
      <c r="P18" s="3">
        <v>8.2908867359274427E-2</v>
      </c>
      <c r="Q18" s="3">
        <v>-3.0531715924257991E-2</v>
      </c>
      <c r="R18" s="3">
        <v>0.1008056404664192</v>
      </c>
      <c r="S18" s="3">
        <v>-4.7165641771334747E-2</v>
      </c>
      <c r="T18" s="3">
        <v>-3.5314249933639658E-2</v>
      </c>
      <c r="U18" s="3">
        <v>-9.8910073021115624E-2</v>
      </c>
      <c r="V18" s="3">
        <v>-1.314690469151404E-2</v>
      </c>
      <c r="W18" s="3">
        <v>0.1233029005809428</v>
      </c>
      <c r="X18" s="3">
        <v>0.12893667750811719</v>
      </c>
      <c r="Y18" s="3">
        <v>-1.7681259204849781E-2</v>
      </c>
      <c r="Z18" s="3">
        <v>4.1779249074046898E-2</v>
      </c>
      <c r="AA18" s="3">
        <v>-7.3446194255671032E-2</v>
      </c>
      <c r="AB18" s="3">
        <v>8.5853160293218087E-2</v>
      </c>
      <c r="AC18" s="3">
        <v>1.754808506388612E-2</v>
      </c>
      <c r="AD18" s="3">
        <v>2.120866101203038E-2</v>
      </c>
      <c r="AE18" s="3">
        <v>9.1090384921812886E-3</v>
      </c>
      <c r="AF18" s="3">
        <v>-2.169987338869684E-2</v>
      </c>
      <c r="AG18" s="3">
        <v>4.3325339601005132E-2</v>
      </c>
      <c r="AH18" s="3">
        <v>-1.072715539943298E-2</v>
      </c>
      <c r="AI18" s="3">
        <v>1.9923488094527091E-2</v>
      </c>
      <c r="AJ18" s="3">
        <v>4.1129654703161038E-2</v>
      </c>
      <c r="AK18" s="3">
        <v>7.564465967425044E-3</v>
      </c>
      <c r="AL18" s="3">
        <v>-5.0479451902751042E-2</v>
      </c>
      <c r="AM18" s="3">
        <v>5.7015312817978829E-2</v>
      </c>
      <c r="AN18" s="3">
        <v>0.1498296127238232</v>
      </c>
      <c r="AO18" s="3">
        <v>3.655781073372933E-2</v>
      </c>
      <c r="AP18" s="3">
        <v>-1.070309199026083E-2</v>
      </c>
      <c r="AQ18" s="3">
        <v>-2.1849556351372649E-2</v>
      </c>
      <c r="AR18" s="3">
        <v>-1.549296996501158E-2</v>
      </c>
      <c r="AS18" s="3">
        <v>0.17106387197818421</v>
      </c>
      <c r="AT18" s="3">
        <v>-7.0696988188917748E-3</v>
      </c>
      <c r="AU18" s="3">
        <v>0.1290042642954887</v>
      </c>
      <c r="AV18" s="3">
        <v>7.4024440107616093E-2</v>
      </c>
      <c r="AW18" s="3">
        <v>6.8254345424997684E-2</v>
      </c>
      <c r="AX18" s="3">
        <v>4.7071613672048131E-2</v>
      </c>
      <c r="AY18" s="3">
        <v>9.1301936540808176E-2</v>
      </c>
      <c r="AZ18" s="3">
        <v>7.8298827725099412E-2</v>
      </c>
      <c r="BA18" s="3">
        <v>1.032965205389956E-2</v>
      </c>
      <c r="BB18" s="3">
        <v>0.16085837001440889</v>
      </c>
      <c r="BC18" s="3">
        <v>4.4994735593944603E-2</v>
      </c>
      <c r="BD18" s="3">
        <v>-2.9373388054604311E-2</v>
      </c>
      <c r="BE18" s="3">
        <v>-6.0727788912902349E-2</v>
      </c>
      <c r="BF18" s="3">
        <v>-3.9830668440099292E-3</v>
      </c>
      <c r="BG18" s="3">
        <v>-6.9932951913055624E-2</v>
      </c>
      <c r="BH18" s="3">
        <v>-1.1949261238489311E-2</v>
      </c>
      <c r="BI18" s="3">
        <v>-0.11222275327484101</v>
      </c>
      <c r="BJ18" s="3">
        <v>2.9457350816663268E-2</v>
      </c>
      <c r="BK18" s="3">
        <v>-4.6312554333941491E-2</v>
      </c>
      <c r="BL18" s="3">
        <v>-6.2214521492040813E-2</v>
      </c>
      <c r="BM18" s="3">
        <v>-2.945069155747658E-2</v>
      </c>
      <c r="BN18" s="3">
        <v>9.7334576261492695E-2</v>
      </c>
      <c r="BO18" s="3">
        <v>-9.8540269891202736E-3</v>
      </c>
      <c r="BP18" s="3">
        <v>0.1177197489962694</v>
      </c>
      <c r="BQ18" s="3">
        <v>-2.7367608531064212E-2</v>
      </c>
      <c r="BR18" s="3">
        <v>3.4657218679364769E-2</v>
      </c>
      <c r="BS18" s="3">
        <v>-2.059305618604566E-2</v>
      </c>
      <c r="BT18" s="3">
        <v>-2.177560567573637E-2</v>
      </c>
      <c r="BU18" s="3">
        <v>-6.7230901787235994E-2</v>
      </c>
      <c r="BV18" s="3">
        <v>5.7993735064670378E-2</v>
      </c>
      <c r="BW18" s="3">
        <v>0.1136930428969815</v>
      </c>
      <c r="BX18" s="3">
        <v>1.2055219501146369E-3</v>
      </c>
      <c r="BY18" s="3">
        <v>0.1708678308272556</v>
      </c>
      <c r="BZ18" s="3">
        <v>7.7912437188664516E-2</v>
      </c>
      <c r="CA18" s="3">
        <v>-4.3593750889253406E-3</v>
      </c>
      <c r="CB18" s="3">
        <v>7.1788008022252242E-2</v>
      </c>
      <c r="CC18" s="3">
        <v>-3.09583816538802E-2</v>
      </c>
      <c r="CD18" s="3">
        <v>4.9148547145475958E-2</v>
      </c>
      <c r="CE18" s="3">
        <v>0.10123786363057929</v>
      </c>
      <c r="CF18" s="3">
        <v>4.3187763641103057E-2</v>
      </c>
      <c r="CG18" s="3">
        <v>0.1018611158767882</v>
      </c>
      <c r="CH18" s="3">
        <v>-8.8224040961917438E-2</v>
      </c>
      <c r="CI18" s="3">
        <v>1.7057188352875119E-2</v>
      </c>
      <c r="CJ18" s="3">
        <v>2.0784009300245071E-2</v>
      </c>
      <c r="CK18" s="3">
        <v>2.3891651393815602E-2</v>
      </c>
      <c r="CL18" s="3">
        <v>-0.1011743483335734</v>
      </c>
      <c r="CM18" s="3">
        <v>-3.209083595871122E-2</v>
      </c>
      <c r="CN18" s="3">
        <v>0.2780312873650389</v>
      </c>
      <c r="CO18" s="3">
        <v>0.17116694442910779</v>
      </c>
      <c r="CP18" s="3">
        <v>-2.2490823943432488E-2</v>
      </c>
      <c r="CQ18" s="3">
        <v>0.1099411898190724</v>
      </c>
      <c r="CR18" s="3">
        <v>3.3901622485557642E-2</v>
      </c>
      <c r="CS18" s="3">
        <v>-5.527096331567137E-2</v>
      </c>
      <c r="CT18" s="3">
        <v>1.175117635380226E-2</v>
      </c>
      <c r="CU18" s="3">
        <v>2.237600837590175E-2</v>
      </c>
      <c r="CV18" s="3">
        <v>9.7675432998948937E-3</v>
      </c>
      <c r="CW18" s="3">
        <v>6.368624444203963E-2</v>
      </c>
      <c r="CX18" s="3">
        <v>-1.727945329890462E-2</v>
      </c>
      <c r="CY18" s="3">
        <v>-1.0167938460285511E-2</v>
      </c>
      <c r="CZ18" s="3">
        <v>5.2794399150753873E-3</v>
      </c>
      <c r="DA18" s="3">
        <v>-4.4303959117770547E-2</v>
      </c>
      <c r="DB18" s="3">
        <v>4.7953426378034833E-2</v>
      </c>
      <c r="DC18" s="3">
        <v>-7.0483501062879039E-4</v>
      </c>
      <c r="DD18" s="3">
        <v>-0.2755966572648344</v>
      </c>
      <c r="DE18" s="3">
        <v>-1.7370518692767151E-2</v>
      </c>
      <c r="DF18" s="3">
        <v>-0.16098653664980009</v>
      </c>
      <c r="DG18" s="3">
        <v>-6.4967175213117512E-2</v>
      </c>
      <c r="DH18" s="3">
        <v>5.6425788971312632E-2</v>
      </c>
      <c r="DI18" s="3">
        <v>-4.4298729809297069E-2</v>
      </c>
      <c r="DJ18" s="3">
        <v>2.1551365328140931E-2</v>
      </c>
      <c r="DK18" s="3">
        <v>2.4644254651692839E-3</v>
      </c>
      <c r="DL18" s="3">
        <v>3.5877020537678911E-2</v>
      </c>
      <c r="DM18" s="3">
        <v>-2.6505465033442598E-2</v>
      </c>
      <c r="DN18" s="3">
        <v>-8.1839780049739297E-2</v>
      </c>
      <c r="DO18" s="3">
        <v>0.1511049079563824</v>
      </c>
      <c r="DP18" s="3">
        <v>3.7977281055093848E-2</v>
      </c>
      <c r="DQ18" s="3">
        <v>3.4206922765167079E-3</v>
      </c>
      <c r="DR18" s="3">
        <v>-4.5022073671052737E-2</v>
      </c>
      <c r="DS18" s="3">
        <v>-0.15440853340563951</v>
      </c>
      <c r="DT18" s="3">
        <v>7.8532402361115583E-3</v>
      </c>
      <c r="DU18" s="3">
        <v>-9.9789831443312493E-2</v>
      </c>
      <c r="DV18" s="3">
        <v>0.1274262923752823</v>
      </c>
      <c r="DW18" s="3">
        <v>-4.6769000969282409E-2</v>
      </c>
      <c r="DX18" s="3">
        <v>-5.7342985693605117E-2</v>
      </c>
      <c r="DY18" s="3">
        <v>0.1366187870673736</v>
      </c>
      <c r="DZ18" s="3">
        <v>7.0812449491135946E-3</v>
      </c>
      <c r="EA18" s="3">
        <v>-1.7747344814648621E-2</v>
      </c>
      <c r="EB18" s="3">
        <v>-8.0927653298955377E-2</v>
      </c>
      <c r="EC18" s="3">
        <v>5.2909882538276901E-2</v>
      </c>
      <c r="ED18" s="3">
        <v>-0.1538311343274775</v>
      </c>
      <c r="EE18" s="3">
        <v>1.8114026762211151E-3</v>
      </c>
      <c r="EF18" s="3">
        <v>8.0252129028198893E-2</v>
      </c>
      <c r="EG18" s="3">
        <v>1.285829935669347E-2</v>
      </c>
      <c r="EH18" s="3">
        <v>-6.7355865076602021E-3</v>
      </c>
      <c r="EI18" s="3">
        <v>-8.1260054444034169E-2</v>
      </c>
      <c r="EJ18" s="3">
        <v>-0.14073522729324561</v>
      </c>
      <c r="EK18" s="3">
        <v>-5.5356709117670017E-2</v>
      </c>
      <c r="EL18" s="3">
        <v>-7.250697591193131E-2</v>
      </c>
      <c r="EM18">
        <f t="shared" si="11"/>
        <v>1.1034831535364966E-2</v>
      </c>
      <c r="EN18">
        <f t="shared" si="12"/>
        <v>8.3650788659225761E-2</v>
      </c>
      <c r="EO18">
        <f t="shared" si="13"/>
        <v>0.13191545127348833</v>
      </c>
    </row>
    <row r="19" spans="1:145" x14ac:dyDescent="0.3">
      <c r="A19" s="19">
        <v>180</v>
      </c>
      <c r="B19" s="19">
        <f t="shared" si="10"/>
        <v>6</v>
      </c>
      <c r="C19" s="3">
        <v>0.20154129889385181</v>
      </c>
      <c r="D19" s="3">
        <v>0.23343459340956879</v>
      </c>
      <c r="E19" s="3">
        <v>-6.6427648564482578E-2</v>
      </c>
      <c r="F19" s="3">
        <v>-0.11143971261188</v>
      </c>
      <c r="G19" s="3">
        <v>-0.14064457195778121</v>
      </c>
      <c r="H19" s="3">
        <v>6.1758379543497291E-2</v>
      </c>
      <c r="I19" s="3">
        <v>8.1048037259090308E-2</v>
      </c>
      <c r="J19" s="3">
        <v>0.14812584168365839</v>
      </c>
      <c r="K19" s="3">
        <v>3.2361135775736218E-2</v>
      </c>
      <c r="L19" s="3">
        <v>-3.9252105887563216E-3</v>
      </c>
      <c r="M19" s="3">
        <v>7.6836036312062067E-2</v>
      </c>
      <c r="N19" s="3">
        <v>-0.18952322669504559</v>
      </c>
      <c r="O19" s="3">
        <v>-4.0524177921351087E-2</v>
      </c>
      <c r="P19" s="3">
        <v>0.11098076866857939</v>
      </c>
      <c r="Q19" s="3">
        <v>-5.0576018831042083E-2</v>
      </c>
      <c r="R19" s="3">
        <v>0.111435930358385</v>
      </c>
      <c r="S19" s="3">
        <v>-2.7616422317423079E-2</v>
      </c>
      <c r="T19" s="3">
        <v>-3.6791945512612542E-2</v>
      </c>
      <c r="U19" s="3">
        <v>-0.1069221008310975</v>
      </c>
      <c r="V19" s="3">
        <v>-4.0000108627132047E-3</v>
      </c>
      <c r="W19" s="3">
        <v>0.1555540937899747</v>
      </c>
      <c r="X19" s="3">
        <v>0.1211662950793236</v>
      </c>
      <c r="Y19" s="3">
        <v>-9.2523468458592627E-3</v>
      </c>
      <c r="Z19" s="3">
        <v>3.5198490036599757E-2</v>
      </c>
      <c r="AA19" s="3">
        <v>-8.419670916337077E-2</v>
      </c>
      <c r="AB19" s="3">
        <v>8.375956076520133E-2</v>
      </c>
      <c r="AC19" s="3">
        <v>1.7300750757487771E-2</v>
      </c>
      <c r="AD19" s="3">
        <v>2.0987538166521869E-2</v>
      </c>
      <c r="AE19" s="3">
        <v>2.215972533440105E-2</v>
      </c>
      <c r="AF19" s="3">
        <v>-2.0948572561370719E-2</v>
      </c>
      <c r="AG19" s="3">
        <v>2.4092417850900199E-2</v>
      </c>
      <c r="AH19" s="3">
        <v>2.2625915482708918E-3</v>
      </c>
      <c r="AI19" s="3">
        <v>2.4635865979851641E-2</v>
      </c>
      <c r="AJ19" s="3">
        <v>5.2539727019666853E-2</v>
      </c>
      <c r="AK19" s="3">
        <v>6.0188255100885029E-4</v>
      </c>
      <c r="AL19" s="3">
        <v>-3.4603276203826139E-2</v>
      </c>
      <c r="AM19" s="3">
        <v>7.2257946617690569E-2</v>
      </c>
      <c r="AN19" s="3">
        <v>0.15988073019960561</v>
      </c>
      <c r="AO19" s="3">
        <v>3.9460686014026587E-2</v>
      </c>
      <c r="AP19" s="3">
        <v>3.8549296413962209E-2</v>
      </c>
      <c r="AQ19" s="3">
        <v>-3.2853077633707012E-2</v>
      </c>
      <c r="AR19" s="3">
        <v>-1.85778972157511E-2</v>
      </c>
      <c r="AS19" s="3">
        <v>0.19550412262505731</v>
      </c>
      <c r="AT19" s="3">
        <v>-1.6953394720697759E-2</v>
      </c>
      <c r="AU19" s="3">
        <v>9.7612326344743053E-2</v>
      </c>
      <c r="AV19" s="3">
        <v>8.1249405384381412E-2</v>
      </c>
      <c r="AW19" s="3">
        <v>5.3739015717851717E-2</v>
      </c>
      <c r="AX19" s="3">
        <v>4.6940766052089113E-2</v>
      </c>
      <c r="AY19" s="3">
        <v>7.3100080354346661E-2</v>
      </c>
      <c r="AZ19" s="3">
        <v>6.7520293906336959E-2</v>
      </c>
      <c r="BA19" s="3">
        <v>-1.0160133135898459E-2</v>
      </c>
      <c r="BB19" s="3">
        <v>0.1443464755377315</v>
      </c>
      <c r="BC19" s="3">
        <v>5.68478817636036E-2</v>
      </c>
      <c r="BD19" s="3">
        <v>-2.5263556863242428E-2</v>
      </c>
      <c r="BE19" s="3">
        <v>-7.1263915943284031E-2</v>
      </c>
      <c r="BF19" s="3">
        <v>9.3554261076752819E-3</v>
      </c>
      <c r="BG19" s="3">
        <v>-6.2283141311044607E-2</v>
      </c>
      <c r="BH19" s="3">
        <v>-2.4526372398625179E-2</v>
      </c>
      <c r="BI19" s="3">
        <v>-0.102109840613193</v>
      </c>
      <c r="BJ19" s="3">
        <v>1.0767792579343989E-2</v>
      </c>
      <c r="BK19" s="3">
        <v>-5.4019991823142141E-2</v>
      </c>
      <c r="BL19" s="3">
        <v>-7.6694864933780915E-2</v>
      </c>
      <c r="BM19" s="3">
        <v>-5.7880225039881973E-2</v>
      </c>
      <c r="BN19" s="3">
        <v>9.7449007739862217E-2</v>
      </c>
      <c r="BO19" s="3">
        <v>6.3653372017071358E-3</v>
      </c>
      <c r="BP19" s="3">
        <v>0.1186994705386628</v>
      </c>
      <c r="BQ19" s="3">
        <v>-3.068981862286925E-2</v>
      </c>
      <c r="BR19" s="3">
        <v>3.9474876135819827E-2</v>
      </c>
      <c r="BS19" s="3">
        <v>-3.2218279703252077E-2</v>
      </c>
      <c r="BT19" s="3">
        <v>-2.4491829114527099E-2</v>
      </c>
      <c r="BU19" s="3">
        <v>-9.5223820970517181E-2</v>
      </c>
      <c r="BV19" s="3">
        <v>4.3508170751499237E-2</v>
      </c>
      <c r="BW19" s="3">
        <v>0.11249849530506011</v>
      </c>
      <c r="BX19" s="3">
        <v>9.6378708801376153E-3</v>
      </c>
      <c r="BY19" s="3">
        <v>0.16481735225538599</v>
      </c>
      <c r="BZ19" s="3">
        <v>5.7745484738879471E-2</v>
      </c>
      <c r="CA19" s="3">
        <v>9.2058912193011579E-3</v>
      </c>
      <c r="CB19" s="3">
        <v>6.1022082562039018E-2</v>
      </c>
      <c r="CC19" s="3">
        <v>-7.7127309571861882E-2</v>
      </c>
      <c r="CD19" s="3">
        <v>6.2504805227936458E-2</v>
      </c>
      <c r="CE19" s="3">
        <v>8.1108756911224919E-2</v>
      </c>
      <c r="CF19" s="3">
        <v>4.0817107125316839E-2</v>
      </c>
      <c r="CG19" s="3">
        <v>0.14412356801621701</v>
      </c>
      <c r="CH19" s="3">
        <v>-2.265544687342606E-2</v>
      </c>
      <c r="CI19" s="3">
        <v>-2.8497052373192399E-2</v>
      </c>
      <c r="CJ19" s="3">
        <v>3.0539744517982251E-2</v>
      </c>
      <c r="CK19" s="3">
        <v>2.9405815364749299E-2</v>
      </c>
      <c r="CL19" s="3">
        <v>-0.11433085510714321</v>
      </c>
      <c r="CM19" s="3">
        <v>-4.3403640620322058E-2</v>
      </c>
      <c r="CN19" s="3">
        <v>0.32902655047733109</v>
      </c>
      <c r="CO19" s="3">
        <v>0.14350451072710249</v>
      </c>
      <c r="CP19" s="3">
        <v>-7.8292537762725892E-3</v>
      </c>
      <c r="CQ19" s="3">
        <v>0.13062510709100189</v>
      </c>
      <c r="CR19" s="3">
        <v>4.3793003843344627E-2</v>
      </c>
      <c r="CS19" s="3">
        <v>-2.2333830188709752E-2</v>
      </c>
      <c r="CT19" s="3">
        <v>2.2761442963917359E-2</v>
      </c>
      <c r="CU19" s="3">
        <v>-1.030140053305491E-2</v>
      </c>
      <c r="CV19" s="3">
        <v>1.3286212486780189E-2</v>
      </c>
      <c r="CW19" s="3">
        <v>8.675076607390636E-2</v>
      </c>
      <c r="CX19" s="3">
        <v>-5.6458387787703138E-2</v>
      </c>
      <c r="CY19" s="3">
        <v>-5.3807038459556984E-3</v>
      </c>
      <c r="CZ19" s="3">
        <v>4.8243786706287282E-2</v>
      </c>
      <c r="DA19" s="3">
        <v>-3.9121409390941039E-2</v>
      </c>
      <c r="DB19" s="3">
        <v>4.5699250574516737E-2</v>
      </c>
      <c r="DC19" s="3">
        <v>9.4679267535259098E-3</v>
      </c>
      <c r="DD19" s="3">
        <v>-0.2948039461724592</v>
      </c>
      <c r="DE19" s="3">
        <v>-3.4097520192076368E-2</v>
      </c>
      <c r="DF19" s="3">
        <v>-0.1929900091240189</v>
      </c>
      <c r="DG19" s="3">
        <v>-7.0834354097561447E-2</v>
      </c>
      <c r="DH19" s="3">
        <v>6.2325820959675288E-2</v>
      </c>
      <c r="DI19" s="3">
        <v>-5.9791467951289937E-2</v>
      </c>
      <c r="DJ19" s="3">
        <v>1.6831478317393699E-2</v>
      </c>
      <c r="DK19" s="3">
        <v>2.800701676148272E-2</v>
      </c>
      <c r="DL19" s="3">
        <v>4.0062581278313088E-2</v>
      </c>
      <c r="DM19" s="3">
        <v>-5.6971011369361751E-2</v>
      </c>
      <c r="DN19" s="3">
        <v>-9.204422911859339E-2</v>
      </c>
      <c r="DO19" s="3">
        <v>1.321825311576961E-2</v>
      </c>
      <c r="DP19" s="3">
        <v>4.007834516376553E-2</v>
      </c>
      <c r="DQ19" s="3">
        <v>-5.0115840742263468E-3</v>
      </c>
      <c r="DR19" s="3">
        <v>-1.8166085124817238E-2</v>
      </c>
      <c r="DS19" s="3">
        <v>-5.3752612049592717E-2</v>
      </c>
      <c r="DT19" s="3">
        <v>-2.1804094569537649E-2</v>
      </c>
      <c r="DU19" s="3">
        <v>-0.12657573286994239</v>
      </c>
      <c r="DV19" s="3">
        <v>0.14149351250445499</v>
      </c>
      <c r="DW19" s="3">
        <v>-5.7785468937917833E-2</v>
      </c>
      <c r="DX19" s="3">
        <v>-9.6999049307634366E-2</v>
      </c>
      <c r="DY19" s="3">
        <v>0.15529338371913959</v>
      </c>
      <c r="DZ19" s="3">
        <v>6.2047832487407669E-3</v>
      </c>
      <c r="EA19" s="3">
        <v>-2.4049071211625649E-2</v>
      </c>
      <c r="EB19" s="3">
        <v>-0.10380748501661979</v>
      </c>
      <c r="EC19" s="3">
        <v>6.1301466668574708E-2</v>
      </c>
      <c r="ED19" s="3">
        <v>-0.173495810824496</v>
      </c>
      <c r="EE19" s="3">
        <v>9.5477527956781098E-3</v>
      </c>
      <c r="EF19" s="3">
        <v>8.2582505853420612E-2</v>
      </c>
      <c r="EG19" s="3">
        <v>-1.7635880121828651E-2</v>
      </c>
      <c r="EH19" s="3">
        <v>-7.254071836019671E-3</v>
      </c>
      <c r="EI19" s="3">
        <v>-7.6116231494518113E-2</v>
      </c>
      <c r="EJ19" s="3">
        <v>-0.15618115487203901</v>
      </c>
      <c r="EK19" s="3">
        <v>-3.2643365823641732E-2</v>
      </c>
      <c r="EL19" s="3">
        <v>-6.2277729465492419E-2</v>
      </c>
      <c r="EM19">
        <f t="shared" si="11"/>
        <v>1.0562950955514773E-2</v>
      </c>
      <c r="EN19">
        <f t="shared" si="12"/>
        <v>8.8306314239001205E-2</v>
      </c>
      <c r="EO19">
        <f t="shared" si="13"/>
        <v>0.11961716493937372</v>
      </c>
    </row>
    <row r="20" spans="1:145" x14ac:dyDescent="0.3">
      <c r="A20" s="19">
        <v>200</v>
      </c>
      <c r="B20" s="19">
        <f t="shared" si="10"/>
        <v>5</v>
      </c>
      <c r="C20" s="3">
        <v>0.22562472891516799</v>
      </c>
      <c r="D20" s="3">
        <v>0.23380855876453879</v>
      </c>
      <c r="E20" s="3">
        <v>-9.7313106563535062E-2</v>
      </c>
      <c r="F20" s="3">
        <v>-0.1133650591652353</v>
      </c>
      <c r="G20" s="3">
        <v>-7.5974454629219562E-2</v>
      </c>
      <c r="H20" s="3">
        <v>4.0309248145747698E-2</v>
      </c>
      <c r="I20" s="3">
        <v>9.58006645233552E-2</v>
      </c>
      <c r="J20" s="3">
        <v>0.1092567894890665</v>
      </c>
      <c r="K20" s="3">
        <v>3.0416570562201518E-2</v>
      </c>
      <c r="L20" s="3">
        <v>-4.163562257562755E-2</v>
      </c>
      <c r="M20" s="3">
        <v>9.3777844374332286E-2</v>
      </c>
      <c r="N20" s="3">
        <v>-0.242012610075381</v>
      </c>
      <c r="O20" s="3">
        <v>-4.0131954432206782E-2</v>
      </c>
      <c r="P20" s="3">
        <v>0.11913845956881081</v>
      </c>
      <c r="Q20" s="3">
        <v>-0.12160760833925691</v>
      </c>
      <c r="R20" s="3">
        <v>0.13995351479740381</v>
      </c>
      <c r="S20" s="3">
        <v>-2.7001126786749801E-2</v>
      </c>
      <c r="T20" s="3">
        <v>-4.936716548984204E-2</v>
      </c>
      <c r="U20" s="3">
        <v>-0.1033655933634539</v>
      </c>
      <c r="V20" s="3">
        <v>1.6052563570228551E-2</v>
      </c>
      <c r="W20" s="3">
        <v>0.16350098325837689</v>
      </c>
      <c r="X20" s="3">
        <v>8.595438460870633E-2</v>
      </c>
      <c r="Y20" s="3">
        <v>-3.3505352054040517E-2</v>
      </c>
      <c r="Z20" s="3">
        <v>4.8535261295058502E-2</v>
      </c>
      <c r="AA20" s="3">
        <v>-8.0159059633695018E-2</v>
      </c>
      <c r="AB20" s="3">
        <v>8.2919912923763411E-2</v>
      </c>
      <c r="AC20" s="3">
        <v>2.7237533788986679E-2</v>
      </c>
      <c r="AD20" s="3">
        <v>-1.0172286876469981E-2</v>
      </c>
      <c r="AE20" s="3">
        <v>3.3462196076574503E-2</v>
      </c>
      <c r="AF20" s="3">
        <v>-1.731378447457663E-2</v>
      </c>
      <c r="AG20" s="3">
        <v>2.6851386654517379E-2</v>
      </c>
      <c r="AH20" s="3">
        <v>-2.284248757267502E-2</v>
      </c>
      <c r="AI20" s="3">
        <v>1.9845707763233991E-2</v>
      </c>
      <c r="AJ20" s="3">
        <v>3.3787655444051122E-2</v>
      </c>
      <c r="AK20" s="3">
        <v>-6.8384587574094784E-3</v>
      </c>
      <c r="AL20" s="3">
        <v>-2.718682663782437E-2</v>
      </c>
      <c r="AM20" s="3">
        <v>7.8146028529826758E-2</v>
      </c>
      <c r="AN20" s="3">
        <v>0.15793382256981781</v>
      </c>
      <c r="AO20" s="3">
        <v>2.813269573631668E-2</v>
      </c>
      <c r="AP20" s="3">
        <v>6.9282493817392848E-2</v>
      </c>
      <c r="AQ20" s="3">
        <v>-5.9114649182815879E-3</v>
      </c>
      <c r="AR20" s="3">
        <v>3.8746304549503959E-3</v>
      </c>
      <c r="AS20" s="3">
        <v>0.14659656635499829</v>
      </c>
      <c r="AT20" s="3">
        <v>-1.1058951821800051E-2</v>
      </c>
      <c r="AU20" s="3">
        <v>0.11457853060510011</v>
      </c>
      <c r="AV20" s="3">
        <v>8.6110851612130376E-2</v>
      </c>
      <c r="AW20" s="3">
        <v>6.5732928811549268E-2</v>
      </c>
      <c r="AX20" s="3">
        <v>3.8755099511330333E-2</v>
      </c>
      <c r="AY20" s="3">
        <v>5.4405029799081218E-2</v>
      </c>
      <c r="AZ20" s="3">
        <v>3.1974946724076969E-2</v>
      </c>
      <c r="BA20" s="3">
        <v>-2.486363423715789E-2</v>
      </c>
      <c r="BB20" s="3">
        <v>0.1522319497962783</v>
      </c>
      <c r="BC20" s="3">
        <v>5.9727415147501108E-2</v>
      </c>
      <c r="BD20" s="3">
        <v>-6.1753125316693219E-3</v>
      </c>
      <c r="BE20" s="3">
        <v>-9.5421735680286515E-2</v>
      </c>
      <c r="BF20" s="3">
        <v>-4.5537587782590646E-3</v>
      </c>
      <c r="BG20" s="3">
        <v>-6.8255304408442588E-2</v>
      </c>
      <c r="BH20" s="3">
        <v>-1.51675309517663E-2</v>
      </c>
      <c r="BI20" s="3">
        <v>-0.1108712980258737</v>
      </c>
      <c r="BJ20" s="3">
        <v>1.1297356634009791E-2</v>
      </c>
      <c r="BK20" s="3">
        <v>-6.0634762588118833E-2</v>
      </c>
      <c r="BL20" s="3">
        <v>-8.0051595559621255E-2</v>
      </c>
      <c r="BM20" s="3">
        <v>-5.9509001285410021E-2</v>
      </c>
      <c r="BN20" s="3">
        <v>6.7043136021717992E-2</v>
      </c>
      <c r="BO20" s="3">
        <v>1.588066621679933E-2</v>
      </c>
      <c r="BP20" s="3">
        <v>0.16284196015336069</v>
      </c>
      <c r="BQ20" s="3">
        <v>-4.8285794891992008E-2</v>
      </c>
      <c r="BR20" s="3">
        <v>1.4782630281070901E-2</v>
      </c>
      <c r="BS20" s="3">
        <v>-4.0441091849712292E-2</v>
      </c>
      <c r="BT20" s="3">
        <v>-1.7763888628965819E-2</v>
      </c>
      <c r="BU20" s="3">
        <v>-8.7016969311317582E-2</v>
      </c>
      <c r="BV20" s="3">
        <v>4.5608798344190557E-2</v>
      </c>
      <c r="BW20" s="3">
        <v>0.1632327366617074</v>
      </c>
      <c r="BX20" s="3">
        <v>2.6541501875264259E-3</v>
      </c>
      <c r="BY20" s="3">
        <v>0.16120489222356091</v>
      </c>
      <c r="BZ20" s="3">
        <v>6.336251294967768E-2</v>
      </c>
      <c r="CA20" s="3">
        <v>1.029078240439129E-2</v>
      </c>
      <c r="CB20" s="3">
        <v>4.8920722699978207E-2</v>
      </c>
      <c r="CC20" s="3">
        <v>-8.6768755291729893E-2</v>
      </c>
      <c r="CD20" s="3">
        <v>4.871929811463073E-2</v>
      </c>
      <c r="CE20" s="3">
        <v>8.7721804086942731E-2</v>
      </c>
      <c r="CF20" s="3">
        <v>4.9821598562660392E-2</v>
      </c>
      <c r="CG20" s="3">
        <v>0.18912952795745741</v>
      </c>
      <c r="CH20" s="3">
        <v>-4.3619299929949021E-2</v>
      </c>
      <c r="CI20" s="3">
        <v>-2.8341440619353651E-2</v>
      </c>
      <c r="CJ20" s="3">
        <v>3.501473031469806E-2</v>
      </c>
      <c r="CK20" s="3">
        <v>3.8460364426205727E-2</v>
      </c>
      <c r="CL20" s="3">
        <v>-0.1727543064542845</v>
      </c>
      <c r="CM20" s="3">
        <v>-5.5611397185955723E-2</v>
      </c>
      <c r="CN20" s="3">
        <v>0.226466799835495</v>
      </c>
      <c r="CO20" s="3">
        <v>0.173952148866274</v>
      </c>
      <c r="CP20" s="3">
        <v>-5.7809897474088434E-3</v>
      </c>
      <c r="CQ20" s="3">
        <v>0.13834552153592411</v>
      </c>
      <c r="CR20" s="3">
        <v>4.1049777169915973E-2</v>
      </c>
      <c r="CS20" s="3">
        <v>-2.3413079185376821E-2</v>
      </c>
      <c r="CT20" s="3">
        <v>-2.0284452151408349E-2</v>
      </c>
      <c r="CU20" s="3">
        <v>4.9400397699681589E-3</v>
      </c>
      <c r="CV20" s="3">
        <v>2.270169136290846E-2</v>
      </c>
      <c r="CW20" s="3">
        <v>8.8458252091188447E-2</v>
      </c>
      <c r="CX20" s="3">
        <v>-0.10596360516031191</v>
      </c>
      <c r="CY20" s="3">
        <v>-7.8838047196697712E-3</v>
      </c>
      <c r="CZ20" s="3">
        <v>4.7503438698034008E-2</v>
      </c>
      <c r="DA20" s="3">
        <v>-4.3199370514545588E-2</v>
      </c>
      <c r="DB20" s="3">
        <v>4.5492814112473433E-2</v>
      </c>
      <c r="DC20" s="3">
        <v>3.6217396879838763E-2</v>
      </c>
      <c r="DD20" s="3">
        <v>-0.35731273566350358</v>
      </c>
      <c r="DE20" s="3">
        <v>-4.9987592917835222E-2</v>
      </c>
      <c r="DF20" s="3">
        <v>-0.23648390050694229</v>
      </c>
      <c r="DG20" s="3">
        <v>-6.0191679004267959E-2</v>
      </c>
      <c r="DH20" s="3">
        <v>4.7572389527330422E-2</v>
      </c>
      <c r="DI20" s="3">
        <v>-7.1824797025008838E-2</v>
      </c>
      <c r="DJ20" s="3">
        <v>2.875782088734459E-2</v>
      </c>
      <c r="DK20" s="3">
        <v>3.202738421235661E-2</v>
      </c>
      <c r="DL20" s="3">
        <v>3.2066555999268387E-2</v>
      </c>
      <c r="DM20" s="3">
        <v>5.6756273153169133E-2</v>
      </c>
      <c r="DN20" s="3">
        <v>-5.561696647770125E-2</v>
      </c>
      <c r="DO20" s="3">
        <v>1.4151075867301219E-2</v>
      </c>
      <c r="DP20" s="3">
        <v>4.9251886822420578E-2</v>
      </c>
      <c r="DQ20" s="3">
        <v>-5.7938074682511442E-3</v>
      </c>
      <c r="DR20" s="3">
        <v>5.6280404535573057E-2</v>
      </c>
      <c r="DS20" s="3">
        <v>-6.7418389489034114E-2</v>
      </c>
      <c r="DT20" s="3">
        <v>-2.171332701083676E-2</v>
      </c>
      <c r="DU20" s="3">
        <v>-0.14385444871595349</v>
      </c>
      <c r="DV20" s="3">
        <v>0.1572363670345199</v>
      </c>
      <c r="DW20" s="3">
        <v>-9.6224026195702361E-2</v>
      </c>
      <c r="DX20" s="3">
        <v>-0.1089203054616972</v>
      </c>
      <c r="DY20" s="3">
        <v>0.1147792969098151</v>
      </c>
      <c r="DZ20" s="3">
        <v>1.4158591663861639E-2</v>
      </c>
      <c r="EA20" s="3">
        <v>-4.0795332227153973E-2</v>
      </c>
      <c r="EB20" s="3">
        <v>-0.12444039740642419</v>
      </c>
      <c r="EC20" s="3">
        <v>9.3155478292567401E-2</v>
      </c>
      <c r="ED20" s="3">
        <v>-0.1575450933152068</v>
      </c>
      <c r="EE20" s="3">
        <v>4.1690045708663971E-3</v>
      </c>
      <c r="EF20" s="3">
        <v>0.1001202989095212</v>
      </c>
      <c r="EG20" s="3">
        <v>-5.3370890809040311E-2</v>
      </c>
      <c r="EH20" s="3">
        <v>-1.521828071067397E-2</v>
      </c>
      <c r="EI20" s="3">
        <v>-4.6038497990038833E-2</v>
      </c>
      <c r="EJ20" s="3">
        <v>-0.14254220940381121</v>
      </c>
      <c r="EK20" s="3">
        <v>-1.9096201926845639E-2</v>
      </c>
      <c r="EL20" s="3">
        <v>-6.5694854794033822E-2</v>
      </c>
      <c r="EM20">
        <f t="shared" si="11"/>
        <v>8.3988317326226039E-3</v>
      </c>
      <c r="EN20">
        <f t="shared" si="12"/>
        <v>9.3337678920071956E-2</v>
      </c>
      <c r="EO20">
        <f t="shared" si="13"/>
        <v>8.9983293240180021E-2</v>
      </c>
    </row>
    <row r="21" spans="1:145" x14ac:dyDescent="0.3">
      <c r="A21" s="19">
        <v>256</v>
      </c>
      <c r="B21" s="19">
        <f t="shared" si="10"/>
        <v>4</v>
      </c>
      <c r="C21" s="3">
        <v>0.23225322465097431</v>
      </c>
      <c r="D21" s="3">
        <v>0.25647938931521119</v>
      </c>
      <c r="E21" s="3">
        <v>-6.7879797934021255E-2</v>
      </c>
      <c r="F21" s="3">
        <v>-0.15535103936590869</v>
      </c>
      <c r="G21" s="3">
        <v>-8.9250507240465224E-2</v>
      </c>
      <c r="H21" s="3">
        <v>-3.964522623795623E-2</v>
      </c>
      <c r="I21" s="3">
        <v>0.1198757994146068</v>
      </c>
      <c r="J21" s="3">
        <v>7.4738692637279919E-2</v>
      </c>
      <c r="K21" s="3">
        <v>8.9358217090868358E-2</v>
      </c>
      <c r="L21" s="3">
        <v>-4.2477034154376772E-2</v>
      </c>
      <c r="M21" s="3">
        <v>0.14458956887115151</v>
      </c>
      <c r="N21" s="3">
        <v>-0.34011570297962279</v>
      </c>
      <c r="O21" s="3">
        <v>1.6353267700156271E-3</v>
      </c>
      <c r="P21" s="3">
        <v>9.9574179069105054E-2</v>
      </c>
      <c r="Q21" s="3">
        <v>-0.16407818373612421</v>
      </c>
      <c r="R21" s="3">
        <v>0.1721214408282335</v>
      </c>
      <c r="S21" s="3">
        <v>-2.1039883353047201E-2</v>
      </c>
      <c r="T21" s="3">
        <v>-5.163289438985641E-3</v>
      </c>
      <c r="U21" s="3">
        <v>-0.13068860926597309</v>
      </c>
      <c r="V21" s="3">
        <v>4.4232148966658488E-2</v>
      </c>
      <c r="W21" s="3">
        <v>0.18571222896196901</v>
      </c>
      <c r="X21" s="3">
        <v>0.1075451049453096</v>
      </c>
      <c r="Y21" s="3">
        <v>-3.0198181521275971E-2</v>
      </c>
      <c r="Z21" s="3">
        <v>7.6044308432645952E-2</v>
      </c>
      <c r="AA21" s="3">
        <v>-6.987599010961365E-2</v>
      </c>
      <c r="AB21" s="3">
        <v>9.5647189389779452E-2</v>
      </c>
      <c r="AC21" s="3">
        <v>3.5588269662741097E-2</v>
      </c>
      <c r="AD21" s="3">
        <v>-2.9356578152819469E-3</v>
      </c>
      <c r="AE21" s="3">
        <v>2.0368421804944779E-2</v>
      </c>
      <c r="AF21" s="3">
        <v>-2.8981229224618599E-2</v>
      </c>
      <c r="AG21" s="3">
        <v>4.095733804114296E-2</v>
      </c>
      <c r="AH21" s="3">
        <v>-1.744552314320685E-2</v>
      </c>
      <c r="AI21" s="3">
        <v>-2.081202206304289E-2</v>
      </c>
      <c r="AJ21" s="3">
        <v>-2.1316966508783921E-2</v>
      </c>
      <c r="AK21" s="3">
        <v>1.1733537103468829E-2</v>
      </c>
      <c r="AL21" s="3">
        <v>-7.3744404509096417E-2</v>
      </c>
      <c r="AM21" s="3">
        <v>8.4343812331896778E-2</v>
      </c>
      <c r="AN21" s="3">
        <v>0.1752886202976375</v>
      </c>
      <c r="AO21" s="3">
        <v>4.1576116041742807E-2</v>
      </c>
      <c r="AP21" s="3">
        <v>0.10180751923348851</v>
      </c>
      <c r="AQ21" s="3">
        <v>-3.8547704239482511E-3</v>
      </c>
      <c r="AR21" s="3">
        <v>8.3077880995189209E-3</v>
      </c>
      <c r="AS21" s="3">
        <v>0.20572671118363381</v>
      </c>
      <c r="AT21" s="3">
        <v>-7.3253973490327307E-3</v>
      </c>
      <c r="AU21" s="3">
        <v>0.17239489780613421</v>
      </c>
      <c r="AV21" s="3">
        <v>8.093853268809878E-2</v>
      </c>
      <c r="AW21" s="3">
        <v>0.110649305857016</v>
      </c>
      <c r="AX21" s="3">
        <v>5.3175876860542613E-2</v>
      </c>
      <c r="AY21" s="3">
        <v>3.6745381155176393E-2</v>
      </c>
      <c r="AZ21" s="3">
        <v>2.6740051459871399E-2</v>
      </c>
      <c r="BA21" s="3">
        <v>-1.9486952835713781E-2</v>
      </c>
      <c r="BB21" s="3">
        <v>0.15710115257041279</v>
      </c>
      <c r="BC21" s="3">
        <v>6.9576566026184963E-2</v>
      </c>
      <c r="BD21" s="3">
        <v>-1.7263540518615249E-2</v>
      </c>
      <c r="BE21" s="3">
        <v>-0.1109675352084208</v>
      </c>
      <c r="BF21" s="3">
        <v>-8.8171457120689058E-3</v>
      </c>
      <c r="BG21" s="3">
        <v>-7.7488993550229202E-2</v>
      </c>
      <c r="BH21" s="3">
        <v>-0.1156148806558996</v>
      </c>
      <c r="BI21" s="3">
        <v>-7.4482770406390619E-2</v>
      </c>
      <c r="BJ21" s="3">
        <v>7.7214441424885288E-4</v>
      </c>
      <c r="BK21" s="3">
        <v>-6.2825675529204053E-2</v>
      </c>
      <c r="BL21" s="3">
        <v>-7.775507829642675E-2</v>
      </c>
      <c r="BM21" s="3">
        <v>-9.3257227711824514E-2</v>
      </c>
      <c r="BN21" s="3">
        <v>1.567708108992872E-2</v>
      </c>
      <c r="BO21" s="3">
        <v>-2.5806491341160209E-2</v>
      </c>
      <c r="BP21" s="3">
        <v>5.966424860391227E-2</v>
      </c>
      <c r="BQ21" s="3">
        <v>-1.942478392203574E-2</v>
      </c>
      <c r="BR21" s="3">
        <v>9.2656411440152422E-3</v>
      </c>
      <c r="BS21" s="3">
        <v>-6.7125936435223826E-2</v>
      </c>
      <c r="BT21" s="3">
        <v>-5.8579578016806577E-2</v>
      </c>
      <c r="BU21" s="3">
        <v>-9.0300277294644293E-2</v>
      </c>
      <c r="BV21" s="3">
        <v>3.6593985704876847E-2</v>
      </c>
      <c r="BW21" s="3">
        <v>0.21736830909067609</v>
      </c>
      <c r="BX21" s="3">
        <v>-8.8073827432804536E-3</v>
      </c>
      <c r="BY21" s="3">
        <v>0.23841263077978381</v>
      </c>
      <c r="BZ21" s="3">
        <v>-9.129185542302512E-2</v>
      </c>
      <c r="CA21" s="3">
        <v>3.2674620493593542E-2</v>
      </c>
      <c r="CB21" s="3">
        <v>5.4767577873681569E-2</v>
      </c>
      <c r="CC21" s="3">
        <v>-0.14268287337744651</v>
      </c>
      <c r="CD21" s="3">
        <v>5.8033991307110767E-2</v>
      </c>
      <c r="CE21" s="3">
        <v>6.711539686771853E-2</v>
      </c>
      <c r="CF21" s="3">
        <v>4.0099842205670283E-2</v>
      </c>
      <c r="CG21" s="3">
        <v>0.21431954432006731</v>
      </c>
      <c r="CH21" s="3">
        <v>-8.5876362135300532E-2</v>
      </c>
      <c r="CI21" s="3">
        <v>-7.0855770364704113E-2</v>
      </c>
      <c r="CJ21" s="3">
        <v>2.9916124889870801E-2</v>
      </c>
      <c r="CK21" s="3">
        <v>4.5785579433169618E-2</v>
      </c>
      <c r="CL21" s="3">
        <v>-0.1881868570829858</v>
      </c>
      <c r="CM21" s="3">
        <v>-7.1066727442340549E-2</v>
      </c>
      <c r="CN21" s="3">
        <v>0.27536398058452471</v>
      </c>
      <c r="CO21" s="3">
        <v>7.5764360142495324E-2</v>
      </c>
      <c r="CP21" s="3">
        <v>1.972738897058721E-2</v>
      </c>
      <c r="CQ21" s="3">
        <v>0.15336725544989641</v>
      </c>
      <c r="CR21" s="3">
        <v>4.8058379434377338E-2</v>
      </c>
      <c r="CS21" s="3">
        <v>-2.540617357723585E-2</v>
      </c>
      <c r="CT21" s="3">
        <v>-2.6850509846291511E-2</v>
      </c>
      <c r="CU21" s="3">
        <v>1.192255443900214E-2</v>
      </c>
      <c r="CV21" s="3">
        <v>1.243937367230497E-3</v>
      </c>
      <c r="CW21" s="3">
        <v>0.1083503110986939</v>
      </c>
      <c r="CX21" s="3">
        <v>-3.0463451209579891E-2</v>
      </c>
      <c r="CY21" s="3">
        <v>-1.2103586013610539E-2</v>
      </c>
      <c r="CZ21" s="3">
        <v>5.8183389974461874E-3</v>
      </c>
      <c r="DA21" s="3">
        <v>-2.2785821471179371E-2</v>
      </c>
      <c r="DB21" s="3">
        <v>5.2461180662764118E-2</v>
      </c>
      <c r="DC21" s="3">
        <v>5.8817289696009419E-2</v>
      </c>
      <c r="DD21" s="3">
        <v>-0.48721732460791961</v>
      </c>
      <c r="DE21" s="3">
        <v>-7.3454776233746244E-2</v>
      </c>
      <c r="DF21" s="3">
        <v>-0.25585013366745318</v>
      </c>
      <c r="DG21" s="3">
        <v>-7.7264300445238215E-2</v>
      </c>
      <c r="DH21" s="3">
        <v>5.705900841556559E-2</v>
      </c>
      <c r="DI21" s="3">
        <v>-9.0074941053514046E-2</v>
      </c>
      <c r="DJ21" s="3">
        <v>4.3238660149612029E-2</v>
      </c>
      <c r="DK21" s="3">
        <v>-1.5318134078193241E-2</v>
      </c>
      <c r="DL21" s="3">
        <v>3.2792897011685557E-2</v>
      </c>
      <c r="DM21" s="3">
        <v>-9.7004396736750376E-3</v>
      </c>
      <c r="DN21" s="3">
        <v>-8.7153228777554159E-2</v>
      </c>
      <c r="DO21" s="3">
        <v>6.2253183863706513E-2</v>
      </c>
      <c r="DP21" s="3">
        <v>4.8822523379654197E-2</v>
      </c>
      <c r="DQ21" s="3">
        <v>-1.614541730611873E-2</v>
      </c>
      <c r="DR21" s="3">
        <v>8.6547396111076494E-2</v>
      </c>
      <c r="DS21" s="3">
        <v>-7.9630847386861575E-2</v>
      </c>
      <c r="DT21" s="3">
        <v>-1.010000178698141E-2</v>
      </c>
      <c r="DU21" s="3">
        <v>-0.15907257104603331</v>
      </c>
      <c r="DV21" s="3">
        <v>0.17750313992880129</v>
      </c>
      <c r="DW21" s="3">
        <v>-0.1049044828051796</v>
      </c>
      <c r="DX21" s="3">
        <v>-0.12217413752756839</v>
      </c>
      <c r="DY21" s="3">
        <v>0.17537921414943719</v>
      </c>
      <c r="DZ21" s="3">
        <v>7.9258460269808987E-3</v>
      </c>
      <c r="EA21" s="3">
        <v>-4.9070225050100891E-2</v>
      </c>
      <c r="EB21" s="3">
        <v>-0.13567579754465359</v>
      </c>
      <c r="EC21" s="3">
        <v>7.6964465738337429E-2</v>
      </c>
      <c r="ED21" s="3">
        <v>-0.1685101993279832</v>
      </c>
      <c r="EE21" s="3">
        <v>1.9560013878417702E-3</v>
      </c>
      <c r="EF21" s="3">
        <v>0.1050062010754487</v>
      </c>
      <c r="EG21" s="3">
        <v>-1.766940497735052E-2</v>
      </c>
      <c r="EH21" s="3">
        <v>-1.997506228753199E-2</v>
      </c>
      <c r="EI21" s="3">
        <v>-6.4537141804196063E-2</v>
      </c>
      <c r="EJ21" s="3">
        <v>-0.13184113300810479</v>
      </c>
      <c r="EK21" s="3">
        <v>-6.7805062658336579E-2</v>
      </c>
      <c r="EL21" s="3">
        <v>-7.9454087424835118E-2</v>
      </c>
      <c r="EM21">
        <f t="shared" si="11"/>
        <v>4.2091746063700345E-3</v>
      </c>
      <c r="EN21">
        <f t="shared" si="12"/>
        <v>0.11016035326877958</v>
      </c>
      <c r="EO21">
        <f t="shared" si="13"/>
        <v>3.8209523494356398E-2</v>
      </c>
    </row>
    <row r="22" spans="1:145" x14ac:dyDescent="0.3">
      <c r="A22" s="19">
        <v>400</v>
      </c>
      <c r="B22" s="19">
        <f t="shared" si="10"/>
        <v>3</v>
      </c>
      <c r="C22" s="3">
        <v>0.25852498501618731</v>
      </c>
      <c r="D22" s="3">
        <v>0.1636394656535928</v>
      </c>
      <c r="E22" s="3">
        <v>-8.7240089736219134E-2</v>
      </c>
      <c r="F22" s="3">
        <v>-0.19707797646963529</v>
      </c>
      <c r="G22" s="3">
        <v>-2.3313742288134789E-2</v>
      </c>
      <c r="H22" s="3">
        <v>7.5121701502940674E-4</v>
      </c>
      <c r="I22" s="3">
        <v>0.13075191040760101</v>
      </c>
      <c r="J22" s="3">
        <v>0.1636257573141367</v>
      </c>
      <c r="K22" s="3">
        <v>3.5712775994437639E-2</v>
      </c>
      <c r="L22" s="3">
        <v>-5.343384829941978E-2</v>
      </c>
      <c r="M22" s="3">
        <v>0.28721453688493581</v>
      </c>
      <c r="N22" s="3">
        <v>0.11096373410751011</v>
      </c>
      <c r="O22" s="3">
        <v>2.43587305572498E-2</v>
      </c>
      <c r="P22" s="3">
        <v>0.1212800489171557</v>
      </c>
      <c r="Q22" s="3">
        <v>-0.25026413551388388</v>
      </c>
      <c r="R22" s="3">
        <v>-1.582453216155633E-3</v>
      </c>
      <c r="S22" s="3">
        <v>1.204682454744384E-3</v>
      </c>
      <c r="T22" s="3">
        <v>1.8683549550693099E-2</v>
      </c>
      <c r="U22" s="3">
        <v>-0.1184321260354687</v>
      </c>
      <c r="V22" s="3">
        <v>6.2807117022825792E-2</v>
      </c>
      <c r="W22" s="3">
        <v>0.21043709482635869</v>
      </c>
      <c r="X22" s="3">
        <v>9.6160610909432301E-2</v>
      </c>
      <c r="Y22" s="3">
        <v>-7.8432028263557815E-2</v>
      </c>
      <c r="Z22" s="3">
        <v>7.9014488834976929E-2</v>
      </c>
      <c r="AA22" s="3">
        <v>-9.4107572782888116E-2</v>
      </c>
      <c r="AB22" s="3">
        <v>6.2532885931986373E-2</v>
      </c>
      <c r="AC22" s="3">
        <v>4.4379052987365518E-2</v>
      </c>
      <c r="AD22" s="3">
        <v>1.0456177499058529E-2</v>
      </c>
      <c r="AE22" s="3">
        <v>-2.948938797212472E-2</v>
      </c>
      <c r="AF22" s="3">
        <v>-1.3992830790454439E-2</v>
      </c>
      <c r="AG22" s="3">
        <v>-2.576183280377856E-3</v>
      </c>
      <c r="AH22" s="3">
        <v>-3.6547757745445761E-2</v>
      </c>
      <c r="AI22" s="3">
        <v>-4.3618156699761809E-2</v>
      </c>
      <c r="AJ22" s="3">
        <v>-2.9445320882218039E-2</v>
      </c>
      <c r="AK22" s="3">
        <v>-2.5046202144324101E-2</v>
      </c>
      <c r="AL22" s="3">
        <v>-9.3977463898398589E-2</v>
      </c>
      <c r="AM22" s="3">
        <v>0.11197162799225829</v>
      </c>
      <c r="AN22" s="3">
        <v>0.20512391991627141</v>
      </c>
      <c r="AO22" s="3">
        <v>6.0975115134337177E-2</v>
      </c>
      <c r="AP22" s="3">
        <v>0.1168902788727998</v>
      </c>
      <c r="AQ22" s="3">
        <v>-2.7113777777497409E-2</v>
      </c>
      <c r="AR22" s="3">
        <v>2.9334563724537899E-2</v>
      </c>
      <c r="AS22" s="3">
        <v>0.18158338497168711</v>
      </c>
      <c r="AT22" s="3">
        <v>-1.516105741579094E-2</v>
      </c>
      <c r="AU22" s="3">
        <v>8.9959523845192332E-2</v>
      </c>
      <c r="AV22" s="3">
        <v>2.6340509787809701E-2</v>
      </c>
      <c r="AW22" s="3">
        <v>0.1457486952097691</v>
      </c>
      <c r="AX22" s="3">
        <v>6.7102457570433621E-2</v>
      </c>
      <c r="AY22" s="3">
        <v>-1.590734683650193E-2</v>
      </c>
      <c r="AZ22" s="3">
        <v>3.3395706799920558E-2</v>
      </c>
      <c r="BA22" s="3">
        <v>-3.2803519606712482E-2</v>
      </c>
      <c r="BB22" s="3">
        <v>0.1787936953602608</v>
      </c>
      <c r="BC22" s="3">
        <v>-3.6671643616015749E-2</v>
      </c>
      <c r="BD22" s="3">
        <v>-2.02719623593468E-2</v>
      </c>
      <c r="BE22" s="3">
        <v>-0.15933421016784671</v>
      </c>
      <c r="BF22" s="3">
        <v>-3.6973566910399998E-2</v>
      </c>
      <c r="BG22" s="3">
        <v>-7.3194549412610721E-2</v>
      </c>
      <c r="BH22" s="3">
        <v>-8.8735905829214201E-2</v>
      </c>
      <c r="BI22" s="3">
        <v>-6.6533820632491456E-2</v>
      </c>
      <c r="BJ22" s="3">
        <v>1.424138858761333E-2</v>
      </c>
      <c r="BK22" s="3">
        <v>-3.4340696133224158E-2</v>
      </c>
      <c r="BL22" s="3">
        <v>-8.6211584440476413E-2</v>
      </c>
      <c r="BM22" s="3">
        <v>-0.19001955188037711</v>
      </c>
      <c r="BN22" s="3">
        <v>1.3806241853456681E-2</v>
      </c>
      <c r="BO22" s="3">
        <v>-4.0244415241286198E-2</v>
      </c>
      <c r="BP22" s="3">
        <v>6.9637447908444741E-2</v>
      </c>
      <c r="BQ22" s="3">
        <v>-1.5186754580449579E-2</v>
      </c>
      <c r="BR22" s="3">
        <v>3.74730073951767E-2</v>
      </c>
      <c r="BS22" s="3">
        <v>-0.1017966572423115</v>
      </c>
      <c r="BT22" s="3">
        <v>-6.157118811314273E-2</v>
      </c>
      <c r="BU22" s="3">
        <v>-7.6166106354212199E-2</v>
      </c>
      <c r="BV22" s="3">
        <v>3.5533199619700181E-2</v>
      </c>
      <c r="BW22" s="3">
        <v>0.21474422479626351</v>
      </c>
      <c r="BX22" s="3">
        <v>1.247378072450459E-2</v>
      </c>
      <c r="BY22" s="3">
        <v>0.25863509836184018</v>
      </c>
      <c r="BZ22" s="3">
        <v>-0.21740404234260979</v>
      </c>
      <c r="CA22" s="3">
        <v>9.6701805230153218E-2</v>
      </c>
      <c r="CB22" s="3">
        <v>-8.6425678474151557E-4</v>
      </c>
      <c r="CC22" s="3">
        <v>-0.18087007068334171</v>
      </c>
      <c r="CD22" s="3">
        <v>2.487056950957681E-2</v>
      </c>
      <c r="CE22" s="3">
        <v>3.8302579777822518E-2</v>
      </c>
      <c r="CF22" s="3">
        <v>2.580588551152755E-2</v>
      </c>
      <c r="CG22" s="3">
        <v>0.16847846387164861</v>
      </c>
      <c r="CH22" s="3">
        <v>4.4122769698854862E-2</v>
      </c>
      <c r="CI22" s="3">
        <v>-4.9661579213172082E-2</v>
      </c>
      <c r="CJ22" s="3">
        <v>3.9713240112222693E-2</v>
      </c>
      <c r="CK22" s="3">
        <v>3.643012312971821E-2</v>
      </c>
      <c r="CL22" s="3">
        <v>-0.14940935637956951</v>
      </c>
      <c r="CM22" s="3">
        <v>-1.707323567013631E-2</v>
      </c>
      <c r="CN22" s="3">
        <v>0.1379392815988465</v>
      </c>
      <c r="CO22" s="3">
        <v>7.5128858870711634E-2</v>
      </c>
      <c r="CP22" s="3">
        <v>2.493949620874571E-2</v>
      </c>
      <c r="CQ22" s="3">
        <v>0.18389194884813029</v>
      </c>
      <c r="CR22" s="3">
        <v>1.9104981476876289E-2</v>
      </c>
      <c r="CS22" s="3">
        <v>-2.2499952655465151E-2</v>
      </c>
      <c r="CT22" s="3">
        <v>-5.1155976779188338E-2</v>
      </c>
      <c r="CU22" s="3">
        <v>-2.0466284016787861E-2</v>
      </c>
      <c r="CV22" s="3">
        <v>-2.270399998257272E-2</v>
      </c>
      <c r="CW22" s="3">
        <v>0.1341901979661245</v>
      </c>
      <c r="CX22" s="3">
        <v>-5.4337292443942413E-2</v>
      </c>
      <c r="CY22" s="3">
        <v>-3.409028321605747E-2</v>
      </c>
      <c r="CZ22" s="3">
        <v>-7.4934571271434353E-2</v>
      </c>
      <c r="DA22" s="3">
        <v>-6.3586811756758455E-2</v>
      </c>
      <c r="DB22" s="3">
        <v>7.3117718085750738E-2</v>
      </c>
      <c r="DC22" s="3">
        <v>5.8559020527264E-2</v>
      </c>
      <c r="DD22" s="3">
        <v>-0.70241579957451328</v>
      </c>
      <c r="DE22" s="3">
        <v>-9.874636063874441E-2</v>
      </c>
      <c r="DF22" s="3">
        <v>-0.33446421841512919</v>
      </c>
      <c r="DG22" s="3">
        <v>-6.3716244581506154E-2</v>
      </c>
      <c r="DH22" s="3">
        <v>7.0597160880517998E-2</v>
      </c>
      <c r="DI22" s="3">
        <v>-9.9523498018640744E-2</v>
      </c>
      <c r="DJ22" s="3">
        <v>7.3640650283188738E-2</v>
      </c>
      <c r="DK22" s="3">
        <v>-2.1587647084180459E-2</v>
      </c>
      <c r="DL22" s="3">
        <v>1.4853909915962469E-2</v>
      </c>
      <c r="DM22" s="3">
        <v>-2.1652767924799761E-2</v>
      </c>
      <c r="DN22" s="3">
        <v>-5.3956935159061331E-2</v>
      </c>
      <c r="DO22" s="3">
        <v>6.819179628563013E-2</v>
      </c>
      <c r="DP22" s="3">
        <v>2.3383350163736109E-2</v>
      </c>
      <c r="DQ22" s="3">
        <v>-4.6192175201360479E-2</v>
      </c>
      <c r="DR22" s="3">
        <v>0.10305524483950081</v>
      </c>
      <c r="DS22" s="3">
        <v>-0.1328289397265458</v>
      </c>
      <c r="DT22" s="3">
        <v>-7.6809400196932581E-3</v>
      </c>
      <c r="DU22" s="3">
        <v>-9.3198271668161622E-2</v>
      </c>
      <c r="DV22" s="3">
        <v>0.20965472127390619</v>
      </c>
      <c r="DW22" s="3">
        <v>-0.13851616026442781</v>
      </c>
      <c r="DX22" s="3">
        <v>-0.12346907117844309</v>
      </c>
      <c r="DY22" s="3">
        <v>0.25663017462990362</v>
      </c>
      <c r="DZ22" s="3">
        <v>2.4738337738422191E-2</v>
      </c>
      <c r="EA22" s="3">
        <v>-6.432585157851653E-2</v>
      </c>
      <c r="EB22" s="3">
        <v>-0.13288391232302771</v>
      </c>
      <c r="EC22" s="3">
        <v>0.1067986963942722</v>
      </c>
      <c r="ED22" s="3">
        <v>-0.1240664713943877</v>
      </c>
      <c r="EE22" s="3">
        <v>2.230106685823411E-3</v>
      </c>
      <c r="EF22" s="3">
        <v>0.1096538436203555</v>
      </c>
      <c r="EG22" s="3">
        <v>-4.7021301639829947E-2</v>
      </c>
      <c r="EH22" s="3">
        <v>2.883026080612042E-2</v>
      </c>
      <c r="EI22" s="3">
        <v>-5.0429203987416217E-2</v>
      </c>
      <c r="EJ22" s="3">
        <v>-0.1050783403733458</v>
      </c>
      <c r="EK22" s="3">
        <v>7.0751359929888263E-3</v>
      </c>
      <c r="EL22" s="3">
        <v>-0.1235344272960356</v>
      </c>
      <c r="EM22">
        <f t="shared" si="11"/>
        <v>1.1837941317138258E-3</v>
      </c>
      <c r="EN22">
        <f t="shared" si="12"/>
        <v>0.12185827825034722</v>
      </c>
      <c r="EO22">
        <f t="shared" si="13"/>
        <v>9.7145154905424139E-3</v>
      </c>
    </row>
    <row r="23" spans="1:145" x14ac:dyDescent="0.3">
      <c r="A23" s="19">
        <v>512</v>
      </c>
      <c r="B23" s="19">
        <f t="shared" si="10"/>
        <v>2</v>
      </c>
      <c r="C23" s="3">
        <v>0.11485421049501771</v>
      </c>
      <c r="D23" s="3">
        <v>0.16228884503787341</v>
      </c>
      <c r="E23" s="3">
        <v>-6.4174778936572169E-2</v>
      </c>
      <c r="F23" s="3">
        <v>-0.1919167607511823</v>
      </c>
      <c r="G23" s="3">
        <v>8.0712186088018056E-2</v>
      </c>
      <c r="H23" s="3">
        <v>-1.8188470841484668E-2</v>
      </c>
      <c r="I23" s="3">
        <v>0.13599775117601809</v>
      </c>
      <c r="J23" s="3">
        <v>7.8967969339184527E-2</v>
      </c>
      <c r="K23" s="3">
        <v>5.4010298514393901E-2</v>
      </c>
      <c r="L23" s="3">
        <v>-9.0160485204921759E-2</v>
      </c>
      <c r="M23" s="3">
        <v>0.46104270913381229</v>
      </c>
      <c r="N23" s="3">
        <v>0.10633254305632581</v>
      </c>
      <c r="O23" s="3">
        <v>3.4264559244624862E-2</v>
      </c>
      <c r="P23" s="3">
        <v>0.17487795776308529</v>
      </c>
      <c r="Q23" s="3">
        <v>0.16495363091667881</v>
      </c>
      <c r="R23" s="3">
        <v>1.247071294205912E-2</v>
      </c>
      <c r="S23" s="3">
        <v>-1.115335755763042E-2</v>
      </c>
      <c r="T23" s="3">
        <v>-4.6626650492569172E-2</v>
      </c>
      <c r="U23" s="3">
        <v>-0.18030772612984089</v>
      </c>
      <c r="V23" s="3">
        <v>7.1926363310762936E-2</v>
      </c>
      <c r="W23" s="3">
        <v>0.31680639073367772</v>
      </c>
      <c r="X23" s="3">
        <v>0.108073927149319</v>
      </c>
      <c r="Y23" s="3">
        <v>-4.8018455732336887E-2</v>
      </c>
      <c r="Z23" s="3">
        <v>7.3688840438506958E-2</v>
      </c>
      <c r="AA23" s="3">
        <v>-9.6773489914809246E-2</v>
      </c>
      <c r="AB23" s="3">
        <v>1.5825636840611609E-2</v>
      </c>
      <c r="AC23" s="3">
        <v>-6.0359039648327263E-2</v>
      </c>
      <c r="AD23" s="3">
        <v>4.4281985962627002E-2</v>
      </c>
      <c r="AE23" s="3">
        <v>-0.22969647338618121</v>
      </c>
      <c r="AF23" s="3">
        <v>-6.8553792069689506E-3</v>
      </c>
      <c r="AG23" s="3">
        <v>-9.0523611454058017E-2</v>
      </c>
      <c r="AH23" s="3">
        <v>-2.836031043431942E-2</v>
      </c>
      <c r="AI23" s="3">
        <v>-0.15914993194655469</v>
      </c>
      <c r="AJ23" s="3">
        <v>-1.7719263803014879E-2</v>
      </c>
      <c r="AK23" s="3">
        <v>-5.4982380329537117E-2</v>
      </c>
      <c r="AL23" s="3">
        <v>-0.11790735480011511</v>
      </c>
      <c r="AM23" s="3">
        <v>5.7779556841464748E-2</v>
      </c>
      <c r="AN23" s="3">
        <v>0.2135050444521551</v>
      </c>
      <c r="AO23" s="3">
        <v>2.3617188216380641E-3</v>
      </c>
      <c r="AP23" s="3">
        <v>0.16526637233349209</v>
      </c>
      <c r="AQ23" s="3">
        <v>-5.7005262887718698E-2</v>
      </c>
      <c r="AR23" s="3">
        <v>1.8300256356824359E-2</v>
      </c>
      <c r="AS23" s="3">
        <v>8.486829408170668E-2</v>
      </c>
      <c r="AT23" s="3">
        <v>1.120137841674641E-3</v>
      </c>
      <c r="AU23" s="3">
        <v>9.6222120812653009E-2</v>
      </c>
      <c r="AV23" s="3">
        <v>-8.3386870187473511E-2</v>
      </c>
      <c r="AW23" s="3">
        <v>9.8580427707390339E-2</v>
      </c>
      <c r="AX23" s="3">
        <v>0.13526553608071071</v>
      </c>
      <c r="AY23" s="3">
        <v>0.25265988336690948</v>
      </c>
      <c r="AZ23" s="3">
        <v>3.2013853504059789E-2</v>
      </c>
      <c r="BA23" s="3">
        <v>-3.6916365217792561E-2</v>
      </c>
      <c r="BB23" s="3">
        <v>0.3825612064539109</v>
      </c>
      <c r="BC23" s="3">
        <v>-1.287420576393382E-2</v>
      </c>
      <c r="BD23" s="3">
        <v>8.6884181494320673E-3</v>
      </c>
      <c r="BE23" s="3">
        <v>-0.13955530525680551</v>
      </c>
      <c r="BF23" s="3">
        <v>-2.362017586986857E-2</v>
      </c>
      <c r="BG23" s="3">
        <v>-8.6088553861091099E-2</v>
      </c>
      <c r="BH23" s="3">
        <v>-0.10290354246033009</v>
      </c>
      <c r="BI23" s="3">
        <v>-9.3251019811954772E-2</v>
      </c>
      <c r="BJ23" s="3">
        <v>-9.6105561836703643E-2</v>
      </c>
      <c r="BK23" s="3">
        <v>-9.3864789977919638E-3</v>
      </c>
      <c r="BL23" s="3">
        <v>-0.1161699899807047</v>
      </c>
      <c r="BM23" s="3">
        <v>0.18625000152681701</v>
      </c>
      <c r="BN23" s="3">
        <v>1.900578361937796E-2</v>
      </c>
      <c r="BO23" s="3">
        <v>4.8291292950470771E-2</v>
      </c>
      <c r="BP23" s="3">
        <v>2.26271228486522E-2</v>
      </c>
      <c r="BQ23" s="3">
        <v>-5.2352049987948457E-4</v>
      </c>
      <c r="BR23" s="3">
        <v>2.2114599685258529E-2</v>
      </c>
      <c r="BS23" s="3">
        <v>-7.4203985633557179E-2</v>
      </c>
      <c r="BT23" s="3">
        <v>-8.6885051133889467E-3</v>
      </c>
      <c r="BU23" s="3">
        <v>-0.17683660719866959</v>
      </c>
      <c r="BV23" s="3">
        <v>2.7857921954385509E-2</v>
      </c>
      <c r="BW23" s="3">
        <v>0.18592841236423949</v>
      </c>
      <c r="BX23" s="3">
        <v>5.4598812360172333E-4</v>
      </c>
      <c r="BY23" s="3">
        <v>0.24556448462765751</v>
      </c>
      <c r="BZ23" s="3">
        <v>-0.45104890177119378</v>
      </c>
      <c r="CA23" s="3">
        <v>5.9728247173140112E-2</v>
      </c>
      <c r="CB23" s="3">
        <v>4.1721908486054983E-2</v>
      </c>
      <c r="CC23" s="3">
        <v>-0.29576745436033142</v>
      </c>
      <c r="CD23" s="3">
        <v>5.7553236725386876E-3</v>
      </c>
      <c r="CE23" s="3">
        <v>1.8223939838644138E-2</v>
      </c>
      <c r="CF23" s="3">
        <v>1.9897223306722871E-2</v>
      </c>
      <c r="CG23" s="3">
        <v>0.18252346593629751</v>
      </c>
      <c r="CH23" s="3">
        <v>-5.8791368732158483E-2</v>
      </c>
      <c r="CI23" s="3">
        <v>-0.17357942655394051</v>
      </c>
      <c r="CJ23" s="3">
        <v>3.7666763931247717E-2</v>
      </c>
      <c r="CK23" s="3">
        <v>3.0248613027257291E-2</v>
      </c>
      <c r="CL23" s="3">
        <v>-7.0678478086629318E-2</v>
      </c>
      <c r="CM23" s="3">
        <v>-2.311608274968498E-2</v>
      </c>
      <c r="CN23" s="3">
        <v>-9.0924712149570097E-2</v>
      </c>
      <c r="CO23" s="3">
        <v>6.6798268541190364E-2</v>
      </c>
      <c r="CP23" s="3">
        <v>-4.3618647531892263E-3</v>
      </c>
      <c r="CQ23" s="3">
        <v>0.329507630891965</v>
      </c>
      <c r="CR23" s="3">
        <v>2.3622062195609781E-2</v>
      </c>
      <c r="CS23" s="3">
        <v>-6.1760048122273647E-2</v>
      </c>
      <c r="CT23" s="3">
        <v>-7.3206399144063683E-2</v>
      </c>
      <c r="CU23" s="3">
        <v>-3.7067626906801307E-2</v>
      </c>
      <c r="CV23" s="3">
        <v>-4.3494312870206067E-2</v>
      </c>
      <c r="CW23" s="3">
        <v>0.1212402925016007</v>
      </c>
      <c r="CX23" s="3">
        <v>-9.4388618731015214E-2</v>
      </c>
      <c r="CY23" s="3">
        <v>-6.7477858073604929E-2</v>
      </c>
      <c r="CZ23" s="3">
        <v>-5.5104386299055501E-2</v>
      </c>
      <c r="DA23" s="3">
        <v>-4.5868800213384991E-2</v>
      </c>
      <c r="DB23" s="3">
        <v>7.1311936146932722E-2</v>
      </c>
      <c r="DC23" s="3">
        <v>1.6354005743360281E-2</v>
      </c>
      <c r="DD23" s="3">
        <v>9.7211913130411248E-2</v>
      </c>
      <c r="DE23" s="3">
        <v>-7.8507816504150868E-2</v>
      </c>
      <c r="DF23" s="3">
        <v>-0.27899090498120888</v>
      </c>
      <c r="DG23" s="3">
        <v>-9.8052298715317357E-2</v>
      </c>
      <c r="DH23" s="3">
        <v>8.7709950967749611E-2</v>
      </c>
      <c r="DI23" s="3">
        <v>-0.1183704930109913</v>
      </c>
      <c r="DJ23" s="3">
        <v>0.10704576510284471</v>
      </c>
      <c r="DK23" s="3">
        <v>6.4030548763938988E-2</v>
      </c>
      <c r="DL23" s="3">
        <v>-1.482939148558879E-2</v>
      </c>
      <c r="DM23" s="3">
        <v>-2.581033341192918E-2</v>
      </c>
      <c r="DN23" s="3">
        <v>-2.857880443117582E-2</v>
      </c>
      <c r="DO23" s="3">
        <v>8.8926075307496522E-2</v>
      </c>
      <c r="DP23" s="3">
        <v>0.1057815783688386</v>
      </c>
      <c r="DQ23" s="3">
        <v>-2.5931524301015099E-2</v>
      </c>
      <c r="DR23" s="3">
        <v>0.14808342176268119</v>
      </c>
      <c r="DS23" s="3">
        <v>-0.1087138115838342</v>
      </c>
      <c r="DT23" s="3">
        <v>-5.4250460668612679E-2</v>
      </c>
      <c r="DU23" s="3">
        <v>-8.5430807434009701E-2</v>
      </c>
      <c r="DV23" s="3">
        <v>0.118211251218504</v>
      </c>
      <c r="DW23" s="3">
        <v>0.12717091880119721</v>
      </c>
      <c r="DX23" s="3">
        <v>-0.21923817420580519</v>
      </c>
      <c r="DY23" s="3">
        <v>0.2184358342156284</v>
      </c>
      <c r="DZ23" s="3">
        <v>-3.6281716224061643E-2</v>
      </c>
      <c r="EA23" s="3">
        <v>-0.12885769501355751</v>
      </c>
      <c r="EB23" s="3">
        <v>-0.1173323878049639</v>
      </c>
      <c r="EC23" s="3">
        <v>0.20112525180591451</v>
      </c>
      <c r="ED23" s="3">
        <v>-0.14136142578350411</v>
      </c>
      <c r="EE23" s="3">
        <v>-3.4868612259910968E-2</v>
      </c>
      <c r="EF23" s="3">
        <v>0.12831859588203509</v>
      </c>
      <c r="EG23" s="3">
        <v>-0.1206197576098707</v>
      </c>
      <c r="EH23" s="3">
        <v>1.7882895968107809E-2</v>
      </c>
      <c r="EI23" s="3">
        <v>7.594415256950076E-3</v>
      </c>
      <c r="EJ23" s="3">
        <v>-8.6817324204677443E-2</v>
      </c>
      <c r="EK23" s="3">
        <v>2.950855110052801E-2</v>
      </c>
      <c r="EL23" s="3">
        <v>-2.4899656195847851E-2</v>
      </c>
      <c r="EM23">
        <f t="shared" si="11"/>
        <v>7.0401571085517353E-3</v>
      </c>
      <c r="EN23">
        <f t="shared" si="12"/>
        <v>0.12788332855930054</v>
      </c>
      <c r="EO23">
        <f t="shared" si="13"/>
        <v>5.5051406527060774E-2</v>
      </c>
    </row>
    <row r="24" spans="1:145" x14ac:dyDescent="0.3">
      <c r="A24" s="19">
        <v>1051</v>
      </c>
      <c r="B24" s="19">
        <f t="shared" si="10"/>
        <v>1</v>
      </c>
      <c r="C24" s="3">
        <v>0.1195719269206533</v>
      </c>
      <c r="D24" s="3">
        <v>0.20643218633729929</v>
      </c>
      <c r="E24" s="3">
        <v>-1.347540283574165E-2</v>
      </c>
      <c r="F24" s="3">
        <v>1.350068721890252E-2</v>
      </c>
      <c r="G24" s="3">
        <v>-2.8355225755125349E-2</v>
      </c>
      <c r="H24" s="3">
        <v>-5.0115467793482728E-2</v>
      </c>
      <c r="I24" s="3">
        <v>9.8183694651044776E-2</v>
      </c>
      <c r="J24" s="3">
        <v>0.10566249361573039</v>
      </c>
      <c r="K24" s="3">
        <v>-4.4171218313137493E-2</v>
      </c>
      <c r="L24" s="3">
        <v>-0.1194583585478096</v>
      </c>
      <c r="M24" s="3">
        <v>0.91450156211233458</v>
      </c>
      <c r="N24" s="3">
        <v>-3.2776730990330349E-2</v>
      </c>
      <c r="O24" s="3">
        <v>9.6077155901750436E-3</v>
      </c>
      <c r="P24" s="3">
        <v>1.736288864347235E-3</v>
      </c>
      <c r="Q24" s="3">
        <v>5.0935846177506947E-2</v>
      </c>
      <c r="R24" s="3">
        <v>0.14756758502637829</v>
      </c>
      <c r="S24" s="3">
        <v>-4.4329198230530033E-2</v>
      </c>
      <c r="T24" s="3">
        <v>-0.17008898835832009</v>
      </c>
      <c r="U24" s="3">
        <v>-0.27836565298424248</v>
      </c>
      <c r="V24" s="3">
        <v>0.10878892075983</v>
      </c>
      <c r="W24" s="3">
        <v>7.1742125260336478E-2</v>
      </c>
      <c r="X24" s="3">
        <v>0.13353139262452249</v>
      </c>
      <c r="Y24" s="3">
        <v>-6.9214796512244922E-2</v>
      </c>
      <c r="Z24" s="3">
        <v>1.293310901202023E-2</v>
      </c>
      <c r="AA24" s="3">
        <v>-5.5596020069340231E-2</v>
      </c>
      <c r="AB24" s="3">
        <v>0.1953396226752438</v>
      </c>
      <c r="AC24" s="3">
        <v>7.5986421782200534E-3</v>
      </c>
      <c r="AD24" s="3">
        <v>-2.3887704058035961E-2</v>
      </c>
      <c r="AE24" s="3">
        <v>-0.58824902462621476</v>
      </c>
      <c r="AF24" s="3">
        <v>5.1325494226911787E-2</v>
      </c>
      <c r="AG24" s="3">
        <v>-0.1510690132898502</v>
      </c>
      <c r="AH24" s="3">
        <v>-8.2887659805767649E-2</v>
      </c>
      <c r="AI24" s="3">
        <v>7.8142717391501901E-3</v>
      </c>
      <c r="AJ24" s="3">
        <v>-8.089124399937539E-2</v>
      </c>
      <c r="AK24" s="3">
        <v>-3.592218733242844E-2</v>
      </c>
      <c r="AL24" s="3">
        <v>-0.28445337009540839</v>
      </c>
      <c r="AM24" s="3">
        <v>-4.7533610695957608E-3</v>
      </c>
      <c r="AN24" s="3">
        <v>0.13505605133774601</v>
      </c>
      <c r="AO24" s="3">
        <v>1.533436400010652E-2</v>
      </c>
      <c r="AP24" s="3">
        <v>0.16448668915792031</v>
      </c>
      <c r="AQ24" s="3">
        <v>-2.9598394824722121E-2</v>
      </c>
      <c r="AR24" s="3">
        <v>1.6807746086219679E-2</v>
      </c>
      <c r="AS24" s="3">
        <v>3.155805026581765E-2</v>
      </c>
      <c r="AT24" s="3">
        <v>-7.0189562161465241E-2</v>
      </c>
      <c r="AU24" s="3">
        <v>-4.9448275413981141E-2</v>
      </c>
      <c r="AV24" s="3">
        <v>-8.7151952186895892E-2</v>
      </c>
      <c r="AW24" s="3">
        <v>7.7513985579301781E-2</v>
      </c>
      <c r="AX24" s="3">
        <v>-2.7883838160144579E-2</v>
      </c>
      <c r="AY24" s="3">
        <v>0.44347344173649922</v>
      </c>
      <c r="AZ24" s="3">
        <v>-2.6269843776194758E-3</v>
      </c>
      <c r="BA24" s="3">
        <v>-3.6591884557508163E-2</v>
      </c>
      <c r="BB24" s="3">
        <v>0.71041054669505987</v>
      </c>
      <c r="BC24" s="3">
        <v>9.5674963059490373E-2</v>
      </c>
      <c r="BD24" s="3">
        <v>-1.8631034086863729E-2</v>
      </c>
      <c r="BE24" s="3">
        <v>-0.22281253328525491</v>
      </c>
      <c r="BF24" s="3">
        <v>-0.1304428038994265</v>
      </c>
      <c r="BG24" s="3">
        <v>-0.17662353567931691</v>
      </c>
      <c r="BH24" s="3">
        <v>-0.2200320758520076</v>
      </c>
      <c r="BI24" s="3">
        <v>-0.29476592734018592</v>
      </c>
      <c r="BJ24" s="3">
        <v>-4.676176590803921E-2</v>
      </c>
      <c r="BK24" s="3">
        <v>-3.836572323868901E-2</v>
      </c>
      <c r="BL24" s="3">
        <v>-0.108810315262761</v>
      </c>
      <c r="BM24" s="3">
        <v>-6.2681072018042159E-3</v>
      </c>
      <c r="BN24" s="3">
        <v>5.7949541356830857E-2</v>
      </c>
      <c r="BO24" s="3">
        <v>-5.6244215584665136E-3</v>
      </c>
      <c r="BP24" s="3">
        <v>0.1100766499206258</v>
      </c>
      <c r="BQ24" s="3">
        <v>-0.1138274895192426</v>
      </c>
      <c r="BR24" s="3">
        <v>-1.577093619299515E-2</v>
      </c>
      <c r="BS24" s="3">
        <v>-0.1275664827319658</v>
      </c>
      <c r="BT24" s="3">
        <v>-7.1645097067838198E-2</v>
      </c>
      <c r="BU24" s="3">
        <v>-3.122714950921841E-2</v>
      </c>
      <c r="BV24" s="3">
        <v>-3.3797379583290661E-2</v>
      </c>
      <c r="BW24" s="3">
        <v>0.34082241487820247</v>
      </c>
      <c r="BX24" s="3">
        <v>-5.0460327704092367E-2</v>
      </c>
      <c r="BY24" s="3">
        <v>0.33244429270851772</v>
      </c>
      <c r="BZ24" s="3">
        <v>-0.23464035304240649</v>
      </c>
      <c r="CA24" s="3">
        <v>2.4899825722505091E-2</v>
      </c>
      <c r="CB24" s="3">
        <v>0.16391839681819789</v>
      </c>
      <c r="CC24" s="3">
        <v>-0.3953543646189539</v>
      </c>
      <c r="CD24" s="3">
        <v>-0.14352468895493639</v>
      </c>
      <c r="CE24" s="3">
        <v>5.9915623701668492E-3</v>
      </c>
      <c r="CF24" s="3">
        <v>-6.7739908998654596E-4</v>
      </c>
      <c r="CG24" s="3">
        <v>0.2190780701609962</v>
      </c>
      <c r="CH24" s="3">
        <v>0.10090284711822679</v>
      </c>
      <c r="CI24" s="3">
        <v>-0.19543104221337429</v>
      </c>
      <c r="CJ24" s="3">
        <v>6.1428062690227193E-2</v>
      </c>
      <c r="CK24" s="3">
        <v>8.200494992668951E-2</v>
      </c>
      <c r="CL24" s="3">
        <v>-4.1608570334276097E-2</v>
      </c>
      <c r="CM24" s="3">
        <v>-8.6846154400410408E-2</v>
      </c>
      <c r="CN24" s="3">
        <v>-7.9128266319302504E-2</v>
      </c>
      <c r="CO24" s="3">
        <v>-4.7328046259707067E-2</v>
      </c>
      <c r="CP24" s="3">
        <v>-0.1015507312147039</v>
      </c>
      <c r="CQ24" s="3">
        <v>0.1159809960437326</v>
      </c>
      <c r="CR24" s="3">
        <v>4.7358090999126863E-2</v>
      </c>
      <c r="CS24" s="3">
        <v>-2.506609160145783E-2</v>
      </c>
      <c r="CT24" s="3">
        <v>-1.9405409694452522E-2</v>
      </c>
      <c r="CU24" s="3">
        <v>-7.9246332366792627E-2</v>
      </c>
      <c r="CV24" s="3">
        <v>-0.1657376721727282</v>
      </c>
      <c r="CW24" s="3">
        <v>1.7539454445279479E-2</v>
      </c>
      <c r="CX24" s="3">
        <v>-0.30390991230956632</v>
      </c>
      <c r="CY24" s="3">
        <v>-8.7084265943341232E-2</v>
      </c>
      <c r="CZ24" s="3">
        <v>-8.5682626308895449E-2</v>
      </c>
      <c r="DA24" s="3">
        <v>-5.7311912850181383E-2</v>
      </c>
      <c r="DB24" s="3">
        <v>0.1333803842294792</v>
      </c>
      <c r="DC24" s="3">
        <v>0.17759040607149931</v>
      </c>
      <c r="DD24" s="3">
        <v>6.852685658545854E-2</v>
      </c>
      <c r="DE24" s="3">
        <v>-4.7996828150036107E-2</v>
      </c>
      <c r="DF24" s="3">
        <v>-0.11490547157911871</v>
      </c>
      <c r="DG24" s="3">
        <v>-0.21460681004345139</v>
      </c>
      <c r="DH24" s="3">
        <v>0.1166081774832592</v>
      </c>
      <c r="DI24" s="3">
        <v>-0.1347629567973001</v>
      </c>
      <c r="DJ24" s="3">
        <v>3.2597200199561069E-2</v>
      </c>
      <c r="DK24" s="3">
        <v>0.16445858746947031</v>
      </c>
      <c r="DL24" s="3">
        <v>5.1807187376393303E-2</v>
      </c>
      <c r="DM24" s="3">
        <v>1.6237787168222041E-2</v>
      </c>
      <c r="DN24" s="3">
        <v>4.7084942770802468E-2</v>
      </c>
      <c r="DO24" s="3">
        <v>0.11893944174115351</v>
      </c>
      <c r="DP24" s="3">
        <v>-2.766748866515667E-2</v>
      </c>
      <c r="DQ24" s="3">
        <v>-4.4568594099902027E-2</v>
      </c>
      <c r="DR24" s="3">
        <v>5.2291080836877953E-2</v>
      </c>
      <c r="DS24" s="3">
        <v>-2.1860839623692979E-2</v>
      </c>
      <c r="DT24" s="3">
        <v>3.7700699981696062E-2</v>
      </c>
      <c r="DU24" s="3">
        <v>-0.1237436918909495</v>
      </c>
      <c r="DV24" s="3">
        <v>3.3380339304264907E-2</v>
      </c>
      <c r="DW24" s="3">
        <v>-0.41801103672236378</v>
      </c>
      <c r="DX24" s="3">
        <v>-8.5507641037583237E-2</v>
      </c>
      <c r="DY24" s="3">
        <v>-2.8374979426839621E-2</v>
      </c>
      <c r="DZ24" s="3">
        <v>-3.4235726922537367E-2</v>
      </c>
      <c r="EA24" s="3">
        <v>5.0149077046989527E-3</v>
      </c>
      <c r="EB24" s="3">
        <v>-0.1092287723728063</v>
      </c>
      <c r="EC24" s="3">
        <v>0.32788139905230679</v>
      </c>
      <c r="ED24" s="3">
        <v>-0.1677164345665936</v>
      </c>
      <c r="EE24" s="3">
        <v>2.3888757953735028E-2</v>
      </c>
      <c r="EF24" s="3">
        <v>0.13839137538836799</v>
      </c>
      <c r="EG24" s="3">
        <v>-4.0440969558510537E-2</v>
      </c>
      <c r="EH24" s="3">
        <v>-1.195368091535848E-3</v>
      </c>
      <c r="EI24" s="3">
        <v>-7.8943396689735434E-3</v>
      </c>
      <c r="EJ24" s="3">
        <v>-0.14830429581328919</v>
      </c>
      <c r="EK24" s="3">
        <v>1.9492080455529599E-2</v>
      </c>
      <c r="EL24" s="3">
        <v>-5.7384683780952482E-2</v>
      </c>
      <c r="EM24">
        <f t="shared" si="11"/>
        <v>-6.8583515759783756E-3</v>
      </c>
      <c r="EN24">
        <f t="shared" si="12"/>
        <v>0.17121977112728892</v>
      </c>
      <c r="EO24">
        <f t="shared" si="13"/>
        <v>-4.0055838942102726E-2</v>
      </c>
    </row>
    <row r="25" spans="1:145" x14ac:dyDescent="0.3">
      <c r="A25" s="19" t="s">
        <v>154</v>
      </c>
      <c r="B25" s="19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8" t="s">
        <v>157</v>
      </c>
      <c r="C27" s="4" t="s">
        <v>158</v>
      </c>
      <c r="D27" s="4" t="s">
        <v>158</v>
      </c>
      <c r="E27" s="4" t="s">
        <v>159</v>
      </c>
      <c r="F27" s="4" t="s">
        <v>158</v>
      </c>
      <c r="G27" s="4" t="s">
        <v>158</v>
      </c>
      <c r="H27" s="4" t="s">
        <v>159</v>
      </c>
      <c r="I27" s="4" t="s">
        <v>160</v>
      </c>
      <c r="J27" s="4" t="s">
        <v>160</v>
      </c>
      <c r="K27" s="4" t="s">
        <v>161</v>
      </c>
      <c r="L27" s="4" t="s">
        <v>160</v>
      </c>
      <c r="M27" s="4" t="s">
        <v>162</v>
      </c>
      <c r="N27" s="4" t="s">
        <v>162</v>
      </c>
      <c r="O27" s="4" t="s">
        <v>159</v>
      </c>
      <c r="P27" s="4" t="s">
        <v>161</v>
      </c>
      <c r="Q27" s="4" t="s">
        <v>159</v>
      </c>
      <c r="R27" s="4" t="s">
        <v>159</v>
      </c>
      <c r="S27" s="4" t="s">
        <v>159</v>
      </c>
      <c r="T27" s="4" t="s">
        <v>163</v>
      </c>
      <c r="U27" s="4" t="s">
        <v>164</v>
      </c>
      <c r="V27" s="4" t="s">
        <v>165</v>
      </c>
      <c r="W27" s="4" t="s">
        <v>165</v>
      </c>
      <c r="X27" s="4" t="s">
        <v>165</v>
      </c>
      <c r="Y27" s="4" t="s">
        <v>164</v>
      </c>
      <c r="Z27" s="4" t="s">
        <v>166</v>
      </c>
      <c r="AA27" s="4" t="s">
        <v>165</v>
      </c>
      <c r="AB27" s="4" t="s">
        <v>165</v>
      </c>
      <c r="AC27" s="4" t="s">
        <v>166</v>
      </c>
      <c r="AD27" s="4" t="s">
        <v>166</v>
      </c>
      <c r="AE27" s="4" t="s">
        <v>167</v>
      </c>
      <c r="AF27" s="4" t="s">
        <v>168</v>
      </c>
      <c r="AG27" s="4" t="s">
        <v>165</v>
      </c>
      <c r="AH27" s="4" t="s">
        <v>161</v>
      </c>
      <c r="AI27" s="4" t="s">
        <v>165</v>
      </c>
      <c r="AJ27" s="4" t="s">
        <v>165</v>
      </c>
      <c r="AK27" s="4" t="s">
        <v>165</v>
      </c>
      <c r="AL27" s="4" t="s">
        <v>165</v>
      </c>
      <c r="AM27" s="4" t="s">
        <v>165</v>
      </c>
      <c r="AN27" s="4" t="s">
        <v>165</v>
      </c>
      <c r="AO27" s="4" t="s">
        <v>161</v>
      </c>
      <c r="AP27" s="4" t="s">
        <v>161</v>
      </c>
      <c r="AQ27" s="4" t="s">
        <v>165</v>
      </c>
      <c r="AR27" s="4" t="s">
        <v>165</v>
      </c>
      <c r="AS27" s="4" t="s">
        <v>165</v>
      </c>
      <c r="AT27" s="4" t="s">
        <v>165</v>
      </c>
      <c r="AU27" s="4" t="s">
        <v>161</v>
      </c>
      <c r="AV27" s="4" t="s">
        <v>165</v>
      </c>
      <c r="AW27" s="4" t="s">
        <v>169</v>
      </c>
      <c r="AX27" s="4" t="s">
        <v>169</v>
      </c>
      <c r="AY27" s="4" t="s">
        <v>161</v>
      </c>
      <c r="AZ27" s="4" t="s">
        <v>161</v>
      </c>
      <c r="BA27" s="4" t="s">
        <v>165</v>
      </c>
      <c r="BB27" s="4" t="s">
        <v>165</v>
      </c>
      <c r="BC27" s="4" t="s">
        <v>165</v>
      </c>
      <c r="BD27" s="4" t="s">
        <v>161</v>
      </c>
      <c r="BE27" s="4" t="s">
        <v>170</v>
      </c>
      <c r="BF27" s="4" t="s">
        <v>165</v>
      </c>
      <c r="BG27" s="4" t="s">
        <v>171</v>
      </c>
      <c r="BH27" s="4" t="s">
        <v>165</v>
      </c>
      <c r="BI27" s="4" t="s">
        <v>165</v>
      </c>
      <c r="BJ27" s="4" t="s">
        <v>171</v>
      </c>
      <c r="BK27" s="4" t="s">
        <v>165</v>
      </c>
      <c r="BL27" s="4" t="s">
        <v>165</v>
      </c>
      <c r="BM27" s="4" t="s">
        <v>165</v>
      </c>
      <c r="BN27" s="4" t="s">
        <v>165</v>
      </c>
      <c r="BO27" s="4" t="s">
        <v>171</v>
      </c>
      <c r="BP27" s="4" t="s">
        <v>165</v>
      </c>
      <c r="BQ27" s="4" t="s">
        <v>165</v>
      </c>
      <c r="BR27" s="4" t="s">
        <v>171</v>
      </c>
      <c r="BS27" s="4" t="s">
        <v>165</v>
      </c>
      <c r="BT27" s="4" t="s">
        <v>165</v>
      </c>
      <c r="BU27" s="4" t="s">
        <v>165</v>
      </c>
      <c r="BV27" s="4" t="s">
        <v>165</v>
      </c>
      <c r="BW27" s="4" t="s">
        <v>172</v>
      </c>
      <c r="BX27" s="4" t="s">
        <v>165</v>
      </c>
      <c r="BY27" s="4" t="s">
        <v>171</v>
      </c>
      <c r="BZ27" s="4" t="s">
        <v>165</v>
      </c>
      <c r="CA27" s="4" t="s">
        <v>165</v>
      </c>
      <c r="CB27" s="4" t="s">
        <v>173</v>
      </c>
      <c r="CC27" s="4" t="s">
        <v>174</v>
      </c>
      <c r="CD27" s="4" t="s">
        <v>165</v>
      </c>
      <c r="CE27" s="4" t="s">
        <v>165</v>
      </c>
      <c r="CF27" s="4" t="s">
        <v>165</v>
      </c>
      <c r="CG27" s="4" t="s">
        <v>175</v>
      </c>
      <c r="CH27" s="4" t="s">
        <v>176</v>
      </c>
      <c r="CI27" s="4" t="s">
        <v>177</v>
      </c>
      <c r="CJ27" s="4" t="s">
        <v>176</v>
      </c>
      <c r="CK27" s="4" t="s">
        <v>176</v>
      </c>
      <c r="CL27" s="4" t="s">
        <v>177</v>
      </c>
      <c r="CM27" s="4" t="s">
        <v>176</v>
      </c>
      <c r="CN27" s="4" t="s">
        <v>176</v>
      </c>
      <c r="CO27" s="4" t="s">
        <v>173</v>
      </c>
      <c r="CP27" s="4" t="s">
        <v>176</v>
      </c>
      <c r="CQ27" s="4" t="s">
        <v>173</v>
      </c>
      <c r="CR27" s="4" t="s">
        <v>177</v>
      </c>
      <c r="CS27" s="4" t="s">
        <v>176</v>
      </c>
      <c r="CT27" s="4" t="s">
        <v>176</v>
      </c>
      <c r="CU27" s="4" t="s">
        <v>176</v>
      </c>
      <c r="CV27" s="4" t="s">
        <v>176</v>
      </c>
      <c r="CW27" s="4" t="s">
        <v>173</v>
      </c>
      <c r="CX27" s="4" t="s">
        <v>176</v>
      </c>
      <c r="CY27" s="4" t="s">
        <v>165</v>
      </c>
      <c r="CZ27" s="4" t="s">
        <v>165</v>
      </c>
      <c r="DA27" s="4" t="s">
        <v>165</v>
      </c>
      <c r="DB27" s="4" t="s">
        <v>176</v>
      </c>
      <c r="DC27" s="4" t="s">
        <v>165</v>
      </c>
      <c r="DD27" s="4" t="s">
        <v>165</v>
      </c>
      <c r="DE27" s="4" t="s">
        <v>165</v>
      </c>
      <c r="DF27" s="4" t="s">
        <v>165</v>
      </c>
      <c r="DG27" s="4" t="s">
        <v>165</v>
      </c>
      <c r="DH27" s="4" t="s">
        <v>165</v>
      </c>
      <c r="DI27" s="4" t="s">
        <v>165</v>
      </c>
      <c r="DJ27" s="4" t="s">
        <v>165</v>
      </c>
      <c r="DK27" s="4" t="s">
        <v>165</v>
      </c>
      <c r="DL27" s="4" t="s">
        <v>168</v>
      </c>
      <c r="DM27" s="4" t="s">
        <v>178</v>
      </c>
      <c r="DN27" s="4" t="s">
        <v>178</v>
      </c>
      <c r="DO27" s="4" t="s">
        <v>179</v>
      </c>
      <c r="DP27" s="4" t="s">
        <v>178</v>
      </c>
      <c r="DQ27" s="4" t="s">
        <v>178</v>
      </c>
      <c r="DR27" s="4" t="s">
        <v>178</v>
      </c>
      <c r="DS27" s="4" t="s">
        <v>176</v>
      </c>
      <c r="DT27" s="4" t="s">
        <v>180</v>
      </c>
      <c r="DU27" s="4" t="s">
        <v>176</v>
      </c>
      <c r="DV27" s="4" t="s">
        <v>176</v>
      </c>
      <c r="DW27" s="4" t="s">
        <v>181</v>
      </c>
      <c r="DX27" s="4" t="s">
        <v>177</v>
      </c>
      <c r="DY27" s="4" t="s">
        <v>181</v>
      </c>
      <c r="DZ27" s="4" t="s">
        <v>181</v>
      </c>
      <c r="EA27" s="4" t="s">
        <v>181</v>
      </c>
      <c r="EB27" s="4" t="s">
        <v>179</v>
      </c>
      <c r="EC27" s="4" t="s">
        <v>179</v>
      </c>
      <c r="ED27" s="4" t="s">
        <v>181</v>
      </c>
      <c r="EE27" s="4" t="s">
        <v>182</v>
      </c>
      <c r="EF27" s="4" t="s">
        <v>182</v>
      </c>
      <c r="EG27" s="4" t="s">
        <v>182</v>
      </c>
      <c r="EH27" s="4" t="s">
        <v>179</v>
      </c>
      <c r="EI27" s="4" t="s">
        <v>182</v>
      </c>
      <c r="EJ27" s="4" t="s">
        <v>182</v>
      </c>
      <c r="EK27" s="4" t="s">
        <v>179</v>
      </c>
      <c r="EL27" s="4" t="s">
        <v>182</v>
      </c>
      <c r="EM27" t="s">
        <v>183</v>
      </c>
    </row>
    <row r="28" spans="1:145" x14ac:dyDescent="0.3">
      <c r="B28" s="18" t="s">
        <v>184</v>
      </c>
      <c r="C28" s="4" t="s">
        <v>185</v>
      </c>
      <c r="D28" s="4" t="s">
        <v>185</v>
      </c>
      <c r="E28" s="4" t="s">
        <v>186</v>
      </c>
      <c r="F28" s="4" t="s">
        <v>185</v>
      </c>
      <c r="G28" s="4" t="s">
        <v>185</v>
      </c>
      <c r="H28" s="4" t="s">
        <v>186</v>
      </c>
      <c r="I28" s="4" t="s">
        <v>187</v>
      </c>
      <c r="J28" s="4" t="s">
        <v>187</v>
      </c>
      <c r="K28" s="4" t="s">
        <v>188</v>
      </c>
      <c r="L28" s="4" t="s">
        <v>187</v>
      </c>
      <c r="M28" s="4" t="s">
        <v>189</v>
      </c>
      <c r="N28" s="4" t="s">
        <v>189</v>
      </c>
      <c r="O28" s="4" t="s">
        <v>186</v>
      </c>
      <c r="P28" s="4" t="s">
        <v>188</v>
      </c>
      <c r="Q28" s="4" t="s">
        <v>186</v>
      </c>
      <c r="R28" s="4" t="s">
        <v>186</v>
      </c>
      <c r="S28" s="4" t="s">
        <v>186</v>
      </c>
      <c r="T28" s="4" t="s">
        <v>190</v>
      </c>
      <c r="U28" s="4" t="s">
        <v>191</v>
      </c>
      <c r="V28" s="4" t="s">
        <v>192</v>
      </c>
      <c r="W28" s="4" t="s">
        <v>192</v>
      </c>
      <c r="X28" s="4" t="s">
        <v>192</v>
      </c>
      <c r="Y28" s="4" t="s">
        <v>191</v>
      </c>
      <c r="Z28" s="4" t="s">
        <v>193</v>
      </c>
      <c r="AA28" s="4" t="s">
        <v>192</v>
      </c>
      <c r="AB28" s="4" t="s">
        <v>192</v>
      </c>
      <c r="AC28" s="4" t="s">
        <v>193</v>
      </c>
      <c r="AD28" s="4" t="s">
        <v>193</v>
      </c>
      <c r="AE28" s="4" t="s">
        <v>194</v>
      </c>
      <c r="AF28" s="4" t="s">
        <v>195</v>
      </c>
      <c r="AG28" s="4" t="s">
        <v>192</v>
      </c>
      <c r="AH28" s="4" t="s">
        <v>188</v>
      </c>
      <c r="AI28" s="4" t="s">
        <v>192</v>
      </c>
      <c r="AJ28" s="4" t="s">
        <v>192</v>
      </c>
      <c r="AK28" s="4" t="s">
        <v>192</v>
      </c>
      <c r="AL28" s="4" t="s">
        <v>192</v>
      </c>
      <c r="AM28" s="4" t="s">
        <v>192</v>
      </c>
      <c r="AN28" s="4" t="s">
        <v>192</v>
      </c>
      <c r="AO28" s="4" t="s">
        <v>188</v>
      </c>
      <c r="AP28" s="4" t="s">
        <v>188</v>
      </c>
      <c r="AQ28" s="4" t="s">
        <v>192</v>
      </c>
      <c r="AR28" s="4" t="s">
        <v>192</v>
      </c>
      <c r="AS28" s="4" t="s">
        <v>192</v>
      </c>
      <c r="AT28" s="4" t="s">
        <v>192</v>
      </c>
      <c r="AU28" s="4" t="s">
        <v>188</v>
      </c>
      <c r="AV28" s="4" t="s">
        <v>192</v>
      </c>
      <c r="AW28" s="4" t="s">
        <v>196</v>
      </c>
      <c r="AX28" s="4" t="s">
        <v>196</v>
      </c>
      <c r="AY28" s="4" t="s">
        <v>188</v>
      </c>
      <c r="AZ28" s="4" t="s">
        <v>188</v>
      </c>
      <c r="BA28" s="4" t="s">
        <v>192</v>
      </c>
      <c r="BB28" s="4" t="s">
        <v>192</v>
      </c>
      <c r="BC28" s="4" t="s">
        <v>192</v>
      </c>
      <c r="BD28" s="4" t="s">
        <v>188</v>
      </c>
      <c r="BE28" s="4" t="s">
        <v>197</v>
      </c>
      <c r="BF28" s="4" t="s">
        <v>192</v>
      </c>
      <c r="BG28" s="4" t="s">
        <v>198</v>
      </c>
      <c r="BH28" s="4" t="s">
        <v>192</v>
      </c>
      <c r="BI28" s="4" t="s">
        <v>192</v>
      </c>
      <c r="BJ28" s="4" t="s">
        <v>198</v>
      </c>
      <c r="BK28" s="4" t="s">
        <v>192</v>
      </c>
      <c r="BL28" s="4" t="s">
        <v>192</v>
      </c>
      <c r="BM28" s="4" t="s">
        <v>192</v>
      </c>
      <c r="BN28" s="4" t="s">
        <v>192</v>
      </c>
      <c r="BO28" s="4" t="s">
        <v>198</v>
      </c>
      <c r="BP28" s="4" t="s">
        <v>192</v>
      </c>
      <c r="BQ28" s="4" t="s">
        <v>192</v>
      </c>
      <c r="BR28" s="4" t="s">
        <v>198</v>
      </c>
      <c r="BS28" s="4" t="s">
        <v>192</v>
      </c>
      <c r="BT28" s="4" t="s">
        <v>192</v>
      </c>
      <c r="BU28" s="4" t="s">
        <v>192</v>
      </c>
      <c r="BV28" s="4" t="s">
        <v>192</v>
      </c>
      <c r="BW28" s="4" t="s">
        <v>199</v>
      </c>
      <c r="BX28" s="4" t="s">
        <v>192</v>
      </c>
      <c r="BY28" s="4" t="s">
        <v>198</v>
      </c>
      <c r="BZ28" s="4" t="s">
        <v>192</v>
      </c>
      <c r="CA28" s="4" t="s">
        <v>192</v>
      </c>
      <c r="CB28" s="4" t="s">
        <v>200</v>
      </c>
      <c r="CC28" s="4" t="s">
        <v>201</v>
      </c>
      <c r="CD28" s="4" t="s">
        <v>192</v>
      </c>
      <c r="CE28" s="4" t="s">
        <v>192</v>
      </c>
      <c r="CF28" s="4" t="s">
        <v>192</v>
      </c>
      <c r="CG28" s="4" t="s">
        <v>202</v>
      </c>
      <c r="CH28" s="4" t="s">
        <v>203</v>
      </c>
      <c r="CI28" s="4" t="s">
        <v>204</v>
      </c>
      <c r="CJ28" s="4" t="s">
        <v>203</v>
      </c>
      <c r="CK28" s="4" t="s">
        <v>203</v>
      </c>
      <c r="CL28" s="4" t="s">
        <v>204</v>
      </c>
      <c r="CM28" s="4" t="s">
        <v>203</v>
      </c>
      <c r="CN28" s="4" t="s">
        <v>203</v>
      </c>
      <c r="CO28" s="4" t="s">
        <v>200</v>
      </c>
      <c r="CP28" s="4" t="s">
        <v>203</v>
      </c>
      <c r="CQ28" s="4" t="s">
        <v>200</v>
      </c>
      <c r="CR28" s="4" t="s">
        <v>204</v>
      </c>
      <c r="CS28" s="4" t="s">
        <v>203</v>
      </c>
      <c r="CT28" s="4" t="s">
        <v>203</v>
      </c>
      <c r="CU28" s="4" t="s">
        <v>203</v>
      </c>
      <c r="CV28" s="4" t="s">
        <v>203</v>
      </c>
      <c r="CW28" s="4" t="s">
        <v>200</v>
      </c>
      <c r="CX28" s="4" t="s">
        <v>203</v>
      </c>
      <c r="CY28" s="4" t="s">
        <v>192</v>
      </c>
      <c r="CZ28" s="4" t="s">
        <v>192</v>
      </c>
      <c r="DA28" s="4" t="s">
        <v>192</v>
      </c>
      <c r="DB28" s="4" t="s">
        <v>203</v>
      </c>
      <c r="DC28" s="4" t="s">
        <v>192</v>
      </c>
      <c r="DD28" s="4" t="s">
        <v>192</v>
      </c>
      <c r="DE28" s="4" t="s">
        <v>192</v>
      </c>
      <c r="DF28" s="4" t="s">
        <v>192</v>
      </c>
      <c r="DG28" s="4" t="s">
        <v>192</v>
      </c>
      <c r="DH28" s="4" t="s">
        <v>192</v>
      </c>
      <c r="DI28" s="4" t="s">
        <v>192</v>
      </c>
      <c r="DJ28" s="4" t="s">
        <v>192</v>
      </c>
      <c r="DK28" s="4" t="s">
        <v>192</v>
      </c>
      <c r="DL28" s="4" t="s">
        <v>195</v>
      </c>
      <c r="DM28" s="4" t="s">
        <v>205</v>
      </c>
      <c r="DN28" s="4" t="s">
        <v>205</v>
      </c>
      <c r="DO28" s="4" t="s">
        <v>206</v>
      </c>
      <c r="DP28" s="4" t="s">
        <v>205</v>
      </c>
      <c r="DQ28" s="4" t="s">
        <v>205</v>
      </c>
      <c r="DR28" s="4" t="s">
        <v>205</v>
      </c>
      <c r="DS28" s="4" t="s">
        <v>203</v>
      </c>
      <c r="DT28" s="4" t="s">
        <v>207</v>
      </c>
      <c r="DU28" s="4" t="s">
        <v>203</v>
      </c>
      <c r="DV28" s="4" t="s">
        <v>203</v>
      </c>
      <c r="DW28" s="4" t="s">
        <v>208</v>
      </c>
      <c r="DX28" s="4" t="s">
        <v>204</v>
      </c>
      <c r="DY28" s="4" t="s">
        <v>208</v>
      </c>
      <c r="DZ28" s="4" t="s">
        <v>208</v>
      </c>
      <c r="EA28" s="4" t="s">
        <v>208</v>
      </c>
      <c r="EB28" s="4" t="s">
        <v>206</v>
      </c>
      <c r="EC28" s="4" t="s">
        <v>206</v>
      </c>
      <c r="ED28" s="4" t="s">
        <v>208</v>
      </c>
      <c r="EE28" s="4" t="s">
        <v>209</v>
      </c>
      <c r="EF28" s="4" t="s">
        <v>209</v>
      </c>
      <c r="EG28" s="4" t="s">
        <v>209</v>
      </c>
      <c r="EH28" s="4" t="s">
        <v>206</v>
      </c>
      <c r="EI28" s="4" t="s">
        <v>209</v>
      </c>
      <c r="EJ28" s="4" t="s">
        <v>209</v>
      </c>
      <c r="EK28" s="4" t="s">
        <v>206</v>
      </c>
      <c r="EL28" s="4" t="s">
        <v>209</v>
      </c>
      <c r="EM28" t="s">
        <v>210</v>
      </c>
    </row>
    <row r="29" spans="1:145" x14ac:dyDescent="0.3">
      <c r="B29" s="18" t="s">
        <v>211</v>
      </c>
      <c r="C29" s="4" t="s">
        <v>212</v>
      </c>
      <c r="D29" s="4" t="s">
        <v>212</v>
      </c>
      <c r="E29" s="4" t="s">
        <v>213</v>
      </c>
      <c r="F29" s="4" t="s">
        <v>214</v>
      </c>
      <c r="G29" s="4" t="s">
        <v>212</v>
      </c>
      <c r="H29" s="4" t="s">
        <v>213</v>
      </c>
      <c r="I29" s="4" t="s">
        <v>214</v>
      </c>
      <c r="J29" s="4" t="s">
        <v>214</v>
      </c>
      <c r="K29" s="4" t="s">
        <v>213</v>
      </c>
      <c r="L29" s="4" t="s">
        <v>214</v>
      </c>
      <c r="M29" s="4" t="s">
        <v>214</v>
      </c>
      <c r="N29" s="4" t="s">
        <v>214</v>
      </c>
      <c r="O29" s="4" t="s">
        <v>214</v>
      </c>
      <c r="P29" s="4" t="s">
        <v>213</v>
      </c>
      <c r="Q29" s="4" t="s">
        <v>214</v>
      </c>
      <c r="R29" s="4" t="s">
        <v>214</v>
      </c>
      <c r="S29" s="4" t="s">
        <v>214</v>
      </c>
      <c r="T29" s="4" t="s">
        <v>215</v>
      </c>
      <c r="U29" s="4" t="s">
        <v>214</v>
      </c>
      <c r="V29" s="4" t="s">
        <v>214</v>
      </c>
      <c r="W29" s="4" t="s">
        <v>214</v>
      </c>
      <c r="X29" s="4" t="s">
        <v>214</v>
      </c>
      <c r="Y29" s="4" t="s">
        <v>214</v>
      </c>
      <c r="Z29" s="4" t="s">
        <v>214</v>
      </c>
      <c r="AA29" s="4" t="s">
        <v>214</v>
      </c>
      <c r="AB29" s="4" t="s">
        <v>214</v>
      </c>
      <c r="AC29" s="4" t="s">
        <v>214</v>
      </c>
      <c r="AD29" s="4" t="s">
        <v>214</v>
      </c>
      <c r="AE29" s="4" t="s">
        <v>166</v>
      </c>
      <c r="AF29" s="4" t="s">
        <v>216</v>
      </c>
      <c r="AG29" s="4" t="s">
        <v>214</v>
      </c>
      <c r="AH29" s="4" t="s">
        <v>213</v>
      </c>
      <c r="AI29" s="4" t="s">
        <v>214</v>
      </c>
      <c r="AJ29" s="4" t="s">
        <v>214</v>
      </c>
      <c r="AK29" s="4" t="s">
        <v>214</v>
      </c>
      <c r="AL29" s="4" t="s">
        <v>214</v>
      </c>
      <c r="AM29" s="4" t="s">
        <v>214</v>
      </c>
      <c r="AN29" s="4" t="s">
        <v>214</v>
      </c>
      <c r="AO29" s="4" t="s">
        <v>213</v>
      </c>
      <c r="AP29" s="4" t="s">
        <v>213</v>
      </c>
      <c r="AQ29" s="4" t="s">
        <v>214</v>
      </c>
      <c r="AR29" s="4" t="s">
        <v>214</v>
      </c>
      <c r="AS29" s="4" t="s">
        <v>214</v>
      </c>
      <c r="AT29" s="4" t="s">
        <v>214</v>
      </c>
      <c r="AU29" s="4" t="s">
        <v>213</v>
      </c>
      <c r="AV29" s="4" t="s">
        <v>214</v>
      </c>
      <c r="AW29" s="4" t="s">
        <v>217</v>
      </c>
      <c r="AX29" s="4" t="s">
        <v>217</v>
      </c>
      <c r="AY29" s="4" t="s">
        <v>213</v>
      </c>
      <c r="AZ29" s="4" t="s">
        <v>213</v>
      </c>
      <c r="BA29" s="4" t="s">
        <v>217</v>
      </c>
      <c r="BB29" s="4" t="s">
        <v>217</v>
      </c>
      <c r="BC29" s="4" t="s">
        <v>218</v>
      </c>
      <c r="BD29" s="4" t="s">
        <v>213</v>
      </c>
      <c r="BE29" s="4" t="s">
        <v>213</v>
      </c>
      <c r="BF29" s="4" t="s">
        <v>217</v>
      </c>
      <c r="BG29" s="4" t="s">
        <v>213</v>
      </c>
      <c r="BH29" s="4" t="s">
        <v>218</v>
      </c>
      <c r="BI29" s="4" t="s">
        <v>218</v>
      </c>
      <c r="BJ29" s="4" t="s">
        <v>219</v>
      </c>
      <c r="BK29" s="4" t="s">
        <v>220</v>
      </c>
      <c r="BL29" s="4" t="s">
        <v>220</v>
      </c>
      <c r="BM29" s="4" t="s">
        <v>221</v>
      </c>
      <c r="BN29" s="4" t="s">
        <v>220</v>
      </c>
      <c r="BO29" s="4" t="s">
        <v>213</v>
      </c>
      <c r="BP29" s="4" t="s">
        <v>220</v>
      </c>
      <c r="BQ29" s="4" t="s">
        <v>217</v>
      </c>
      <c r="BR29" s="4" t="s">
        <v>213</v>
      </c>
      <c r="BS29" s="4" t="s">
        <v>217</v>
      </c>
      <c r="BT29" s="4" t="s">
        <v>222</v>
      </c>
      <c r="BU29" s="4" t="s">
        <v>222</v>
      </c>
      <c r="BV29" s="4" t="s">
        <v>179</v>
      </c>
      <c r="BW29" s="4" t="s">
        <v>223</v>
      </c>
      <c r="BX29" s="4" t="s">
        <v>217</v>
      </c>
      <c r="BY29" s="4" t="s">
        <v>213</v>
      </c>
      <c r="BZ29" s="4" t="s">
        <v>224</v>
      </c>
      <c r="CA29" s="4" t="s">
        <v>224</v>
      </c>
      <c r="CB29" s="4" t="s">
        <v>213</v>
      </c>
      <c r="CC29" s="4" t="s">
        <v>225</v>
      </c>
      <c r="CD29" s="4" t="s">
        <v>225</v>
      </c>
      <c r="CE29" s="4" t="s">
        <v>225</v>
      </c>
      <c r="CF29" s="4" t="s">
        <v>225</v>
      </c>
      <c r="CG29" s="4" t="s">
        <v>226</v>
      </c>
      <c r="CH29" s="4" t="s">
        <v>225</v>
      </c>
      <c r="CI29" s="4" t="s">
        <v>213</v>
      </c>
      <c r="CJ29" s="4" t="s">
        <v>217</v>
      </c>
      <c r="CK29" s="4" t="s">
        <v>217</v>
      </c>
      <c r="CL29" s="4" t="s">
        <v>213</v>
      </c>
      <c r="CM29" s="4" t="s">
        <v>217</v>
      </c>
      <c r="CN29" s="4" t="s">
        <v>217</v>
      </c>
      <c r="CO29" s="4" t="s">
        <v>213</v>
      </c>
      <c r="CP29" s="4" t="s">
        <v>218</v>
      </c>
      <c r="CQ29" s="4" t="s">
        <v>213</v>
      </c>
      <c r="CR29" s="4" t="s">
        <v>213</v>
      </c>
      <c r="CS29" s="4" t="s">
        <v>218</v>
      </c>
      <c r="CT29" s="4" t="s">
        <v>218</v>
      </c>
      <c r="CU29" s="4" t="s">
        <v>218</v>
      </c>
      <c r="CV29" s="4" t="s">
        <v>218</v>
      </c>
      <c r="CW29" s="4" t="s">
        <v>213</v>
      </c>
      <c r="CX29" s="4" t="s">
        <v>218</v>
      </c>
      <c r="CY29" s="4" t="s">
        <v>218</v>
      </c>
      <c r="CZ29" s="4" t="s">
        <v>218</v>
      </c>
      <c r="DA29" s="4" t="s">
        <v>225</v>
      </c>
      <c r="DB29" s="4" t="s">
        <v>218</v>
      </c>
      <c r="DC29" s="4" t="s">
        <v>227</v>
      </c>
      <c r="DD29" s="4" t="s">
        <v>218</v>
      </c>
      <c r="DE29" s="4" t="s">
        <v>214</v>
      </c>
      <c r="DF29" s="4" t="s">
        <v>213</v>
      </c>
      <c r="DG29" s="4" t="s">
        <v>228</v>
      </c>
      <c r="DH29" s="4" t="s">
        <v>217</v>
      </c>
      <c r="DI29" s="4" t="s">
        <v>228</v>
      </c>
      <c r="DJ29" s="4" t="s">
        <v>228</v>
      </c>
      <c r="DK29" s="4" t="s">
        <v>217</v>
      </c>
      <c r="DL29" s="4" t="s">
        <v>213</v>
      </c>
      <c r="DM29" s="4" t="s">
        <v>229</v>
      </c>
      <c r="DN29" s="4" t="s">
        <v>229</v>
      </c>
      <c r="DO29" s="4" t="s">
        <v>213</v>
      </c>
      <c r="DP29" s="4" t="s">
        <v>229</v>
      </c>
      <c r="DQ29" s="4" t="s">
        <v>218</v>
      </c>
      <c r="DR29" s="4" t="s">
        <v>218</v>
      </c>
      <c r="DS29" s="4" t="s">
        <v>225</v>
      </c>
      <c r="DT29" s="4" t="s">
        <v>213</v>
      </c>
      <c r="DU29" s="4" t="s">
        <v>225</v>
      </c>
      <c r="DV29" s="4" t="s">
        <v>225</v>
      </c>
      <c r="DW29" s="4" t="s">
        <v>227</v>
      </c>
      <c r="DX29" s="4" t="s">
        <v>213</v>
      </c>
      <c r="DY29" s="4" t="s">
        <v>227</v>
      </c>
      <c r="DZ29" s="4" t="s">
        <v>227</v>
      </c>
      <c r="EA29" s="4" t="s">
        <v>227</v>
      </c>
      <c r="EB29" s="4" t="s">
        <v>213</v>
      </c>
      <c r="EC29" s="4" t="s">
        <v>213</v>
      </c>
      <c r="ED29" s="4" t="s">
        <v>227</v>
      </c>
      <c r="EE29" s="4" t="s">
        <v>227</v>
      </c>
      <c r="EF29" s="4" t="s">
        <v>225</v>
      </c>
      <c r="EG29" s="4" t="s">
        <v>227</v>
      </c>
      <c r="EH29" s="4" t="s">
        <v>213</v>
      </c>
      <c r="EI29" s="4" t="s">
        <v>230</v>
      </c>
      <c r="EJ29" s="4" t="s">
        <v>225</v>
      </c>
      <c r="EK29" s="4" t="s">
        <v>213</v>
      </c>
      <c r="EL29" s="4" t="s">
        <v>227</v>
      </c>
      <c r="EM29" t="s">
        <v>231</v>
      </c>
    </row>
    <row r="30" spans="1:145" x14ac:dyDescent="0.3">
      <c r="B30" s="18" t="s">
        <v>184</v>
      </c>
      <c r="C30" s="4" t="s">
        <v>232</v>
      </c>
      <c r="D30" s="4" t="s">
        <v>232</v>
      </c>
      <c r="E30" s="4" t="s">
        <v>233</v>
      </c>
      <c r="F30" s="4" t="s">
        <v>234</v>
      </c>
      <c r="G30" s="4" t="s">
        <v>232</v>
      </c>
      <c r="H30" s="4" t="s">
        <v>233</v>
      </c>
      <c r="I30" s="4" t="s">
        <v>234</v>
      </c>
      <c r="J30" s="4" t="s">
        <v>234</v>
      </c>
      <c r="K30" s="4" t="s">
        <v>233</v>
      </c>
      <c r="L30" s="4" t="s">
        <v>234</v>
      </c>
      <c r="M30" s="4" t="s">
        <v>234</v>
      </c>
      <c r="N30" s="4" t="s">
        <v>234</v>
      </c>
      <c r="O30" s="4" t="s">
        <v>234</v>
      </c>
      <c r="P30" s="4" t="s">
        <v>233</v>
      </c>
      <c r="Q30" s="4" t="s">
        <v>234</v>
      </c>
      <c r="R30" s="4" t="s">
        <v>234</v>
      </c>
      <c r="S30" s="4" t="s">
        <v>234</v>
      </c>
      <c r="T30" s="4" t="s">
        <v>235</v>
      </c>
      <c r="U30" s="4" t="s">
        <v>234</v>
      </c>
      <c r="V30" s="4" t="s">
        <v>234</v>
      </c>
      <c r="W30" s="4" t="s">
        <v>234</v>
      </c>
      <c r="X30" s="4" t="s">
        <v>234</v>
      </c>
      <c r="Y30" s="4" t="s">
        <v>234</v>
      </c>
      <c r="Z30" s="4" t="s">
        <v>234</v>
      </c>
      <c r="AA30" s="4" t="s">
        <v>234</v>
      </c>
      <c r="AB30" s="4" t="s">
        <v>234</v>
      </c>
      <c r="AC30" s="4" t="s">
        <v>234</v>
      </c>
      <c r="AD30" s="4" t="s">
        <v>234</v>
      </c>
      <c r="AE30" s="4" t="s">
        <v>193</v>
      </c>
      <c r="AF30" s="4" t="s">
        <v>236</v>
      </c>
      <c r="AG30" s="4" t="s">
        <v>234</v>
      </c>
      <c r="AH30" s="4" t="s">
        <v>233</v>
      </c>
      <c r="AI30" s="4" t="s">
        <v>234</v>
      </c>
      <c r="AJ30" s="4" t="s">
        <v>234</v>
      </c>
      <c r="AK30" s="4" t="s">
        <v>234</v>
      </c>
      <c r="AL30" s="4" t="s">
        <v>234</v>
      </c>
      <c r="AM30" s="4" t="s">
        <v>234</v>
      </c>
      <c r="AN30" s="4" t="s">
        <v>234</v>
      </c>
      <c r="AO30" s="4" t="s">
        <v>233</v>
      </c>
      <c r="AP30" s="4" t="s">
        <v>233</v>
      </c>
      <c r="AQ30" s="4" t="s">
        <v>234</v>
      </c>
      <c r="AR30" s="4" t="s">
        <v>234</v>
      </c>
      <c r="AS30" s="4" t="s">
        <v>234</v>
      </c>
      <c r="AT30" s="4" t="s">
        <v>234</v>
      </c>
      <c r="AU30" s="4" t="s">
        <v>233</v>
      </c>
      <c r="AV30" s="4" t="s">
        <v>234</v>
      </c>
      <c r="AW30" s="4" t="s">
        <v>237</v>
      </c>
      <c r="AX30" s="4" t="s">
        <v>237</v>
      </c>
      <c r="AY30" s="4" t="s">
        <v>233</v>
      </c>
      <c r="AZ30" s="4" t="s">
        <v>233</v>
      </c>
      <c r="BA30" s="4" t="s">
        <v>237</v>
      </c>
      <c r="BB30" s="4" t="s">
        <v>237</v>
      </c>
      <c r="BC30" s="4" t="s">
        <v>238</v>
      </c>
      <c r="BD30" s="4" t="s">
        <v>233</v>
      </c>
      <c r="BE30" s="4" t="s">
        <v>233</v>
      </c>
      <c r="BF30" s="4" t="s">
        <v>237</v>
      </c>
      <c r="BG30" s="4" t="s">
        <v>233</v>
      </c>
      <c r="BH30" s="4" t="s">
        <v>238</v>
      </c>
      <c r="BI30" s="4" t="s">
        <v>238</v>
      </c>
      <c r="BJ30" s="4" t="s">
        <v>239</v>
      </c>
      <c r="BK30" s="4" t="s">
        <v>240</v>
      </c>
      <c r="BL30" s="4" t="s">
        <v>240</v>
      </c>
      <c r="BM30" s="4" t="s">
        <v>241</v>
      </c>
      <c r="BN30" s="4" t="s">
        <v>240</v>
      </c>
      <c r="BO30" s="4" t="s">
        <v>233</v>
      </c>
      <c r="BP30" s="4" t="s">
        <v>240</v>
      </c>
      <c r="BQ30" s="4" t="s">
        <v>237</v>
      </c>
      <c r="BR30" s="4" t="s">
        <v>233</v>
      </c>
      <c r="BS30" s="4" t="s">
        <v>237</v>
      </c>
      <c r="BT30" s="4" t="s">
        <v>242</v>
      </c>
      <c r="BU30" s="4" t="s">
        <v>242</v>
      </c>
      <c r="BV30" s="4" t="s">
        <v>206</v>
      </c>
      <c r="BW30" s="4" t="s">
        <v>243</v>
      </c>
      <c r="BX30" s="4" t="s">
        <v>237</v>
      </c>
      <c r="BY30" s="4" t="s">
        <v>233</v>
      </c>
      <c r="BZ30" s="4" t="s">
        <v>244</v>
      </c>
      <c r="CA30" s="4" t="s">
        <v>244</v>
      </c>
      <c r="CB30" s="4" t="s">
        <v>233</v>
      </c>
      <c r="CC30" s="4" t="s">
        <v>245</v>
      </c>
      <c r="CD30" s="4" t="s">
        <v>245</v>
      </c>
      <c r="CE30" s="4" t="s">
        <v>245</v>
      </c>
      <c r="CF30" s="4" t="s">
        <v>245</v>
      </c>
      <c r="CG30" s="4" t="s">
        <v>246</v>
      </c>
      <c r="CH30" s="4" t="s">
        <v>245</v>
      </c>
      <c r="CI30" s="4" t="s">
        <v>233</v>
      </c>
      <c r="CJ30" s="4" t="s">
        <v>237</v>
      </c>
      <c r="CK30" s="4" t="s">
        <v>237</v>
      </c>
      <c r="CL30" s="4" t="s">
        <v>233</v>
      </c>
      <c r="CM30" s="4" t="s">
        <v>237</v>
      </c>
      <c r="CN30" s="4" t="s">
        <v>237</v>
      </c>
      <c r="CO30" s="4" t="s">
        <v>233</v>
      </c>
      <c r="CP30" s="4" t="s">
        <v>238</v>
      </c>
      <c r="CQ30" s="4" t="s">
        <v>233</v>
      </c>
      <c r="CR30" s="4" t="s">
        <v>233</v>
      </c>
      <c r="CS30" s="4" t="s">
        <v>238</v>
      </c>
      <c r="CT30" s="4" t="s">
        <v>238</v>
      </c>
      <c r="CU30" s="4" t="s">
        <v>238</v>
      </c>
      <c r="CV30" s="4" t="s">
        <v>238</v>
      </c>
      <c r="CW30" s="4" t="s">
        <v>233</v>
      </c>
      <c r="CX30" s="4" t="s">
        <v>238</v>
      </c>
      <c r="CY30" s="4" t="s">
        <v>238</v>
      </c>
      <c r="CZ30" s="4" t="s">
        <v>238</v>
      </c>
      <c r="DA30" s="4" t="s">
        <v>245</v>
      </c>
      <c r="DB30" s="4" t="s">
        <v>238</v>
      </c>
      <c r="DC30" s="4" t="s">
        <v>247</v>
      </c>
      <c r="DD30" s="4" t="s">
        <v>238</v>
      </c>
      <c r="DE30" s="4" t="s">
        <v>234</v>
      </c>
      <c r="DF30" s="4" t="s">
        <v>233</v>
      </c>
      <c r="DG30" s="4" t="s">
        <v>248</v>
      </c>
      <c r="DH30" s="4" t="s">
        <v>237</v>
      </c>
      <c r="DI30" s="4" t="s">
        <v>248</v>
      </c>
      <c r="DJ30" s="4" t="s">
        <v>248</v>
      </c>
      <c r="DK30" s="4" t="s">
        <v>237</v>
      </c>
      <c r="DL30" s="4" t="s">
        <v>233</v>
      </c>
      <c r="DM30" s="4" t="s">
        <v>249</v>
      </c>
      <c r="DN30" s="4" t="s">
        <v>249</v>
      </c>
      <c r="DO30" s="4" t="s">
        <v>233</v>
      </c>
      <c r="DP30" s="4" t="s">
        <v>249</v>
      </c>
      <c r="DQ30" s="4" t="s">
        <v>238</v>
      </c>
      <c r="DR30" s="4" t="s">
        <v>238</v>
      </c>
      <c r="DS30" s="4" t="s">
        <v>245</v>
      </c>
      <c r="DT30" s="4" t="s">
        <v>233</v>
      </c>
      <c r="DU30" s="4" t="s">
        <v>245</v>
      </c>
      <c r="DV30" s="4" t="s">
        <v>245</v>
      </c>
      <c r="DW30" s="4" t="s">
        <v>247</v>
      </c>
      <c r="DX30" s="4" t="s">
        <v>233</v>
      </c>
      <c r="DY30" s="4" t="s">
        <v>247</v>
      </c>
      <c r="DZ30" s="4" t="s">
        <v>247</v>
      </c>
      <c r="EA30" s="4" t="s">
        <v>247</v>
      </c>
      <c r="EB30" s="4" t="s">
        <v>233</v>
      </c>
      <c r="EC30" s="4" t="s">
        <v>233</v>
      </c>
      <c r="ED30" s="4" t="s">
        <v>247</v>
      </c>
      <c r="EE30" s="4" t="s">
        <v>247</v>
      </c>
      <c r="EF30" s="4" t="s">
        <v>245</v>
      </c>
      <c r="EG30" s="4" t="s">
        <v>247</v>
      </c>
      <c r="EH30" s="4" t="s">
        <v>233</v>
      </c>
      <c r="EI30" s="4" t="s">
        <v>250</v>
      </c>
      <c r="EJ30" s="4" t="s">
        <v>245</v>
      </c>
      <c r="EK30" s="4" t="s">
        <v>233</v>
      </c>
      <c r="EL30" s="4" t="s">
        <v>247</v>
      </c>
      <c r="EM30" t="s">
        <v>251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6">
      <formula>EN12&lt;$EN$25</formula>
    </cfRule>
  </conditionalFormatting>
  <conditionalFormatting sqref="EO12:EO24">
    <cfRule type="expression" dxfId="4" priority="5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1" zoomScale="130" zoomScaleNormal="130" workbookViewId="0">
      <selection activeCell="EL7" sqref="EL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1" t="s">
        <v>146</v>
      </c>
      <c r="B6" s="22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1" t="s">
        <v>147</v>
      </c>
      <c r="B10" s="22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252</v>
      </c>
      <c r="EN11" s="6" t="s">
        <v>253</v>
      </c>
    </row>
    <row r="12" spans="1:144" x14ac:dyDescent="0.3">
      <c r="A12" s="19">
        <v>10</v>
      </c>
      <c r="B12" s="19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0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1</v>
      </c>
      <c r="I12" s="10">
        <f>IF(預測IC!I12&gt;預測IC!I$25,1,0)</f>
        <v>1</v>
      </c>
      <c r="J12" s="10">
        <f>IF(預測IC!J12&gt;預測IC!J$25,1,0)</f>
        <v>1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0</v>
      </c>
      <c r="N12" s="10">
        <f>IF(預測IC!N12&gt;預測IC!N$25,1,0)</f>
        <v>0</v>
      </c>
      <c r="O12" s="10">
        <f>IF(預測IC!O12&gt;預測IC!O$25,1,0)</f>
        <v>0</v>
      </c>
      <c r="P12" s="10">
        <f>IF(預測IC!P12&gt;預測IC!P$25,1,0)</f>
        <v>0</v>
      </c>
      <c r="Q12" s="10">
        <f>IF(預測IC!Q12&gt;預測IC!Q$25,1,0)</f>
        <v>0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1</v>
      </c>
      <c r="X12" s="10">
        <f>IF(預測IC!X12&gt;預測IC!X$25,1,0)</f>
        <v>1</v>
      </c>
      <c r="Y12" s="10">
        <f>IF(預測IC!Y12&gt;預測IC!Y$25,1,0)</f>
        <v>0</v>
      </c>
      <c r="Z12" s="10">
        <f>IF(預測IC!Z12&gt;預測IC!Z$25,1,0)</f>
        <v>1</v>
      </c>
      <c r="AA12" s="10">
        <f>IF(預測IC!AA12&gt;預測IC!AA$25,1,0)</f>
        <v>0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1</v>
      </c>
      <c r="AF12" s="10">
        <f>IF(預測IC!AF12&gt;預測IC!AF$25,1,0)</f>
        <v>1</v>
      </c>
      <c r="AG12" s="10">
        <f>IF(預測IC!AG12&gt;預測IC!AG$25,1,0)</f>
        <v>0</v>
      </c>
      <c r="AH12" s="10">
        <f>IF(預測IC!AH12&gt;預測IC!AH$25,1,0)</f>
        <v>1</v>
      </c>
      <c r="AI12" s="10">
        <f>IF(預測IC!AI12&gt;預測IC!AI$25,1,0)</f>
        <v>0</v>
      </c>
      <c r="AJ12" s="10">
        <f>IF(預測IC!AJ12&gt;預測IC!AJ$25,1,0)</f>
        <v>1</v>
      </c>
      <c r="AK12" s="10">
        <f>IF(預測IC!AK12&gt;預測IC!AK$25,1,0)</f>
        <v>1</v>
      </c>
      <c r="AL12" s="10">
        <f>IF(預測IC!AL12&gt;預測IC!AL$25,1,0)</f>
        <v>0</v>
      </c>
      <c r="AM12" s="10">
        <f>IF(預測IC!AM12&gt;預測IC!AM$25,1,0)</f>
        <v>1</v>
      </c>
      <c r="AN12" s="10">
        <f>IF(預測IC!AN12&gt;預測IC!AN$25,1,0)</f>
        <v>1</v>
      </c>
      <c r="AO12" s="10">
        <f>IF(預測IC!AO12&gt;預測IC!AO$25,1,0)</f>
        <v>1</v>
      </c>
      <c r="AP12" s="10">
        <f>IF(預測IC!AP12&gt;預測IC!AP$25,1,0)</f>
        <v>0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1</v>
      </c>
      <c r="AT12" s="10">
        <f>IF(預測IC!AT12&gt;預測IC!AT$25,1,0)</f>
        <v>1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1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0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0</v>
      </c>
      <c r="BE12" s="10">
        <f>IF(預測IC!BE12&gt;預測IC!BE$25,1,0)</f>
        <v>0</v>
      </c>
      <c r="BF12" s="10">
        <f>IF(預測IC!BF12&gt;預測IC!BF$25,1,0)</f>
        <v>1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0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1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0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1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0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1</v>
      </c>
      <c r="CL12" s="10">
        <f>IF(預測IC!CL12&gt;預測IC!CL$25,1,0)</f>
        <v>0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1</v>
      </c>
      <c r="CP12" s="10">
        <f>IF(預測IC!CP12&gt;預測IC!CP$25,1,0)</f>
        <v>1</v>
      </c>
      <c r="CQ12" s="10">
        <f>IF(預測IC!CQ12&gt;預測IC!CQ$25,1,0)</f>
        <v>1</v>
      </c>
      <c r="CR12" s="10">
        <f>IF(預測IC!CR12&gt;預測IC!CR$25,1,0)</f>
        <v>0</v>
      </c>
      <c r="CS12" s="10">
        <f>IF(預測IC!CS12&gt;預測IC!CS$25,1,0)</f>
        <v>0</v>
      </c>
      <c r="CT12" s="10">
        <f>IF(預測IC!CT12&gt;預測IC!CT$25,1,0)</f>
        <v>1</v>
      </c>
      <c r="CU12" s="10">
        <f>IF(預測IC!CU12&gt;預測IC!CU$25,1,0)</f>
        <v>1</v>
      </c>
      <c r="CV12" s="10">
        <f>IF(預測IC!CV12&gt;預測IC!CV$25,1,0)</f>
        <v>1</v>
      </c>
      <c r="CW12" s="10">
        <f>IF(預測IC!CW12&gt;預測IC!CW$25,1,0)</f>
        <v>1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1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0</v>
      </c>
      <c r="DG12" s="10">
        <f>IF(預測IC!DG12&gt;預測IC!DG$25,1,0)</f>
        <v>0</v>
      </c>
      <c r="DH12" s="10">
        <f>IF(預測IC!DH12&gt;預測IC!DH$25,1,0)</f>
        <v>1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1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0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1</v>
      </c>
      <c r="EA12" s="10">
        <f>IF(預測IC!EA12&gt;預測IC!EA$25,1,0)</f>
        <v>1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1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68</v>
      </c>
      <c r="EN12" s="20">
        <f t="shared" ref="EN12:EN24" si="12">EM12/140</f>
        <v>0.48571428571428571</v>
      </c>
    </row>
    <row r="13" spans="1:144" x14ac:dyDescent="0.3">
      <c r="A13" s="19">
        <v>20</v>
      </c>
      <c r="B13" s="19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0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1</v>
      </c>
      <c r="I13" s="10">
        <f>IF(預測IC!I13&gt;預測IC!I$25,1,0)</f>
        <v>1</v>
      </c>
      <c r="J13" s="10">
        <f>IF(預測IC!J13&gt;預測IC!J$25,1,0)</f>
        <v>1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0</v>
      </c>
      <c r="O13" s="10">
        <f>IF(預測IC!O13&gt;預測IC!O$25,1,0)</f>
        <v>0</v>
      </c>
      <c r="P13" s="10">
        <f>IF(預測IC!P13&gt;預測IC!P$25,1,0)</f>
        <v>0</v>
      </c>
      <c r="Q13" s="10">
        <f>IF(預測IC!Q13&gt;預測IC!Q$25,1,0)</f>
        <v>1</v>
      </c>
      <c r="R13" s="10">
        <f>IF(預測IC!R13&gt;預測IC!R$25,1,0)</f>
        <v>0</v>
      </c>
      <c r="S13" s="10">
        <f>IF(預測IC!S13&gt;預測IC!S$25,1,0)</f>
        <v>0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1</v>
      </c>
      <c r="X13" s="10">
        <f>IF(預測IC!X13&gt;預測IC!X$25,1,0)</f>
        <v>1</v>
      </c>
      <c r="Y13" s="10">
        <f>IF(預測IC!Y13&gt;預測IC!Y$25,1,0)</f>
        <v>0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1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1</v>
      </c>
      <c r="AF13" s="10">
        <f>IF(預測IC!AF13&gt;預測IC!AF$25,1,0)</f>
        <v>1</v>
      </c>
      <c r="AG13" s="10">
        <f>IF(預測IC!AG13&gt;預測IC!AG$25,1,0)</f>
        <v>1</v>
      </c>
      <c r="AH13" s="10">
        <f>IF(預測IC!AH13&gt;預測IC!AH$25,1,0)</f>
        <v>1</v>
      </c>
      <c r="AI13" s="10">
        <f>IF(預測IC!AI13&gt;預測IC!AI$25,1,0)</f>
        <v>0</v>
      </c>
      <c r="AJ13" s="10">
        <f>IF(預測IC!AJ13&gt;預測IC!AJ$25,1,0)</f>
        <v>0</v>
      </c>
      <c r="AK13" s="10">
        <f>IF(預測IC!AK13&gt;預測IC!AK$25,1,0)</f>
        <v>1</v>
      </c>
      <c r="AL13" s="10">
        <f>IF(預測IC!AL13&gt;預測IC!AL$25,1,0)</f>
        <v>0</v>
      </c>
      <c r="AM13" s="10">
        <f>IF(預測IC!AM13&gt;預測IC!AM$25,1,0)</f>
        <v>1</v>
      </c>
      <c r="AN13" s="10">
        <f>IF(預測IC!AN13&gt;預測IC!AN$25,1,0)</f>
        <v>1</v>
      </c>
      <c r="AO13" s="10">
        <f>IF(預測IC!AO13&gt;預測IC!AO$25,1,0)</f>
        <v>1</v>
      </c>
      <c r="AP13" s="10">
        <f>IF(預測IC!AP13&gt;預測IC!AP$25,1,0)</f>
        <v>1</v>
      </c>
      <c r="AQ13" s="10">
        <f>IF(預測IC!AQ13&gt;預測IC!AQ$25,1,0)</f>
        <v>1</v>
      </c>
      <c r="AR13" s="10">
        <f>IF(預測IC!AR13&gt;預測IC!AR$25,1,0)</f>
        <v>0</v>
      </c>
      <c r="AS13" s="10">
        <f>IF(預測IC!AS13&gt;預測IC!AS$25,1,0)</f>
        <v>1</v>
      </c>
      <c r="AT13" s="10">
        <f>IF(預測IC!AT13&gt;預測IC!AT$25,1,0)</f>
        <v>1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1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0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0</v>
      </c>
      <c r="BE13" s="10">
        <f>IF(預測IC!BE13&gt;預測IC!BE$25,1,0)</f>
        <v>0</v>
      </c>
      <c r="BF13" s="10">
        <f>IF(預測IC!BF13&gt;預測IC!BF$25,1,0)</f>
        <v>1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0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1</v>
      </c>
      <c r="BN13" s="10">
        <f>IF(預測IC!BN13&gt;預測IC!BN$25,1,0)</f>
        <v>1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0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1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0</v>
      </c>
      <c r="CB13" s="10">
        <f>IF(預測IC!CB13&gt;預測IC!CB$25,1,0)</f>
        <v>0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0</v>
      </c>
      <c r="CL13" s="10">
        <f>IF(預測IC!CL13&gt;預測IC!CL$25,1,0)</f>
        <v>0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1</v>
      </c>
      <c r="CP13" s="10">
        <f>IF(預測IC!CP13&gt;預測IC!CP$25,1,0)</f>
        <v>0</v>
      </c>
      <c r="CQ13" s="10">
        <f>IF(預測IC!CQ13&gt;預測IC!CQ$25,1,0)</f>
        <v>1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1</v>
      </c>
      <c r="CW13" s="10">
        <f>IF(預測IC!CW13&gt;預測IC!CW$25,1,0)</f>
        <v>1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1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0</v>
      </c>
      <c r="DG13" s="10">
        <f>IF(預測IC!DG13&gt;預測IC!DG$25,1,0)</f>
        <v>0</v>
      </c>
      <c r="DH13" s="10">
        <f>IF(預測IC!DH13&gt;預測IC!DH$25,1,0)</f>
        <v>1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1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1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0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1</v>
      </c>
      <c r="EA13" s="10">
        <f>IF(預測IC!EA13&gt;預測IC!EA$25,1,0)</f>
        <v>1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1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72</v>
      </c>
      <c r="EN13" s="20">
        <f t="shared" si="12"/>
        <v>0.51428571428571423</v>
      </c>
    </row>
    <row r="14" spans="1:144" x14ac:dyDescent="0.3">
      <c r="A14" s="19">
        <v>50</v>
      </c>
      <c r="B14" s="19">
        <f t="shared" si="10"/>
        <v>21</v>
      </c>
      <c r="C14" s="10">
        <f>IF(預測IC!C14&gt;預測IC!C$25,1,0)</f>
        <v>1</v>
      </c>
      <c r="D14" s="10">
        <f>IF(預測IC!D14&gt;預測IC!D$25,1,0)</f>
        <v>1</v>
      </c>
      <c r="E14" s="10">
        <f>IF(預測IC!E14&gt;預測IC!E$25,1,0)</f>
        <v>0</v>
      </c>
      <c r="F14" s="10">
        <f>IF(預測IC!F14&gt;預測IC!F$25,1,0)</f>
        <v>0</v>
      </c>
      <c r="G14" s="10">
        <f>IF(預測IC!G14&gt;預測IC!G$25,1,0)</f>
        <v>0</v>
      </c>
      <c r="H14" s="10">
        <f>IF(預測IC!H14&gt;預測IC!H$25,1,0)</f>
        <v>0</v>
      </c>
      <c r="I14" s="10">
        <f>IF(預測IC!I14&gt;預測IC!I$25,1,0)</f>
        <v>1</v>
      </c>
      <c r="J14" s="10">
        <f>IF(預測IC!J14&gt;預測IC!J$25,1,0)</f>
        <v>1</v>
      </c>
      <c r="K14" s="10">
        <f>IF(預測IC!K14&gt;預測IC!K$25,1,0)</f>
        <v>0</v>
      </c>
      <c r="L14" s="10">
        <f>IF(預測IC!L14&gt;預測IC!L$25,1,0)</f>
        <v>0</v>
      </c>
      <c r="M14" s="10">
        <f>IF(預測IC!M14&gt;預測IC!M$25,1,0)</f>
        <v>1</v>
      </c>
      <c r="N14" s="10">
        <f>IF(預測IC!N14&gt;預測IC!N$25,1,0)</f>
        <v>0</v>
      </c>
      <c r="O14" s="10">
        <f>IF(預測IC!O14&gt;預測IC!O$25,1,0)</f>
        <v>1</v>
      </c>
      <c r="P14" s="10">
        <f>IF(預測IC!P14&gt;預測IC!P$25,1,0)</f>
        <v>1</v>
      </c>
      <c r="Q14" s="10">
        <f>IF(預測IC!Q14&gt;預測IC!Q$25,1,0)</f>
        <v>0</v>
      </c>
      <c r="R14" s="10">
        <f>IF(預測IC!R14&gt;預測IC!R$25,1,0)</f>
        <v>1</v>
      </c>
      <c r="S14" s="10">
        <f>IF(預測IC!S14&gt;預測IC!S$25,1,0)</f>
        <v>0</v>
      </c>
      <c r="T14" s="10">
        <f>IF(預測IC!T14&gt;預測IC!T$25,1,0)</f>
        <v>1</v>
      </c>
      <c r="U14" s="10">
        <f>IF(預測IC!U14&gt;預測IC!U$25,1,0)</f>
        <v>0</v>
      </c>
      <c r="V14" s="10">
        <f>IF(預測IC!V14&gt;預測IC!V$25,1,0)</f>
        <v>1</v>
      </c>
      <c r="W14" s="10">
        <f>IF(預測IC!W14&gt;預測IC!W$25,1,0)</f>
        <v>1</v>
      </c>
      <c r="X14" s="10">
        <f>IF(預測IC!X14&gt;預測IC!X$25,1,0)</f>
        <v>1</v>
      </c>
      <c r="Y14" s="10">
        <f>IF(預測IC!Y14&gt;預測IC!Y$25,1,0)</f>
        <v>1</v>
      </c>
      <c r="Z14" s="10">
        <f>IF(預測IC!Z14&gt;預測IC!Z$25,1,0)</f>
        <v>1</v>
      </c>
      <c r="AA14" s="10">
        <f>IF(預測IC!AA14&gt;預測IC!AA$25,1,0)</f>
        <v>0</v>
      </c>
      <c r="AB14" s="10">
        <f>IF(預測IC!AB14&gt;預測IC!AB$25,1,0)</f>
        <v>1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1</v>
      </c>
      <c r="AF14" s="10">
        <f>IF(預測IC!AF14&gt;預測IC!AF$25,1,0)</f>
        <v>0</v>
      </c>
      <c r="AG14" s="10">
        <f>IF(預測IC!AG14&gt;預測IC!AG$25,1,0)</f>
        <v>1</v>
      </c>
      <c r="AH14" s="10">
        <f>IF(預測IC!AH14&gt;預測IC!AH$25,1,0)</f>
        <v>1</v>
      </c>
      <c r="AI14" s="10">
        <f>IF(預測IC!AI14&gt;預測IC!AI$25,1,0)</f>
        <v>0</v>
      </c>
      <c r="AJ14" s="10">
        <f>IF(預測IC!AJ14&gt;預測IC!AJ$25,1,0)</f>
        <v>0</v>
      </c>
      <c r="AK14" s="10">
        <f>IF(預測IC!AK14&gt;預測IC!AK$25,1,0)</f>
        <v>1</v>
      </c>
      <c r="AL14" s="10">
        <f>IF(預測IC!AL14&gt;預測IC!AL$25,1,0)</f>
        <v>0</v>
      </c>
      <c r="AM14" s="10">
        <f>IF(預測IC!AM14&gt;預測IC!AM$25,1,0)</f>
        <v>1</v>
      </c>
      <c r="AN14" s="10">
        <f>IF(預測IC!AN14&gt;預測IC!AN$25,1,0)</f>
        <v>1</v>
      </c>
      <c r="AO14" s="10">
        <f>IF(預測IC!AO14&gt;預測IC!AO$25,1,0)</f>
        <v>1</v>
      </c>
      <c r="AP14" s="10">
        <f>IF(預測IC!AP14&gt;預測IC!AP$25,1,0)</f>
        <v>1</v>
      </c>
      <c r="AQ14" s="10">
        <f>IF(預測IC!AQ14&gt;預測IC!AQ$25,1,0)</f>
        <v>0</v>
      </c>
      <c r="AR14" s="10">
        <f>IF(預測IC!AR14&gt;預測IC!AR$25,1,0)</f>
        <v>0</v>
      </c>
      <c r="AS14" s="10">
        <f>IF(預測IC!AS14&gt;預測IC!AS$25,1,0)</f>
        <v>1</v>
      </c>
      <c r="AT14" s="10">
        <f>IF(預測IC!AT14&gt;預測IC!AT$25,1,0)</f>
        <v>0</v>
      </c>
      <c r="AU14" s="10">
        <f>IF(預測IC!AU14&gt;預測IC!AU$25,1,0)</f>
        <v>1</v>
      </c>
      <c r="AV14" s="10">
        <f>IF(預測IC!AV14&gt;預測IC!AV$25,1,0)</f>
        <v>1</v>
      </c>
      <c r="AW14" s="10">
        <f>IF(預測IC!AW14&gt;預測IC!AW$25,1,0)</f>
        <v>1</v>
      </c>
      <c r="AX14" s="10">
        <f>IF(預測IC!AX14&gt;預測IC!AX$25,1,0)</f>
        <v>1</v>
      </c>
      <c r="AY14" s="10">
        <f>IF(預測IC!AY14&gt;預測IC!AY$25,1,0)</f>
        <v>1</v>
      </c>
      <c r="AZ14" s="10">
        <f>IF(預測IC!AZ14&gt;預測IC!AZ$25,1,0)</f>
        <v>1</v>
      </c>
      <c r="BA14" s="10">
        <f>IF(預測IC!BA14&gt;預測IC!BA$25,1,0)</f>
        <v>0</v>
      </c>
      <c r="BB14" s="10">
        <f>IF(預測IC!BB14&gt;預測IC!BB$25,1,0)</f>
        <v>1</v>
      </c>
      <c r="BC14" s="10">
        <f>IF(預測IC!BC14&gt;預測IC!BC$25,1,0)</f>
        <v>0</v>
      </c>
      <c r="BD14" s="10">
        <f>IF(預測IC!BD14&gt;預測IC!BD$25,1,0)</f>
        <v>1</v>
      </c>
      <c r="BE14" s="10">
        <f>IF(預測IC!BE14&gt;預測IC!BE$25,1,0)</f>
        <v>0</v>
      </c>
      <c r="BF14" s="10">
        <f>IF(預測IC!BF14&gt;預測IC!BF$25,1,0)</f>
        <v>0</v>
      </c>
      <c r="BG14" s="10">
        <f>IF(預測IC!BG14&gt;預測IC!BG$25,1,0)</f>
        <v>0</v>
      </c>
      <c r="BH14" s="10">
        <f>IF(預測IC!BH14&gt;預測IC!BH$25,1,0)</f>
        <v>1</v>
      </c>
      <c r="BI14" s="10">
        <f>IF(預測IC!BI14&gt;預測IC!BI$25,1,0)</f>
        <v>0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1</v>
      </c>
      <c r="BN14" s="10">
        <f>IF(預測IC!BN14&gt;預測IC!BN$25,1,0)</f>
        <v>1</v>
      </c>
      <c r="BO14" s="10">
        <f>IF(預測IC!BO14&gt;預測IC!BO$25,1,0)</f>
        <v>1</v>
      </c>
      <c r="BP14" s="10">
        <f>IF(預測IC!BP14&gt;預測IC!BP$25,1,0)</f>
        <v>1</v>
      </c>
      <c r="BQ14" s="10">
        <f>IF(預測IC!BQ14&gt;預測IC!BQ$25,1,0)</f>
        <v>0</v>
      </c>
      <c r="BR14" s="10">
        <f>IF(預測IC!BR14&gt;預測IC!BR$25,1,0)</f>
        <v>1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1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0</v>
      </c>
      <c r="CB14" s="10">
        <f>IF(預測IC!CB14&gt;預測IC!CB$25,1,0)</f>
        <v>0</v>
      </c>
      <c r="CC14" s="10">
        <f>IF(預測IC!CC14&gt;預測IC!CC$25,1,0)</f>
        <v>0</v>
      </c>
      <c r="CD14" s="10">
        <f>IF(預測IC!CD14&gt;預測IC!CD$25,1,0)</f>
        <v>1</v>
      </c>
      <c r="CE14" s="10">
        <f>IF(預測IC!CE14&gt;預測IC!CE$25,1,0)</f>
        <v>1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0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1</v>
      </c>
      <c r="CL14" s="10">
        <f>IF(預測IC!CL14&gt;預測IC!CL$25,1,0)</f>
        <v>0</v>
      </c>
      <c r="CM14" s="10">
        <f>IF(預測IC!CM14&gt;預測IC!CM$25,1,0)</f>
        <v>0</v>
      </c>
      <c r="CN14" s="10">
        <f>IF(預測IC!CN14&gt;預測IC!CN$25,1,0)</f>
        <v>1</v>
      </c>
      <c r="CO14" s="10">
        <f>IF(預測IC!CO14&gt;預測IC!CO$25,1,0)</f>
        <v>1</v>
      </c>
      <c r="CP14" s="10">
        <f>IF(預測IC!CP14&gt;預測IC!CP$25,1,0)</f>
        <v>0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1</v>
      </c>
      <c r="CU14" s="10">
        <f>IF(預測IC!CU14&gt;預測IC!CU$25,1,0)</f>
        <v>1</v>
      </c>
      <c r="CV14" s="10">
        <f>IF(預測IC!CV14&gt;預測IC!CV$25,1,0)</f>
        <v>1</v>
      </c>
      <c r="CW14" s="10">
        <f>IF(預測IC!CW14&gt;預測IC!CW$25,1,0)</f>
        <v>1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0</v>
      </c>
      <c r="DB14" s="10">
        <f>IF(預測IC!DB14&gt;預測IC!DB$25,1,0)</f>
        <v>1</v>
      </c>
      <c r="DC14" s="10">
        <f>IF(預測IC!DC14&gt;預測IC!DC$25,1,0)</f>
        <v>1</v>
      </c>
      <c r="DD14" s="10">
        <f>IF(預測IC!DD14&gt;預測IC!DD$25,1,0)</f>
        <v>0</v>
      </c>
      <c r="DE14" s="10">
        <f>IF(預測IC!DE14&gt;預測IC!DE$25,1,0)</f>
        <v>0</v>
      </c>
      <c r="DF14" s="10">
        <f>IF(預測IC!DF14&gt;預測IC!DF$25,1,0)</f>
        <v>0</v>
      </c>
      <c r="DG14" s="10">
        <f>IF(預測IC!DG14&gt;預測IC!DG$25,1,0)</f>
        <v>0</v>
      </c>
      <c r="DH14" s="10">
        <f>IF(預測IC!DH14&gt;預測IC!DH$25,1,0)</f>
        <v>1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1</v>
      </c>
      <c r="DM14" s="10">
        <f>IF(預測IC!DM14&gt;預測IC!DM$25,1,0)</f>
        <v>0</v>
      </c>
      <c r="DN14" s="10">
        <f>IF(預測IC!DN14&gt;預測IC!DN$25,1,0)</f>
        <v>0</v>
      </c>
      <c r="DO14" s="10">
        <f>IF(預測IC!DO14&gt;預測IC!DO$25,1,0)</f>
        <v>1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0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1</v>
      </c>
      <c r="DW14" s="10">
        <f>IF(預測IC!DW14&gt;預測IC!DW$25,1,0)</f>
        <v>0</v>
      </c>
      <c r="DX14" s="10">
        <f>IF(預測IC!DX14&gt;預測IC!DX$25,1,0)</f>
        <v>0</v>
      </c>
      <c r="DY14" s="10">
        <f>IF(預測IC!DY14&gt;預測IC!DY$25,1,0)</f>
        <v>1</v>
      </c>
      <c r="DZ14" s="10">
        <f>IF(預測IC!DZ14&gt;預測IC!DZ$25,1,0)</f>
        <v>0</v>
      </c>
      <c r="EA14" s="10">
        <f>IF(預測IC!EA14&gt;預測IC!EA$25,1,0)</f>
        <v>1</v>
      </c>
      <c r="EB14" s="10">
        <f>IF(預測IC!EB14&gt;預測IC!EB$25,1,0)</f>
        <v>0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1</v>
      </c>
      <c r="EG14" s="10">
        <f>IF(預測IC!EG14&gt;預測IC!EG$25,1,0)</f>
        <v>1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0</v>
      </c>
      <c r="EM14" s="6">
        <f t="shared" si="11"/>
        <v>70</v>
      </c>
      <c r="EN14" s="20">
        <f t="shared" si="12"/>
        <v>0.5</v>
      </c>
    </row>
    <row r="15" spans="1:144" x14ac:dyDescent="0.3">
      <c r="A15" s="19">
        <v>110</v>
      </c>
      <c r="B15" s="19">
        <f t="shared" si="10"/>
        <v>10</v>
      </c>
      <c r="C15" s="10">
        <f>IF(預測IC!C15&gt;預測IC!C$25,1,0)</f>
        <v>1</v>
      </c>
      <c r="D15" s="10">
        <f>IF(預測IC!D15&gt;預測IC!D$25,1,0)</f>
        <v>1</v>
      </c>
      <c r="E15" s="10">
        <f>IF(預測IC!E15&gt;預測IC!E$25,1,0)</f>
        <v>0</v>
      </c>
      <c r="F15" s="10">
        <f>IF(預測IC!F15&gt;預測IC!F$25,1,0)</f>
        <v>0</v>
      </c>
      <c r="G15" s="10">
        <f>IF(預測IC!G15&gt;預測IC!G$25,1,0)</f>
        <v>0</v>
      </c>
      <c r="H15" s="10">
        <f>IF(預測IC!H15&gt;預測IC!H$25,1,0)</f>
        <v>1</v>
      </c>
      <c r="I15" s="10">
        <f>IF(預測IC!I15&gt;預測IC!I$25,1,0)</f>
        <v>1</v>
      </c>
      <c r="J15" s="10">
        <f>IF(預測IC!J15&gt;預測IC!J$25,1,0)</f>
        <v>1</v>
      </c>
      <c r="K15" s="10">
        <f>IF(預測IC!K15&gt;預測IC!K$25,1,0)</f>
        <v>1</v>
      </c>
      <c r="L15" s="10">
        <f>IF(預測IC!L15&gt;預測IC!L$25,1,0)</f>
        <v>0</v>
      </c>
      <c r="M15" s="10">
        <f>IF(預測IC!M15&gt;預測IC!M$25,1,0)</f>
        <v>0</v>
      </c>
      <c r="N15" s="10">
        <f>IF(預測IC!N15&gt;預測IC!N$25,1,0)</f>
        <v>0</v>
      </c>
      <c r="O15" s="10">
        <f>IF(預測IC!O15&gt;預測IC!O$25,1,0)</f>
        <v>1</v>
      </c>
      <c r="P15" s="10">
        <f>IF(預測IC!P15&gt;預測IC!P$25,1,0)</f>
        <v>1</v>
      </c>
      <c r="Q15" s="10">
        <f>IF(預測IC!Q15&gt;預測IC!Q$25,1,0)</f>
        <v>0</v>
      </c>
      <c r="R15" s="10">
        <f>IF(預測IC!R15&gt;預測IC!R$25,1,0)</f>
        <v>1</v>
      </c>
      <c r="S15" s="10">
        <f>IF(預測IC!S15&gt;預測IC!S$25,1,0)</f>
        <v>0</v>
      </c>
      <c r="T15" s="10">
        <f>IF(預測IC!T15&gt;預測IC!T$25,1,0)</f>
        <v>0</v>
      </c>
      <c r="U15" s="10">
        <f>IF(預測IC!U15&gt;預測IC!U$25,1,0)</f>
        <v>0</v>
      </c>
      <c r="V15" s="10">
        <f>IF(預測IC!V15&gt;預測IC!V$25,1,0)</f>
        <v>1</v>
      </c>
      <c r="W15" s="10">
        <f>IF(預測IC!W15&gt;預測IC!W$25,1,0)</f>
        <v>1</v>
      </c>
      <c r="X15" s="10">
        <f>IF(預測IC!X15&gt;預測IC!X$25,1,0)</f>
        <v>1</v>
      </c>
      <c r="Y15" s="10">
        <f>IF(預測IC!Y15&gt;預測IC!Y$25,1,0)</f>
        <v>0</v>
      </c>
      <c r="Z15" s="10">
        <f>IF(預測IC!Z15&gt;預測IC!Z$25,1,0)</f>
        <v>1</v>
      </c>
      <c r="AA15" s="10">
        <f>IF(預測IC!AA15&gt;預測IC!AA$25,1,0)</f>
        <v>0</v>
      </c>
      <c r="AB15" s="10">
        <f>IF(預測IC!AB15&gt;預測IC!AB$25,1,0)</f>
        <v>1</v>
      </c>
      <c r="AC15" s="10">
        <f>IF(預測IC!AC15&gt;預測IC!AC$25,1,0)</f>
        <v>1</v>
      </c>
      <c r="AD15" s="10">
        <f>IF(預測IC!AD15&gt;預測IC!AD$25,1,0)</f>
        <v>1</v>
      </c>
      <c r="AE15" s="10">
        <f>IF(預測IC!AE15&gt;預測IC!AE$25,1,0)</f>
        <v>0</v>
      </c>
      <c r="AF15" s="10">
        <f>IF(預測IC!AF15&gt;預測IC!AF$25,1,0)</f>
        <v>0</v>
      </c>
      <c r="AG15" s="10">
        <f>IF(預測IC!AG15&gt;預測IC!AG$25,1,0)</f>
        <v>1</v>
      </c>
      <c r="AH15" s="10">
        <f>IF(預測IC!AH15&gt;預測IC!AH$25,1,0)</f>
        <v>1</v>
      </c>
      <c r="AI15" s="10">
        <f>IF(預測IC!AI15&gt;預測IC!AI$25,1,0)</f>
        <v>0</v>
      </c>
      <c r="AJ15" s="10">
        <f>IF(預測IC!AJ15&gt;預測IC!AJ$25,1,0)</f>
        <v>1</v>
      </c>
      <c r="AK15" s="10">
        <f>IF(預測IC!AK15&gt;預測IC!AK$25,1,0)</f>
        <v>1</v>
      </c>
      <c r="AL15" s="10">
        <f>IF(預測IC!AL15&gt;預測IC!AL$25,1,0)</f>
        <v>0</v>
      </c>
      <c r="AM15" s="10">
        <f>IF(預測IC!AM15&gt;預測IC!AM$25,1,0)</f>
        <v>1</v>
      </c>
      <c r="AN15" s="10">
        <f>IF(預測IC!AN15&gt;預測IC!AN$25,1,0)</f>
        <v>1</v>
      </c>
      <c r="AO15" s="10">
        <f>IF(預測IC!AO15&gt;預測IC!AO$25,1,0)</f>
        <v>1</v>
      </c>
      <c r="AP15" s="10">
        <f>IF(預測IC!AP15&gt;預測IC!AP$25,1,0)</f>
        <v>0</v>
      </c>
      <c r="AQ15" s="10">
        <f>IF(預測IC!AQ15&gt;預測IC!AQ$25,1,0)</f>
        <v>0</v>
      </c>
      <c r="AR15" s="10">
        <f>IF(預測IC!AR15&gt;預測IC!AR$25,1,0)</f>
        <v>0</v>
      </c>
      <c r="AS15" s="10">
        <f>IF(預測IC!AS15&gt;預測IC!AS$25,1,0)</f>
        <v>1</v>
      </c>
      <c r="AT15" s="10">
        <f>IF(預測IC!AT15&gt;預測IC!AT$25,1,0)</f>
        <v>0</v>
      </c>
      <c r="AU15" s="10">
        <f>IF(預測IC!AU15&gt;預測IC!AU$25,1,0)</f>
        <v>1</v>
      </c>
      <c r="AV15" s="10">
        <f>IF(預測IC!AV15&gt;預測IC!AV$25,1,0)</f>
        <v>1</v>
      </c>
      <c r="AW15" s="10">
        <f>IF(預測IC!AW15&gt;預測IC!AW$25,1,0)</f>
        <v>1</v>
      </c>
      <c r="AX15" s="10">
        <f>IF(預測IC!AX15&gt;預測IC!AX$25,1,0)</f>
        <v>1</v>
      </c>
      <c r="AY15" s="10">
        <f>IF(預測IC!AY15&gt;預測IC!AY$25,1,0)</f>
        <v>1</v>
      </c>
      <c r="AZ15" s="10">
        <f>IF(預測IC!AZ15&gt;預測IC!AZ$25,1,0)</f>
        <v>1</v>
      </c>
      <c r="BA15" s="10">
        <f>IF(預測IC!BA15&gt;預測IC!BA$25,1,0)</f>
        <v>0</v>
      </c>
      <c r="BB15" s="10">
        <f>IF(預測IC!BB15&gt;預測IC!BB$25,1,0)</f>
        <v>1</v>
      </c>
      <c r="BC15" s="10">
        <f>IF(預測IC!BC15&gt;預測IC!BC$25,1,0)</f>
        <v>1</v>
      </c>
      <c r="BD15" s="10">
        <f>IF(預測IC!BD15&gt;預測IC!BD$25,1,0)</f>
        <v>1</v>
      </c>
      <c r="BE15" s="10">
        <f>IF(預測IC!BE15&gt;預測IC!BE$25,1,0)</f>
        <v>0</v>
      </c>
      <c r="BF15" s="10">
        <f>IF(預測IC!BF15&gt;預測IC!BF$25,1,0)</f>
        <v>1</v>
      </c>
      <c r="BG15" s="10">
        <f>IF(預測IC!BG15&gt;預測IC!BG$25,1,0)</f>
        <v>0</v>
      </c>
      <c r="BH15" s="10">
        <f>IF(預測IC!BH15&gt;預測IC!BH$25,1,0)</f>
        <v>1</v>
      </c>
      <c r="BI15" s="10">
        <f>IF(預測IC!BI15&gt;預測IC!BI$25,1,0)</f>
        <v>0</v>
      </c>
      <c r="BJ15" s="10">
        <f>IF(預測IC!BJ15&gt;預測IC!BJ$25,1,0)</f>
        <v>1</v>
      </c>
      <c r="BK15" s="10">
        <f>IF(預測IC!BK15&gt;預測IC!BK$25,1,0)</f>
        <v>0</v>
      </c>
      <c r="BL15" s="10">
        <f>IF(預測IC!BL15&gt;預測IC!BL$25,1,0)</f>
        <v>0</v>
      </c>
      <c r="BM15" s="10">
        <f>IF(預測IC!BM15&gt;預測IC!BM$25,1,0)</f>
        <v>0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0</v>
      </c>
      <c r="BR15" s="10">
        <f>IF(預測IC!BR15&gt;預測IC!BR$25,1,0)</f>
        <v>1</v>
      </c>
      <c r="BS15" s="10">
        <f>IF(預測IC!BS15&gt;預測IC!BS$25,1,0)</f>
        <v>0</v>
      </c>
      <c r="BT15" s="10">
        <f>IF(預測IC!BT15&gt;預測IC!BT$25,1,0)</f>
        <v>0</v>
      </c>
      <c r="BU15" s="10">
        <f>IF(預測IC!BU15&gt;預測IC!BU$25,1,0)</f>
        <v>0</v>
      </c>
      <c r="BV15" s="10">
        <f>IF(預測IC!BV15&gt;預測IC!BV$25,1,0)</f>
        <v>0</v>
      </c>
      <c r="BW15" s="10">
        <f>IF(預測IC!BW15&gt;預測IC!BW$25,1,0)</f>
        <v>1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0</v>
      </c>
      <c r="CA15" s="10">
        <f>IF(預測IC!CA15&gt;預測IC!CA$25,1,0)</f>
        <v>0</v>
      </c>
      <c r="CB15" s="10">
        <f>IF(預測IC!CB15&gt;預測IC!CB$25,1,0)</f>
        <v>0</v>
      </c>
      <c r="CC15" s="10">
        <f>IF(預測IC!CC15&gt;預測IC!CC$25,1,0)</f>
        <v>0</v>
      </c>
      <c r="CD15" s="10">
        <f>IF(預測IC!CD15&gt;預測IC!CD$25,1,0)</f>
        <v>1</v>
      </c>
      <c r="CE15" s="10">
        <f>IF(預測IC!CE15&gt;預測IC!CE$25,1,0)</f>
        <v>1</v>
      </c>
      <c r="CF15" s="10">
        <f>IF(預測IC!CF15&gt;預測IC!CF$25,1,0)</f>
        <v>1</v>
      </c>
      <c r="CG15" s="10">
        <f>IF(預測IC!CG15&gt;預測IC!CG$25,1,0)</f>
        <v>0</v>
      </c>
      <c r="CH15" s="10">
        <f>IF(預測IC!CH15&gt;預測IC!CH$25,1,0)</f>
        <v>0</v>
      </c>
      <c r="CI15" s="10">
        <f>IF(預測IC!CI15&gt;預測IC!CI$25,1,0)</f>
        <v>1</v>
      </c>
      <c r="CJ15" s="10">
        <f>IF(預測IC!CJ15&gt;預測IC!CJ$25,1,0)</f>
        <v>0</v>
      </c>
      <c r="CK15" s="10">
        <f>IF(預測IC!CK15&gt;預測IC!CK$25,1,0)</f>
        <v>0</v>
      </c>
      <c r="CL15" s="10">
        <f>IF(預測IC!CL15&gt;預測IC!CL$25,1,0)</f>
        <v>0</v>
      </c>
      <c r="CM15" s="10">
        <f>IF(預測IC!CM15&gt;預測IC!CM$25,1,0)</f>
        <v>1</v>
      </c>
      <c r="CN15" s="10">
        <f>IF(預測IC!CN15&gt;預測IC!CN$25,1,0)</f>
        <v>1</v>
      </c>
      <c r="CO15" s="10">
        <f>IF(預測IC!CO15&gt;預測IC!CO$25,1,0)</f>
        <v>1</v>
      </c>
      <c r="CP15" s="10">
        <f>IF(預測IC!CP15&gt;預測IC!CP$25,1,0)</f>
        <v>0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0</v>
      </c>
      <c r="CU15" s="10">
        <f>IF(預測IC!CU15&gt;預測IC!CU$25,1,0)</f>
        <v>1</v>
      </c>
      <c r="CV15" s="10">
        <f>IF(預測IC!CV15&gt;預測IC!CV$25,1,0)</f>
        <v>0</v>
      </c>
      <c r="CW15" s="10">
        <f>IF(預測IC!CW15&gt;預測IC!CW$25,1,0)</f>
        <v>1</v>
      </c>
      <c r="CX15" s="10">
        <f>IF(預測IC!CX15&gt;預測IC!CX$25,1,0)</f>
        <v>1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0</v>
      </c>
      <c r="DB15" s="10">
        <f>IF(預測IC!DB15&gt;預測IC!DB$25,1,0)</f>
        <v>1</v>
      </c>
      <c r="DC15" s="10">
        <f>IF(預測IC!DC15&gt;預測IC!DC$25,1,0)</f>
        <v>1</v>
      </c>
      <c r="DD15" s="10">
        <f>IF(預測IC!DD15&gt;預測IC!DD$25,1,0)</f>
        <v>0</v>
      </c>
      <c r="DE15" s="10">
        <f>IF(預測IC!DE15&gt;預測IC!DE$25,1,0)</f>
        <v>0</v>
      </c>
      <c r="DF15" s="10">
        <f>IF(預測IC!DF15&gt;預測IC!DF$25,1,0)</f>
        <v>0</v>
      </c>
      <c r="DG15" s="10">
        <f>IF(預測IC!DG15&gt;預測IC!DG$25,1,0)</f>
        <v>0</v>
      </c>
      <c r="DH15" s="10">
        <f>IF(預測IC!DH15&gt;預測IC!DH$25,1,0)</f>
        <v>1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0</v>
      </c>
      <c r="DL15" s="10">
        <f>IF(預測IC!DL15&gt;預測IC!DL$25,1,0)</f>
        <v>0</v>
      </c>
      <c r="DM15" s="10">
        <f>IF(預測IC!DM15&gt;預測IC!DM$25,1,0)</f>
        <v>0</v>
      </c>
      <c r="DN15" s="10">
        <f>IF(預測IC!DN15&gt;預測IC!DN$25,1,0)</f>
        <v>0</v>
      </c>
      <c r="DO15" s="10">
        <f>IF(預測IC!DO15&gt;預測IC!DO$25,1,0)</f>
        <v>1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0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1</v>
      </c>
      <c r="DW15" s="10">
        <f>IF(預測IC!DW15&gt;預測IC!DW$25,1,0)</f>
        <v>0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0</v>
      </c>
      <c r="EA15" s="10">
        <f>IF(預測IC!EA15&gt;預測IC!EA$25,1,0)</f>
        <v>0</v>
      </c>
      <c r="EB15" s="10">
        <f>IF(預測IC!EB15&gt;預測IC!EB$25,1,0)</f>
        <v>0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1</v>
      </c>
      <c r="EG15" s="10">
        <f>IF(預測IC!EG15&gt;預測IC!EG$25,1,0)</f>
        <v>1</v>
      </c>
      <c r="EH15" s="10">
        <f>IF(預測IC!EH15&gt;預測IC!EH$25,1,0)</f>
        <v>1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0</v>
      </c>
      <c r="EL15" s="10">
        <f>IF(預測IC!EL15&gt;預測IC!EL$25,1,0)</f>
        <v>0</v>
      </c>
      <c r="EM15" s="6">
        <f t="shared" si="11"/>
        <v>67</v>
      </c>
      <c r="EN15" s="20">
        <f t="shared" si="12"/>
        <v>0.47857142857142859</v>
      </c>
    </row>
    <row r="16" spans="1:144" x14ac:dyDescent="0.3">
      <c r="A16" s="19">
        <v>120</v>
      </c>
      <c r="B16" s="19">
        <f t="shared" si="10"/>
        <v>9</v>
      </c>
      <c r="C16" s="10">
        <f>IF(預測IC!C16&gt;預測IC!C$25,1,0)</f>
        <v>1</v>
      </c>
      <c r="D16" s="10">
        <f>IF(預測IC!D16&gt;預測IC!D$25,1,0)</f>
        <v>1</v>
      </c>
      <c r="E16" s="10">
        <f>IF(預測IC!E16&gt;預測IC!E$25,1,0)</f>
        <v>0</v>
      </c>
      <c r="F16" s="10">
        <f>IF(預測IC!F16&gt;預測IC!F$25,1,0)</f>
        <v>0</v>
      </c>
      <c r="G16" s="10">
        <f>IF(預測IC!G16&gt;預測IC!G$25,1,0)</f>
        <v>0</v>
      </c>
      <c r="H16" s="10">
        <f>IF(預測IC!H16&gt;預測IC!H$25,1,0)</f>
        <v>1</v>
      </c>
      <c r="I16" s="10">
        <f>IF(預測IC!I16&gt;預測IC!I$25,1,0)</f>
        <v>1</v>
      </c>
      <c r="J16" s="10">
        <f>IF(預測IC!J16&gt;預測IC!J$25,1,0)</f>
        <v>1</v>
      </c>
      <c r="K16" s="10">
        <f>IF(預測IC!K16&gt;預測IC!K$25,1,0)</f>
        <v>1</v>
      </c>
      <c r="L16" s="10">
        <f>IF(預測IC!L16&gt;預測IC!L$25,1,0)</f>
        <v>0</v>
      </c>
      <c r="M16" s="10">
        <f>IF(預測IC!M16&gt;預測IC!M$25,1,0)</f>
        <v>1</v>
      </c>
      <c r="N16" s="10">
        <f>IF(預測IC!N16&gt;預測IC!N$25,1,0)</f>
        <v>0</v>
      </c>
      <c r="O16" s="10">
        <f>IF(預測IC!O16&gt;預測IC!O$25,1,0)</f>
        <v>1</v>
      </c>
      <c r="P16" s="10">
        <f>IF(預測IC!P16&gt;預測IC!P$25,1,0)</f>
        <v>1</v>
      </c>
      <c r="Q16" s="10">
        <f>IF(預測IC!Q16&gt;預測IC!Q$25,1,0)</f>
        <v>0</v>
      </c>
      <c r="R16" s="10">
        <f>IF(預測IC!R16&gt;預測IC!R$25,1,0)</f>
        <v>1</v>
      </c>
      <c r="S16" s="10">
        <f>IF(預測IC!S16&gt;預測IC!S$25,1,0)</f>
        <v>0</v>
      </c>
      <c r="T16" s="10">
        <f>IF(預測IC!T16&gt;預測IC!T$25,1,0)</f>
        <v>0</v>
      </c>
      <c r="U16" s="10">
        <f>IF(預測IC!U16&gt;預測IC!U$25,1,0)</f>
        <v>0</v>
      </c>
      <c r="V16" s="10">
        <f>IF(預測IC!V16&gt;預測IC!V$25,1,0)</f>
        <v>1</v>
      </c>
      <c r="W16" s="10">
        <f>IF(預測IC!W16&gt;預測IC!W$25,1,0)</f>
        <v>1</v>
      </c>
      <c r="X16" s="10">
        <f>IF(預測IC!X16&gt;預測IC!X$25,1,0)</f>
        <v>1</v>
      </c>
      <c r="Y16" s="10">
        <f>IF(預測IC!Y16&gt;預測IC!Y$25,1,0)</f>
        <v>1</v>
      </c>
      <c r="Z16" s="10">
        <f>IF(預測IC!Z16&gt;預測IC!Z$25,1,0)</f>
        <v>1</v>
      </c>
      <c r="AA16" s="10">
        <f>IF(預測IC!AA16&gt;預測IC!AA$25,1,0)</f>
        <v>0</v>
      </c>
      <c r="AB16" s="10">
        <f>IF(預測IC!AB16&gt;預測IC!AB$25,1,0)</f>
        <v>1</v>
      </c>
      <c r="AC16" s="10">
        <f>IF(預測IC!AC16&gt;預測IC!AC$25,1,0)</f>
        <v>1</v>
      </c>
      <c r="AD16" s="10">
        <f>IF(預測IC!AD16&gt;預測IC!AD$25,1,0)</f>
        <v>1</v>
      </c>
      <c r="AE16" s="10">
        <f>IF(預測IC!AE16&gt;預測IC!AE$25,1,0)</f>
        <v>1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1</v>
      </c>
      <c r="AI16" s="10">
        <f>IF(預測IC!AI16&gt;預測IC!AI$25,1,0)</f>
        <v>1</v>
      </c>
      <c r="AJ16" s="10">
        <f>IF(預測IC!AJ16&gt;預測IC!AJ$25,1,0)</f>
        <v>1</v>
      </c>
      <c r="AK16" s="10">
        <f>IF(預測IC!AK16&gt;預測IC!AK$25,1,0)</f>
        <v>1</v>
      </c>
      <c r="AL16" s="10">
        <f>IF(預測IC!AL16&gt;預測IC!AL$25,1,0)</f>
        <v>0</v>
      </c>
      <c r="AM16" s="10">
        <f>IF(預測IC!AM16&gt;預測IC!AM$25,1,0)</f>
        <v>1</v>
      </c>
      <c r="AN16" s="10">
        <f>IF(預測IC!AN16&gt;預測IC!AN$25,1,0)</f>
        <v>1</v>
      </c>
      <c r="AO16" s="10">
        <f>IF(預測IC!AO16&gt;預測IC!AO$25,1,0)</f>
        <v>1</v>
      </c>
      <c r="AP16" s="10">
        <f>IF(預測IC!AP16&gt;預測IC!AP$25,1,0)</f>
        <v>0</v>
      </c>
      <c r="AQ16" s="10">
        <f>IF(預測IC!AQ16&gt;預測IC!AQ$25,1,0)</f>
        <v>0</v>
      </c>
      <c r="AR16" s="10">
        <f>IF(預測IC!AR16&gt;預測IC!AR$25,1,0)</f>
        <v>0</v>
      </c>
      <c r="AS16" s="10">
        <f>IF(預測IC!AS16&gt;預測IC!AS$25,1,0)</f>
        <v>1</v>
      </c>
      <c r="AT16" s="10">
        <f>IF(預測IC!AT16&gt;預測IC!AT$25,1,0)</f>
        <v>1</v>
      </c>
      <c r="AU16" s="10">
        <f>IF(預測IC!AU16&gt;預測IC!AU$25,1,0)</f>
        <v>1</v>
      </c>
      <c r="AV16" s="10">
        <f>IF(預測IC!AV16&gt;預測IC!AV$25,1,0)</f>
        <v>1</v>
      </c>
      <c r="AW16" s="10">
        <f>IF(預測IC!AW16&gt;預測IC!AW$25,1,0)</f>
        <v>1</v>
      </c>
      <c r="AX16" s="10">
        <f>IF(預測IC!AX16&gt;預測IC!AX$25,1,0)</f>
        <v>1</v>
      </c>
      <c r="AY16" s="10">
        <f>IF(預測IC!AY16&gt;預測IC!AY$25,1,0)</f>
        <v>1</v>
      </c>
      <c r="AZ16" s="10">
        <f>IF(預測IC!AZ16&gt;預測IC!AZ$25,1,0)</f>
        <v>1</v>
      </c>
      <c r="BA16" s="10">
        <f>IF(預測IC!BA16&gt;預測IC!BA$25,1,0)</f>
        <v>0</v>
      </c>
      <c r="BB16" s="10">
        <f>IF(預測IC!BB16&gt;預測IC!BB$25,1,0)</f>
        <v>1</v>
      </c>
      <c r="BC16" s="10">
        <f>IF(預測IC!BC16&gt;預測IC!BC$25,1,0)</f>
        <v>1</v>
      </c>
      <c r="BD16" s="10">
        <f>IF(預測IC!BD16&gt;預測IC!BD$25,1,0)</f>
        <v>1</v>
      </c>
      <c r="BE16" s="10">
        <f>IF(預測IC!BE16&gt;預測IC!BE$25,1,0)</f>
        <v>0</v>
      </c>
      <c r="BF16" s="10">
        <f>IF(預測IC!BF16&gt;預測IC!BF$25,1,0)</f>
        <v>0</v>
      </c>
      <c r="BG16" s="10">
        <f>IF(預測IC!BG16&gt;預測IC!BG$25,1,0)</f>
        <v>0</v>
      </c>
      <c r="BH16" s="10">
        <f>IF(預測IC!BH16&gt;預測IC!BH$25,1,0)</f>
        <v>1</v>
      </c>
      <c r="BI16" s="10">
        <f>IF(預測IC!BI16&gt;預測IC!BI$25,1,0)</f>
        <v>0</v>
      </c>
      <c r="BJ16" s="10">
        <f>IF(預測IC!BJ16&gt;預測IC!BJ$25,1,0)</f>
        <v>1</v>
      </c>
      <c r="BK16" s="10">
        <f>IF(預測IC!BK16&gt;預測IC!BK$25,1,0)</f>
        <v>0</v>
      </c>
      <c r="BL16" s="10">
        <f>IF(預測IC!BL16&gt;預測IC!BL$25,1,0)</f>
        <v>0</v>
      </c>
      <c r="BM16" s="10">
        <f>IF(預測IC!BM16&gt;預測IC!BM$25,1,0)</f>
        <v>0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1</v>
      </c>
      <c r="BQ16" s="10">
        <f>IF(預測IC!BQ16&gt;預測IC!BQ$25,1,0)</f>
        <v>0</v>
      </c>
      <c r="BR16" s="10">
        <f>IF(預測IC!BR16&gt;預測IC!BR$25,1,0)</f>
        <v>1</v>
      </c>
      <c r="BS16" s="10">
        <f>IF(預測IC!BS16&gt;預測IC!BS$25,1,0)</f>
        <v>0</v>
      </c>
      <c r="BT16" s="10">
        <f>IF(預測IC!BT16&gt;預測IC!BT$25,1,0)</f>
        <v>0</v>
      </c>
      <c r="BU16" s="10">
        <f>IF(預測IC!BU16&gt;預測IC!BU$25,1,0)</f>
        <v>0</v>
      </c>
      <c r="BV16" s="10">
        <f>IF(預測IC!BV16&gt;預測IC!BV$25,1,0)</f>
        <v>1</v>
      </c>
      <c r="BW16" s="10">
        <f>IF(預測IC!BW16&gt;預測IC!BW$25,1,0)</f>
        <v>1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1</v>
      </c>
      <c r="CA16" s="10">
        <f>IF(預測IC!CA16&gt;預測IC!CA$25,1,0)</f>
        <v>1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1</v>
      </c>
      <c r="CF16" s="10">
        <f>IF(預測IC!CF16&gt;預測IC!CF$25,1,0)</f>
        <v>1</v>
      </c>
      <c r="CG16" s="10">
        <f>IF(預測IC!CG16&gt;預測IC!CG$25,1,0)</f>
        <v>1</v>
      </c>
      <c r="CH16" s="10">
        <f>IF(預測IC!CH16&gt;預測IC!CH$25,1,0)</f>
        <v>0</v>
      </c>
      <c r="CI16" s="10">
        <f>IF(預測IC!CI16&gt;預測IC!CI$25,1,0)</f>
        <v>0</v>
      </c>
      <c r="CJ16" s="10">
        <f>IF(預測IC!CJ16&gt;預測IC!CJ$25,1,0)</f>
        <v>0</v>
      </c>
      <c r="CK16" s="10">
        <f>IF(預測IC!CK16&gt;預測IC!CK$25,1,0)</f>
        <v>0</v>
      </c>
      <c r="CL16" s="10">
        <f>IF(預測IC!CL16&gt;預測IC!CL$25,1,0)</f>
        <v>0</v>
      </c>
      <c r="CM16" s="10">
        <f>IF(預測IC!CM16&gt;預測IC!CM$25,1,0)</f>
        <v>1</v>
      </c>
      <c r="CN16" s="10">
        <f>IF(預測IC!CN16&gt;預測IC!CN$25,1,0)</f>
        <v>1</v>
      </c>
      <c r="CO16" s="10">
        <f>IF(預測IC!CO16&gt;預測IC!CO$25,1,0)</f>
        <v>1</v>
      </c>
      <c r="CP16" s="10">
        <f>IF(預測IC!CP16&gt;預測IC!CP$25,1,0)</f>
        <v>0</v>
      </c>
      <c r="CQ16" s="10">
        <f>IF(預測IC!CQ16&gt;預測IC!CQ$25,1,0)</f>
        <v>1</v>
      </c>
      <c r="CR16" s="10">
        <f>IF(預測IC!CR16&gt;預測IC!CR$25,1,0)</f>
        <v>0</v>
      </c>
      <c r="CS16" s="10">
        <f>IF(預測IC!CS16&gt;預測IC!CS$25,1,0)</f>
        <v>0</v>
      </c>
      <c r="CT16" s="10">
        <f>IF(預測IC!CT16&gt;預測IC!CT$25,1,0)</f>
        <v>0</v>
      </c>
      <c r="CU16" s="10">
        <f>IF(預測IC!CU16&gt;預測IC!CU$25,1,0)</f>
        <v>1</v>
      </c>
      <c r="CV16" s="10">
        <f>IF(預測IC!CV16&gt;預測IC!CV$25,1,0)</f>
        <v>0</v>
      </c>
      <c r="CW16" s="10">
        <f>IF(預測IC!CW16&gt;預測IC!CW$25,1,0)</f>
        <v>1</v>
      </c>
      <c r="CX16" s="10">
        <f>IF(預測IC!CX16&gt;預測IC!CX$25,1,0)</f>
        <v>1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0</v>
      </c>
      <c r="DB16" s="10">
        <f>IF(預測IC!DB16&gt;預測IC!DB$25,1,0)</f>
        <v>1</v>
      </c>
      <c r="DC16" s="10">
        <f>IF(預測IC!DC16&gt;預測IC!DC$25,1,0)</f>
        <v>1</v>
      </c>
      <c r="DD16" s="10">
        <f>IF(預測IC!DD16&gt;預測IC!DD$25,1,0)</f>
        <v>0</v>
      </c>
      <c r="DE16" s="10">
        <f>IF(預測IC!DE16&gt;預測IC!DE$25,1,0)</f>
        <v>0</v>
      </c>
      <c r="DF16" s="10">
        <f>IF(預測IC!DF16&gt;預測IC!DF$25,1,0)</f>
        <v>0</v>
      </c>
      <c r="DG16" s="10">
        <f>IF(預測IC!DG16&gt;預測IC!DG$25,1,0)</f>
        <v>0</v>
      </c>
      <c r="DH16" s="10">
        <f>IF(預測IC!DH16&gt;預測IC!DH$25,1,0)</f>
        <v>1</v>
      </c>
      <c r="DI16" s="10">
        <f>IF(預測IC!DI16&gt;預測IC!DI$25,1,0)</f>
        <v>0</v>
      </c>
      <c r="DJ16" s="10">
        <f>IF(預測IC!DJ16&gt;預測IC!DJ$25,1,0)</f>
        <v>1</v>
      </c>
      <c r="DK16" s="10">
        <f>IF(預測IC!DK16&gt;預測IC!DK$25,1,0)</f>
        <v>0</v>
      </c>
      <c r="DL16" s="10">
        <f>IF(預測IC!DL16&gt;預測IC!DL$25,1,0)</f>
        <v>0</v>
      </c>
      <c r="DM16" s="10">
        <f>IF(預測IC!DM16&gt;預測IC!DM$25,1,0)</f>
        <v>0</v>
      </c>
      <c r="DN16" s="10">
        <f>IF(預測IC!DN16&gt;預測IC!DN$25,1,0)</f>
        <v>0</v>
      </c>
      <c r="DO16" s="10">
        <f>IF(預測IC!DO16&gt;預測IC!DO$25,1,0)</f>
        <v>1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0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1</v>
      </c>
      <c r="DW16" s="10">
        <f>IF(預測IC!DW16&gt;預測IC!DW$25,1,0)</f>
        <v>0</v>
      </c>
      <c r="DX16" s="10">
        <f>IF(預測IC!DX16&gt;預測IC!DX$25,1,0)</f>
        <v>0</v>
      </c>
      <c r="DY16" s="10">
        <f>IF(預測IC!DY16&gt;預測IC!DY$25,1,0)</f>
        <v>1</v>
      </c>
      <c r="DZ16" s="10">
        <f>IF(預測IC!DZ16&gt;預測IC!DZ$25,1,0)</f>
        <v>0</v>
      </c>
      <c r="EA16" s="10">
        <f>IF(預測IC!EA16&gt;預測IC!EA$25,1,0)</f>
        <v>0</v>
      </c>
      <c r="EB16" s="10">
        <f>IF(預測IC!EB16&gt;預測IC!EB$25,1,0)</f>
        <v>0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1</v>
      </c>
      <c r="EG16" s="10">
        <f>IF(預測IC!EG16&gt;預測IC!EG$25,1,0)</f>
        <v>1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0</v>
      </c>
      <c r="EL16" s="10">
        <f>IF(預測IC!EL16&gt;預測IC!EL$25,1,0)</f>
        <v>0</v>
      </c>
      <c r="EM16" s="6">
        <f t="shared" si="11"/>
        <v>73</v>
      </c>
      <c r="EN16" s="20">
        <f t="shared" si="12"/>
        <v>0.52142857142857146</v>
      </c>
    </row>
    <row r="17" spans="1:144" x14ac:dyDescent="0.3">
      <c r="A17" s="19">
        <v>130</v>
      </c>
      <c r="B17" s="19">
        <f t="shared" si="10"/>
        <v>8</v>
      </c>
      <c r="C17" s="10">
        <f>IF(預測IC!C17&gt;預測IC!C$25,1,0)</f>
        <v>1</v>
      </c>
      <c r="D17" s="10">
        <f>IF(預測IC!D17&gt;預測IC!D$25,1,0)</f>
        <v>1</v>
      </c>
      <c r="E17" s="10">
        <f>IF(預測IC!E17&gt;預測IC!E$25,1,0)</f>
        <v>0</v>
      </c>
      <c r="F17" s="10">
        <f>IF(預測IC!F17&gt;預測IC!F$25,1,0)</f>
        <v>0</v>
      </c>
      <c r="G17" s="10">
        <f>IF(預測IC!G17&gt;預測IC!G$25,1,0)</f>
        <v>0</v>
      </c>
      <c r="H17" s="10">
        <f>IF(預測IC!H17&gt;預測IC!H$25,1,0)</f>
        <v>1</v>
      </c>
      <c r="I17" s="10">
        <f>IF(預測IC!I17&gt;預測IC!I$25,1,0)</f>
        <v>1</v>
      </c>
      <c r="J17" s="10">
        <f>IF(預測IC!J17&gt;預測IC!J$25,1,0)</f>
        <v>1</v>
      </c>
      <c r="K17" s="10">
        <f>IF(預測IC!K17&gt;預測IC!K$25,1,0)</f>
        <v>1</v>
      </c>
      <c r="L17" s="10">
        <f>IF(預測IC!L17&gt;預測IC!L$25,1,0)</f>
        <v>0</v>
      </c>
      <c r="M17" s="10">
        <f>IF(預測IC!M17&gt;預測IC!M$25,1,0)</f>
        <v>1</v>
      </c>
      <c r="N17" s="10">
        <f>IF(預測IC!N17&gt;預測IC!N$25,1,0)</f>
        <v>0</v>
      </c>
      <c r="O17" s="10">
        <f>IF(預測IC!O17&gt;預測IC!O$25,1,0)</f>
        <v>1</v>
      </c>
      <c r="P17" s="10">
        <f>IF(預測IC!P17&gt;預測IC!P$25,1,0)</f>
        <v>1</v>
      </c>
      <c r="Q17" s="10">
        <f>IF(預測IC!Q17&gt;預測IC!Q$25,1,0)</f>
        <v>0</v>
      </c>
      <c r="R17" s="10">
        <f>IF(預測IC!R17&gt;預測IC!R$25,1,0)</f>
        <v>1</v>
      </c>
      <c r="S17" s="10">
        <f>IF(預測IC!S17&gt;預測IC!S$25,1,0)</f>
        <v>0</v>
      </c>
      <c r="T17" s="10">
        <f>IF(預測IC!T17&gt;預測IC!T$25,1,0)</f>
        <v>1</v>
      </c>
      <c r="U17" s="10">
        <f>IF(預測IC!U17&gt;預測IC!U$25,1,0)</f>
        <v>0</v>
      </c>
      <c r="V17" s="10">
        <f>IF(預測IC!V17&gt;預測IC!V$25,1,0)</f>
        <v>1</v>
      </c>
      <c r="W17" s="10">
        <f>IF(預測IC!W17&gt;預測IC!W$25,1,0)</f>
        <v>1</v>
      </c>
      <c r="X17" s="10">
        <f>IF(預測IC!X17&gt;預測IC!X$25,1,0)</f>
        <v>1</v>
      </c>
      <c r="Y17" s="10">
        <f>IF(預測IC!Y17&gt;預測IC!Y$25,1,0)</f>
        <v>1</v>
      </c>
      <c r="Z17" s="10">
        <f>IF(預測IC!Z17&gt;預測IC!Z$25,1,0)</f>
        <v>1</v>
      </c>
      <c r="AA17" s="10">
        <f>IF(預測IC!AA17&gt;預測IC!AA$25,1,0)</f>
        <v>0</v>
      </c>
      <c r="AB17" s="10">
        <f>IF(預測IC!AB17&gt;預測IC!AB$25,1,0)</f>
        <v>1</v>
      </c>
      <c r="AC17" s="10">
        <f>IF(預測IC!AC17&gt;預測IC!AC$25,1,0)</f>
        <v>0</v>
      </c>
      <c r="AD17" s="10">
        <f>IF(預測IC!AD17&gt;預測IC!AD$25,1,0)</f>
        <v>1</v>
      </c>
      <c r="AE17" s="10">
        <f>IF(預測IC!AE17&gt;預測IC!AE$25,1,0)</f>
        <v>1</v>
      </c>
      <c r="AF17" s="10">
        <f>IF(預測IC!AF17&gt;預測IC!AF$25,1,0)</f>
        <v>0</v>
      </c>
      <c r="AG17" s="10">
        <f>IF(預測IC!AG17&gt;預測IC!AG$25,1,0)</f>
        <v>0</v>
      </c>
      <c r="AH17" s="10">
        <f>IF(預測IC!AH17&gt;預測IC!AH$25,1,0)</f>
        <v>1</v>
      </c>
      <c r="AI17" s="10">
        <f>IF(預測IC!AI17&gt;預測IC!AI$25,1,0)</f>
        <v>1</v>
      </c>
      <c r="AJ17" s="10">
        <f>IF(預測IC!AJ17&gt;預測IC!AJ$25,1,0)</f>
        <v>1</v>
      </c>
      <c r="AK17" s="10">
        <f>IF(預測IC!AK17&gt;預測IC!AK$25,1,0)</f>
        <v>1</v>
      </c>
      <c r="AL17" s="10">
        <f>IF(預測IC!AL17&gt;預測IC!AL$25,1,0)</f>
        <v>0</v>
      </c>
      <c r="AM17" s="10">
        <f>IF(預測IC!AM17&gt;預測IC!AM$25,1,0)</f>
        <v>1</v>
      </c>
      <c r="AN17" s="10">
        <f>IF(預測IC!AN17&gt;預測IC!AN$25,1,0)</f>
        <v>1</v>
      </c>
      <c r="AO17" s="10">
        <f>IF(預測IC!AO17&gt;預測IC!AO$25,1,0)</f>
        <v>1</v>
      </c>
      <c r="AP17" s="10">
        <f>IF(預測IC!AP17&gt;預測IC!AP$25,1,0)</f>
        <v>0</v>
      </c>
      <c r="AQ17" s="10">
        <f>IF(預測IC!AQ17&gt;預測IC!AQ$25,1,0)</f>
        <v>0</v>
      </c>
      <c r="AR17" s="10">
        <f>IF(預測IC!AR17&gt;預測IC!AR$25,1,0)</f>
        <v>0</v>
      </c>
      <c r="AS17" s="10">
        <f>IF(預測IC!AS17&gt;預測IC!AS$25,1,0)</f>
        <v>1</v>
      </c>
      <c r="AT17" s="10">
        <f>IF(預測IC!AT17&gt;預測IC!AT$25,1,0)</f>
        <v>0</v>
      </c>
      <c r="AU17" s="10">
        <f>IF(預測IC!AU17&gt;預測IC!AU$25,1,0)</f>
        <v>1</v>
      </c>
      <c r="AV17" s="10">
        <f>IF(預測IC!AV17&gt;預測IC!AV$25,1,0)</f>
        <v>1</v>
      </c>
      <c r="AW17" s="10">
        <f>IF(預測IC!AW17&gt;預測IC!AW$25,1,0)</f>
        <v>1</v>
      </c>
      <c r="AX17" s="10">
        <f>IF(預測IC!AX17&gt;預測IC!AX$25,1,0)</f>
        <v>1</v>
      </c>
      <c r="AY17" s="10">
        <f>IF(預測IC!AY17&gt;預測IC!AY$25,1,0)</f>
        <v>1</v>
      </c>
      <c r="AZ17" s="10">
        <f>IF(預測IC!AZ17&gt;預測IC!AZ$25,1,0)</f>
        <v>1</v>
      </c>
      <c r="BA17" s="10">
        <f>IF(預測IC!BA17&gt;預測IC!BA$25,1,0)</f>
        <v>0</v>
      </c>
      <c r="BB17" s="10">
        <f>IF(預測IC!BB17&gt;預測IC!BB$25,1,0)</f>
        <v>1</v>
      </c>
      <c r="BC17" s="10">
        <f>IF(預測IC!BC17&gt;預測IC!BC$25,1,0)</f>
        <v>1</v>
      </c>
      <c r="BD17" s="10">
        <f>IF(預測IC!BD17&gt;預測IC!BD$25,1,0)</f>
        <v>0</v>
      </c>
      <c r="BE17" s="10">
        <f>IF(預測IC!BE17&gt;預測IC!BE$25,1,0)</f>
        <v>0</v>
      </c>
      <c r="BF17" s="10">
        <f>IF(預測IC!BF17&gt;預測IC!BF$25,1,0)</f>
        <v>1</v>
      </c>
      <c r="BG17" s="10">
        <f>IF(預測IC!BG17&gt;預測IC!BG$25,1,0)</f>
        <v>0</v>
      </c>
      <c r="BH17" s="10">
        <f>IF(預測IC!BH17&gt;預測IC!BH$25,1,0)</f>
        <v>1</v>
      </c>
      <c r="BI17" s="10">
        <f>IF(預測IC!BI17&gt;預測IC!BI$25,1,0)</f>
        <v>0</v>
      </c>
      <c r="BJ17" s="10">
        <f>IF(預測IC!BJ17&gt;預測IC!BJ$25,1,0)</f>
        <v>1</v>
      </c>
      <c r="BK17" s="10">
        <f>IF(預測IC!BK17&gt;預測IC!BK$25,1,0)</f>
        <v>0</v>
      </c>
      <c r="BL17" s="10">
        <f>IF(預測IC!BL17&gt;預測IC!BL$25,1,0)</f>
        <v>0</v>
      </c>
      <c r="BM17" s="10">
        <f>IF(預測IC!BM17&gt;預測IC!BM$25,1,0)</f>
        <v>0</v>
      </c>
      <c r="BN17" s="10">
        <f>IF(預測IC!BN17&gt;預測IC!BN$25,1,0)</f>
        <v>1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0</v>
      </c>
      <c r="BR17" s="10">
        <f>IF(預測IC!BR17&gt;預測IC!BR$25,1,0)</f>
        <v>1</v>
      </c>
      <c r="BS17" s="10">
        <f>IF(預測IC!BS17&gt;預測IC!BS$25,1,0)</f>
        <v>0</v>
      </c>
      <c r="BT17" s="10">
        <f>IF(預測IC!BT17&gt;預測IC!BT$25,1,0)</f>
        <v>0</v>
      </c>
      <c r="BU17" s="10">
        <f>IF(預測IC!BU17&gt;預測IC!BU$25,1,0)</f>
        <v>0</v>
      </c>
      <c r="BV17" s="10">
        <f>IF(預測IC!BV17&gt;預測IC!BV$25,1,0)</f>
        <v>1</v>
      </c>
      <c r="BW17" s="10">
        <f>IF(預測IC!BW17&gt;預測IC!BW$25,1,0)</f>
        <v>1</v>
      </c>
      <c r="BX17" s="10">
        <f>IF(預測IC!BX17&gt;預測IC!BX$25,1,0)</f>
        <v>1</v>
      </c>
      <c r="BY17" s="10">
        <f>IF(預測IC!BY17&gt;預測IC!BY$25,1,0)</f>
        <v>1</v>
      </c>
      <c r="BZ17" s="10">
        <f>IF(預測IC!BZ17&gt;預測IC!BZ$25,1,0)</f>
        <v>0</v>
      </c>
      <c r="CA17" s="10">
        <f>IF(預測IC!CA17&gt;預測IC!CA$25,1,0)</f>
        <v>1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1</v>
      </c>
      <c r="CF17" s="10">
        <f>IF(預測IC!CF17&gt;預測IC!CF$25,1,0)</f>
        <v>1</v>
      </c>
      <c r="CG17" s="10">
        <f>IF(預測IC!CG17&gt;預測IC!CG$25,1,0)</f>
        <v>1</v>
      </c>
      <c r="CH17" s="10">
        <f>IF(預測IC!CH17&gt;預測IC!CH$25,1,0)</f>
        <v>0</v>
      </c>
      <c r="CI17" s="10">
        <f>IF(預測IC!CI17&gt;預測IC!CI$25,1,0)</f>
        <v>0</v>
      </c>
      <c r="CJ17" s="10">
        <f>IF(預測IC!CJ17&gt;預測IC!CJ$25,1,0)</f>
        <v>0</v>
      </c>
      <c r="CK17" s="10">
        <f>IF(預測IC!CK17&gt;預測IC!CK$25,1,0)</f>
        <v>0</v>
      </c>
      <c r="CL17" s="10">
        <f>IF(預測IC!CL17&gt;預測IC!CL$25,1,0)</f>
        <v>0</v>
      </c>
      <c r="CM17" s="10">
        <f>IF(預測IC!CM17&gt;預測IC!CM$25,1,0)</f>
        <v>1</v>
      </c>
      <c r="CN17" s="10">
        <f>IF(預測IC!CN17&gt;預測IC!CN$25,1,0)</f>
        <v>1</v>
      </c>
      <c r="CO17" s="10">
        <f>IF(預測IC!CO17&gt;預測IC!CO$25,1,0)</f>
        <v>1</v>
      </c>
      <c r="CP17" s="10">
        <f>IF(預測IC!CP17&gt;預測IC!CP$25,1,0)</f>
        <v>0</v>
      </c>
      <c r="CQ17" s="10">
        <f>IF(預測IC!CQ17&gt;預測IC!CQ$25,1,0)</f>
        <v>1</v>
      </c>
      <c r="CR17" s="10">
        <f>IF(預測IC!CR17&gt;預測IC!CR$25,1,0)</f>
        <v>1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1</v>
      </c>
      <c r="CV17" s="10">
        <f>IF(預測IC!CV17&gt;預測IC!CV$25,1,0)</f>
        <v>0</v>
      </c>
      <c r="CW17" s="10">
        <f>IF(預測IC!CW17&gt;預測IC!CW$25,1,0)</f>
        <v>1</v>
      </c>
      <c r="CX17" s="10">
        <f>IF(預測IC!CX17&gt;預測IC!CX$25,1,0)</f>
        <v>1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0</v>
      </c>
      <c r="DB17" s="10">
        <f>IF(預測IC!DB17&gt;預測IC!DB$25,1,0)</f>
        <v>1</v>
      </c>
      <c r="DC17" s="10">
        <f>IF(預測IC!DC17&gt;預測IC!DC$25,1,0)</f>
        <v>1</v>
      </c>
      <c r="DD17" s="10">
        <f>IF(預測IC!DD17&gt;預測IC!DD$25,1,0)</f>
        <v>0</v>
      </c>
      <c r="DE17" s="10">
        <f>IF(預測IC!DE17&gt;預測IC!DE$25,1,0)</f>
        <v>0</v>
      </c>
      <c r="DF17" s="10">
        <f>IF(預測IC!DF17&gt;預測IC!DF$25,1,0)</f>
        <v>0</v>
      </c>
      <c r="DG17" s="10">
        <f>IF(預測IC!DG17&gt;預測IC!DG$25,1,0)</f>
        <v>0</v>
      </c>
      <c r="DH17" s="10">
        <f>IF(預測IC!DH17&gt;預測IC!DH$25,1,0)</f>
        <v>1</v>
      </c>
      <c r="DI17" s="10">
        <f>IF(預測IC!DI17&gt;預測IC!DI$25,1,0)</f>
        <v>0</v>
      </c>
      <c r="DJ17" s="10">
        <f>IF(預測IC!DJ17&gt;預測IC!DJ$25,1,0)</f>
        <v>1</v>
      </c>
      <c r="DK17" s="10">
        <f>IF(預測IC!DK17&gt;預測IC!DK$25,1,0)</f>
        <v>0</v>
      </c>
      <c r="DL17" s="10">
        <f>IF(預測IC!DL17&gt;預測IC!DL$25,1,0)</f>
        <v>0</v>
      </c>
      <c r="DM17" s="10">
        <f>IF(預測IC!DM17&gt;預測IC!DM$25,1,0)</f>
        <v>0</v>
      </c>
      <c r="DN17" s="10">
        <f>IF(預測IC!DN17&gt;預測IC!DN$25,1,0)</f>
        <v>0</v>
      </c>
      <c r="DO17" s="10">
        <f>IF(預測IC!DO17&gt;預測IC!DO$25,1,0)</f>
        <v>1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0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1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1</v>
      </c>
      <c r="DZ17" s="10">
        <f>IF(預測IC!DZ17&gt;預測IC!DZ$25,1,0)</f>
        <v>0</v>
      </c>
      <c r="EA17" s="10">
        <f>IF(預測IC!EA17&gt;預測IC!EA$25,1,0)</f>
        <v>1</v>
      </c>
      <c r="EB17" s="10">
        <f>IF(預測IC!EB17&gt;預測IC!EB$25,1,0)</f>
        <v>0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0</v>
      </c>
      <c r="EF17" s="10">
        <f>IF(預測IC!EF17&gt;預測IC!EF$25,1,0)</f>
        <v>1</v>
      </c>
      <c r="EG17" s="10">
        <f>IF(預測IC!EG17&gt;預測IC!EG$25,1,0)</f>
        <v>1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0</v>
      </c>
      <c r="EL17" s="10">
        <f>IF(預測IC!EL17&gt;預測IC!EL$25,1,0)</f>
        <v>0</v>
      </c>
      <c r="EM17" s="6">
        <f t="shared" si="11"/>
        <v>73</v>
      </c>
      <c r="EN17" s="20">
        <f t="shared" si="12"/>
        <v>0.52142857142857146</v>
      </c>
    </row>
    <row r="18" spans="1:144" x14ac:dyDescent="0.3">
      <c r="A18" s="19">
        <v>150</v>
      </c>
      <c r="B18" s="19">
        <f t="shared" si="10"/>
        <v>7</v>
      </c>
      <c r="C18" s="10">
        <f>IF(預測IC!C18&gt;預測IC!C$25,1,0)</f>
        <v>1</v>
      </c>
      <c r="D18" s="10">
        <f>IF(預測IC!D18&gt;預測IC!D$25,1,0)</f>
        <v>1</v>
      </c>
      <c r="E18" s="10">
        <f>IF(預測IC!E18&gt;預測IC!E$25,1,0)</f>
        <v>0</v>
      </c>
      <c r="F18" s="10">
        <f>IF(預測IC!F18&gt;預測IC!F$25,1,0)</f>
        <v>0</v>
      </c>
      <c r="G18" s="10">
        <f>IF(預測IC!G18&gt;預測IC!G$25,1,0)</f>
        <v>0</v>
      </c>
      <c r="H18" s="10">
        <f>IF(預測IC!H18&gt;預測IC!H$25,1,0)</f>
        <v>1</v>
      </c>
      <c r="I18" s="10">
        <f>IF(預測IC!I18&gt;預測IC!I$25,1,0)</f>
        <v>1</v>
      </c>
      <c r="J18" s="10">
        <f>IF(預測IC!J18&gt;預測IC!J$25,1,0)</f>
        <v>1</v>
      </c>
      <c r="K18" s="10">
        <f>IF(預測IC!K18&gt;預測IC!K$25,1,0)</f>
        <v>1</v>
      </c>
      <c r="L18" s="10">
        <f>IF(預測IC!L18&gt;預測IC!L$25,1,0)</f>
        <v>0</v>
      </c>
      <c r="M18" s="10">
        <f>IF(預測IC!M18&gt;預測IC!M$25,1,0)</f>
        <v>1</v>
      </c>
      <c r="N18" s="10">
        <f>IF(預測IC!N18&gt;預測IC!N$25,1,0)</f>
        <v>0</v>
      </c>
      <c r="O18" s="10">
        <f>IF(預測IC!O18&gt;預測IC!O$25,1,0)</f>
        <v>0</v>
      </c>
      <c r="P18" s="10">
        <f>IF(預測IC!P18&gt;預測IC!P$25,1,0)</f>
        <v>1</v>
      </c>
      <c r="Q18" s="10">
        <f>IF(預測IC!Q18&gt;預測IC!Q$25,1,0)</f>
        <v>0</v>
      </c>
      <c r="R18" s="10">
        <f>IF(預測IC!R18&gt;預測IC!R$25,1,0)</f>
        <v>1</v>
      </c>
      <c r="S18" s="10">
        <f>IF(預測IC!S18&gt;預測IC!S$25,1,0)</f>
        <v>0</v>
      </c>
      <c r="T18" s="10">
        <f>IF(預測IC!T18&gt;預測IC!T$25,1,0)</f>
        <v>1</v>
      </c>
      <c r="U18" s="10">
        <f>IF(預測IC!U18&gt;預測IC!U$25,1,0)</f>
        <v>0</v>
      </c>
      <c r="V18" s="10">
        <f>IF(預測IC!V18&gt;預測IC!V$25,1,0)</f>
        <v>1</v>
      </c>
      <c r="W18" s="10">
        <f>IF(預測IC!W18&gt;預測IC!W$25,1,0)</f>
        <v>1</v>
      </c>
      <c r="X18" s="10">
        <f>IF(預測IC!X18&gt;預測IC!X$25,1,0)</f>
        <v>1</v>
      </c>
      <c r="Y18" s="10">
        <f>IF(預測IC!Y18&gt;預測IC!Y$25,1,0)</f>
        <v>1</v>
      </c>
      <c r="Z18" s="10">
        <f>IF(預測IC!Z18&gt;預測IC!Z$25,1,0)</f>
        <v>1</v>
      </c>
      <c r="AA18" s="10">
        <f>IF(預測IC!AA18&gt;預測IC!AA$25,1,0)</f>
        <v>0</v>
      </c>
      <c r="AB18" s="10">
        <f>IF(預測IC!AB18&gt;預測IC!AB$25,1,0)</f>
        <v>1</v>
      </c>
      <c r="AC18" s="10">
        <f>IF(預測IC!AC18&gt;預測IC!AC$25,1,0)</f>
        <v>0</v>
      </c>
      <c r="AD18" s="10">
        <f>IF(預測IC!AD18&gt;預測IC!AD$25,1,0)</f>
        <v>1</v>
      </c>
      <c r="AE18" s="10">
        <f>IF(預測IC!AE18&gt;預測IC!AE$25,1,0)</f>
        <v>0</v>
      </c>
      <c r="AF18" s="10">
        <f>IF(預測IC!AF18&gt;預測IC!AF$25,1,0)</f>
        <v>0</v>
      </c>
      <c r="AG18" s="10">
        <f>IF(預測IC!AG18&gt;預測IC!AG$25,1,0)</f>
        <v>1</v>
      </c>
      <c r="AH18" s="10">
        <f>IF(預測IC!AH18&gt;預測IC!AH$25,1,0)</f>
        <v>0</v>
      </c>
      <c r="AI18" s="10">
        <f>IF(預測IC!AI18&gt;預測IC!AI$25,1,0)</f>
        <v>1</v>
      </c>
      <c r="AJ18" s="10">
        <f>IF(預測IC!AJ18&gt;預測IC!AJ$25,1,0)</f>
        <v>1</v>
      </c>
      <c r="AK18" s="10">
        <f>IF(預測IC!AK18&gt;預測IC!AK$25,1,0)</f>
        <v>1</v>
      </c>
      <c r="AL18" s="10">
        <f>IF(預測IC!AL18&gt;預測IC!AL$25,1,0)</f>
        <v>0</v>
      </c>
      <c r="AM18" s="10">
        <f>IF(預測IC!AM18&gt;預測IC!AM$25,1,0)</f>
        <v>1</v>
      </c>
      <c r="AN18" s="10">
        <f>IF(預測IC!AN18&gt;預測IC!AN$25,1,0)</f>
        <v>1</v>
      </c>
      <c r="AO18" s="10">
        <f>IF(預測IC!AO18&gt;預測IC!AO$25,1,0)</f>
        <v>1</v>
      </c>
      <c r="AP18" s="10">
        <f>IF(預測IC!AP18&gt;預測IC!AP$25,1,0)</f>
        <v>0</v>
      </c>
      <c r="AQ18" s="10">
        <f>IF(預測IC!AQ18&gt;預測IC!AQ$25,1,0)</f>
        <v>0</v>
      </c>
      <c r="AR18" s="10">
        <f>IF(預測IC!AR18&gt;預測IC!AR$25,1,0)</f>
        <v>0</v>
      </c>
      <c r="AS18" s="10">
        <f>IF(預測IC!AS18&gt;預測IC!AS$25,1,0)</f>
        <v>1</v>
      </c>
      <c r="AT18" s="10">
        <f>IF(預測IC!AT18&gt;預測IC!AT$25,1,0)</f>
        <v>0</v>
      </c>
      <c r="AU18" s="10">
        <f>IF(預測IC!AU18&gt;預測IC!AU$25,1,0)</f>
        <v>1</v>
      </c>
      <c r="AV18" s="10">
        <f>IF(預測IC!AV18&gt;預測IC!AV$25,1,0)</f>
        <v>1</v>
      </c>
      <c r="AW18" s="10">
        <f>IF(預測IC!AW18&gt;預測IC!AW$25,1,0)</f>
        <v>1</v>
      </c>
      <c r="AX18" s="10">
        <f>IF(預測IC!AX18&gt;預測IC!AX$25,1,0)</f>
        <v>1</v>
      </c>
      <c r="AY18" s="10">
        <f>IF(預測IC!AY18&gt;預測IC!AY$25,1,0)</f>
        <v>1</v>
      </c>
      <c r="AZ18" s="10">
        <f>IF(預測IC!AZ18&gt;預測IC!AZ$25,1,0)</f>
        <v>1</v>
      </c>
      <c r="BA18" s="10">
        <f>IF(預測IC!BA18&gt;預測IC!BA$25,1,0)</f>
        <v>1</v>
      </c>
      <c r="BB18" s="10">
        <f>IF(預測IC!BB18&gt;預測IC!BB$25,1,0)</f>
        <v>1</v>
      </c>
      <c r="BC18" s="10">
        <f>IF(預測IC!BC18&gt;預測IC!BC$25,1,0)</f>
        <v>1</v>
      </c>
      <c r="BD18" s="10">
        <f>IF(預測IC!BD18&gt;預測IC!BD$25,1,0)</f>
        <v>0</v>
      </c>
      <c r="BE18" s="10">
        <f>IF(預測IC!BE18&gt;預測IC!BE$25,1,0)</f>
        <v>0</v>
      </c>
      <c r="BF18" s="10">
        <f>IF(預測IC!BF18&gt;預測IC!BF$25,1,0)</f>
        <v>0</v>
      </c>
      <c r="BG18" s="10">
        <f>IF(預測IC!BG18&gt;預測IC!BG$25,1,0)</f>
        <v>0</v>
      </c>
      <c r="BH18" s="10">
        <f>IF(預測IC!BH18&gt;預測IC!BH$25,1,0)</f>
        <v>1</v>
      </c>
      <c r="BI18" s="10">
        <f>IF(預測IC!BI18&gt;預測IC!BI$25,1,0)</f>
        <v>0</v>
      </c>
      <c r="BJ18" s="10">
        <f>IF(預測IC!BJ18&gt;預測IC!BJ$25,1,0)</f>
        <v>1</v>
      </c>
      <c r="BK18" s="10">
        <f>IF(預測IC!BK18&gt;預測IC!BK$25,1,0)</f>
        <v>0</v>
      </c>
      <c r="BL18" s="10">
        <f>IF(預測IC!BL18&gt;預測IC!BL$25,1,0)</f>
        <v>0</v>
      </c>
      <c r="BM18" s="10">
        <f>IF(預測IC!BM18&gt;預測IC!BM$25,1,0)</f>
        <v>0</v>
      </c>
      <c r="BN18" s="10">
        <f>IF(預測IC!BN18&gt;預測IC!BN$25,1,0)</f>
        <v>1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0</v>
      </c>
      <c r="BR18" s="10">
        <f>IF(預測IC!BR18&gt;預測IC!BR$25,1,0)</f>
        <v>1</v>
      </c>
      <c r="BS18" s="10">
        <f>IF(預測IC!BS18&gt;預測IC!BS$25,1,0)</f>
        <v>0</v>
      </c>
      <c r="BT18" s="10">
        <f>IF(預測IC!BT18&gt;預測IC!BT$25,1,0)</f>
        <v>0</v>
      </c>
      <c r="BU18" s="10">
        <f>IF(預測IC!BU18&gt;預測IC!BU$25,1,0)</f>
        <v>0</v>
      </c>
      <c r="BV18" s="10">
        <f>IF(預測IC!BV18&gt;預測IC!BV$25,1,0)</f>
        <v>1</v>
      </c>
      <c r="BW18" s="10">
        <f>IF(預測IC!BW18&gt;預測IC!BW$25,1,0)</f>
        <v>1</v>
      </c>
      <c r="BX18" s="10">
        <f>IF(預測IC!BX18&gt;預測IC!BX$25,1,0)</f>
        <v>1</v>
      </c>
      <c r="BY18" s="10">
        <f>IF(預測IC!BY18&gt;預測IC!BY$25,1,0)</f>
        <v>1</v>
      </c>
      <c r="BZ18" s="10">
        <f>IF(預測IC!BZ18&gt;預測IC!BZ$25,1,0)</f>
        <v>0</v>
      </c>
      <c r="CA18" s="10">
        <f>IF(預測IC!CA18&gt;預測IC!CA$25,1,0)</f>
        <v>1</v>
      </c>
      <c r="CB18" s="10">
        <f>IF(預測IC!CB18&gt;預測IC!CB$25,1,0)</f>
        <v>1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1</v>
      </c>
      <c r="CF18" s="10">
        <f>IF(預測IC!CF18&gt;預測IC!CF$25,1,0)</f>
        <v>1</v>
      </c>
      <c r="CG18" s="10">
        <f>IF(預測IC!CG18&gt;預測IC!CG$25,1,0)</f>
        <v>1</v>
      </c>
      <c r="CH18" s="10">
        <f>IF(預測IC!CH18&gt;預測IC!CH$25,1,0)</f>
        <v>0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0</v>
      </c>
      <c r="CL18" s="10">
        <f>IF(預測IC!CL18&gt;預測IC!CL$25,1,0)</f>
        <v>0</v>
      </c>
      <c r="CM18" s="10">
        <f>IF(預測IC!CM18&gt;預測IC!CM$25,1,0)</f>
        <v>0</v>
      </c>
      <c r="CN18" s="10">
        <f>IF(預測IC!CN18&gt;預測IC!CN$25,1,0)</f>
        <v>1</v>
      </c>
      <c r="CO18" s="10">
        <f>IF(預測IC!CO18&gt;預測IC!CO$25,1,0)</f>
        <v>1</v>
      </c>
      <c r="CP18" s="10">
        <f>IF(預測IC!CP18&gt;預測IC!CP$25,1,0)</f>
        <v>0</v>
      </c>
      <c r="CQ18" s="10">
        <f>IF(預測IC!CQ18&gt;預測IC!CQ$25,1,0)</f>
        <v>1</v>
      </c>
      <c r="CR18" s="10">
        <f>IF(預測IC!CR18&gt;預測IC!CR$25,1,0)</f>
        <v>1</v>
      </c>
      <c r="CS18" s="10">
        <f>IF(預測IC!CS18&gt;預測IC!CS$25,1,0)</f>
        <v>0</v>
      </c>
      <c r="CT18" s="10">
        <f>IF(預測IC!CT18&gt;預測IC!CT$25,1,0)</f>
        <v>0</v>
      </c>
      <c r="CU18" s="10">
        <f>IF(預測IC!CU18&gt;預測IC!CU$25,1,0)</f>
        <v>1</v>
      </c>
      <c r="CV18" s="10">
        <f>IF(預測IC!CV18&gt;預測IC!CV$25,1,0)</f>
        <v>1</v>
      </c>
      <c r="CW18" s="10">
        <f>IF(預測IC!CW18&gt;預測IC!CW$25,1,0)</f>
        <v>1</v>
      </c>
      <c r="CX18" s="10">
        <f>IF(預測IC!CX18&gt;預測IC!CX$25,1,0)</f>
        <v>1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0</v>
      </c>
      <c r="DB18" s="10">
        <f>IF(預測IC!DB18&gt;預測IC!DB$25,1,0)</f>
        <v>1</v>
      </c>
      <c r="DC18" s="10">
        <f>IF(預測IC!DC18&gt;預測IC!DC$25,1,0)</f>
        <v>1</v>
      </c>
      <c r="DD18" s="10">
        <f>IF(預測IC!DD18&gt;預測IC!DD$25,1,0)</f>
        <v>0</v>
      </c>
      <c r="DE18" s="10">
        <f>IF(預測IC!DE18&gt;預測IC!DE$25,1,0)</f>
        <v>0</v>
      </c>
      <c r="DF18" s="10">
        <f>IF(預測IC!DF18&gt;預測IC!DF$25,1,0)</f>
        <v>0</v>
      </c>
      <c r="DG18" s="10">
        <f>IF(預測IC!DG18&gt;預測IC!DG$25,1,0)</f>
        <v>0</v>
      </c>
      <c r="DH18" s="10">
        <f>IF(預測IC!DH18&gt;預測IC!DH$25,1,0)</f>
        <v>1</v>
      </c>
      <c r="DI18" s="10">
        <f>IF(預測IC!DI18&gt;預測IC!DI$25,1,0)</f>
        <v>0</v>
      </c>
      <c r="DJ18" s="10">
        <f>IF(預測IC!DJ18&gt;預測IC!DJ$25,1,0)</f>
        <v>1</v>
      </c>
      <c r="DK18" s="10">
        <f>IF(預測IC!DK18&gt;預測IC!DK$25,1,0)</f>
        <v>0</v>
      </c>
      <c r="DL18" s="10">
        <f>IF(預測IC!DL18&gt;預測IC!DL$25,1,0)</f>
        <v>1</v>
      </c>
      <c r="DM18" s="10">
        <f>IF(預測IC!DM18&gt;預測IC!DM$25,1,0)</f>
        <v>0</v>
      </c>
      <c r="DN18" s="10">
        <f>IF(預測IC!DN18&gt;預測IC!DN$25,1,0)</f>
        <v>0</v>
      </c>
      <c r="DO18" s="10">
        <f>IF(預測IC!DO18&gt;預測IC!DO$25,1,0)</f>
        <v>1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0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1</v>
      </c>
      <c r="DW18" s="10">
        <f>IF(預測IC!DW18&gt;預測IC!DW$25,1,0)</f>
        <v>0</v>
      </c>
      <c r="DX18" s="10">
        <f>IF(預測IC!DX18&gt;預測IC!DX$25,1,0)</f>
        <v>0</v>
      </c>
      <c r="DY18" s="10">
        <f>IF(預測IC!DY18&gt;預測IC!DY$25,1,0)</f>
        <v>1</v>
      </c>
      <c r="DZ18" s="10">
        <f>IF(預測IC!DZ18&gt;預測IC!DZ$25,1,0)</f>
        <v>1</v>
      </c>
      <c r="EA18" s="10">
        <f>IF(預測IC!EA18&gt;預測IC!EA$25,1,0)</f>
        <v>0</v>
      </c>
      <c r="EB18" s="10">
        <f>IF(預測IC!EB18&gt;預測IC!EB$25,1,0)</f>
        <v>0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1</v>
      </c>
      <c r="EG18" s="10">
        <f>IF(預測IC!EG18&gt;預測IC!EG$25,1,0)</f>
        <v>1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0</v>
      </c>
      <c r="EL18" s="10">
        <f>IF(預測IC!EL18&gt;預測IC!EL$25,1,0)</f>
        <v>0</v>
      </c>
      <c r="EM18" s="6">
        <f t="shared" si="11"/>
        <v>73</v>
      </c>
      <c r="EN18" s="20">
        <f t="shared" si="12"/>
        <v>0.52142857142857146</v>
      </c>
    </row>
    <row r="19" spans="1:144" x14ac:dyDescent="0.3">
      <c r="A19" s="19">
        <v>180</v>
      </c>
      <c r="B19" s="19">
        <f t="shared" si="10"/>
        <v>6</v>
      </c>
      <c r="C19" s="10">
        <f>IF(預測IC!C19&gt;預測IC!C$25,1,0)</f>
        <v>1</v>
      </c>
      <c r="D19" s="10">
        <f>IF(預測IC!D19&gt;預測IC!D$25,1,0)</f>
        <v>1</v>
      </c>
      <c r="E19" s="10">
        <f>IF(預測IC!E19&gt;預測IC!E$25,1,0)</f>
        <v>0</v>
      </c>
      <c r="F19" s="10">
        <f>IF(預測IC!F19&gt;預測IC!F$25,1,0)</f>
        <v>0</v>
      </c>
      <c r="G19" s="10">
        <f>IF(預測IC!G19&gt;預測IC!G$25,1,0)</f>
        <v>0</v>
      </c>
      <c r="H19" s="10">
        <f>IF(預測IC!H19&gt;預測IC!H$25,1,0)</f>
        <v>1</v>
      </c>
      <c r="I19" s="10">
        <f>IF(預測IC!I19&gt;預測IC!I$25,1,0)</f>
        <v>1</v>
      </c>
      <c r="J19" s="10">
        <f>IF(預測IC!J19&gt;預測IC!J$25,1,0)</f>
        <v>1</v>
      </c>
      <c r="K19" s="10">
        <f>IF(預測IC!K19&gt;預測IC!K$25,1,0)</f>
        <v>1</v>
      </c>
      <c r="L19" s="10">
        <f>IF(預測IC!L19&gt;預測IC!L$25,1,0)</f>
        <v>0</v>
      </c>
      <c r="M19" s="10">
        <f>IF(預測IC!M19&gt;預測IC!M$25,1,0)</f>
        <v>1</v>
      </c>
      <c r="N19" s="10">
        <f>IF(預測IC!N19&gt;預測IC!N$25,1,0)</f>
        <v>0</v>
      </c>
      <c r="O19" s="10">
        <f>IF(預測IC!O19&gt;預測IC!O$25,1,0)</f>
        <v>0</v>
      </c>
      <c r="P19" s="10">
        <f>IF(預測IC!P19&gt;預測IC!P$25,1,0)</f>
        <v>1</v>
      </c>
      <c r="Q19" s="10">
        <f>IF(預測IC!Q19&gt;預測IC!Q$25,1,0)</f>
        <v>0</v>
      </c>
      <c r="R19" s="10">
        <f>IF(預測IC!R19&gt;預測IC!R$25,1,0)</f>
        <v>1</v>
      </c>
      <c r="S19" s="10">
        <f>IF(預測IC!S19&gt;預測IC!S$25,1,0)</f>
        <v>0</v>
      </c>
      <c r="T19" s="10">
        <f>IF(預測IC!T19&gt;預測IC!T$25,1,0)</f>
        <v>1</v>
      </c>
      <c r="U19" s="10">
        <f>IF(預測IC!U19&gt;預測IC!U$25,1,0)</f>
        <v>0</v>
      </c>
      <c r="V19" s="10">
        <f>IF(預測IC!V19&gt;預測IC!V$25,1,0)</f>
        <v>1</v>
      </c>
      <c r="W19" s="10">
        <f>IF(預測IC!W19&gt;預測IC!W$25,1,0)</f>
        <v>1</v>
      </c>
      <c r="X19" s="10">
        <f>IF(預測IC!X19&gt;預測IC!X$25,1,0)</f>
        <v>1</v>
      </c>
      <c r="Y19" s="10">
        <f>IF(預測IC!Y19&gt;預測IC!Y$25,1,0)</f>
        <v>1</v>
      </c>
      <c r="Z19" s="10">
        <f>IF(預測IC!Z19&gt;預測IC!Z$25,1,0)</f>
        <v>1</v>
      </c>
      <c r="AA19" s="10">
        <f>IF(預測IC!AA19&gt;預測IC!AA$25,1,0)</f>
        <v>0</v>
      </c>
      <c r="AB19" s="10">
        <f>IF(預測IC!AB19&gt;預測IC!AB$25,1,0)</f>
        <v>1</v>
      </c>
      <c r="AC19" s="10">
        <f>IF(預測IC!AC19&gt;預測IC!AC$25,1,0)</f>
        <v>0</v>
      </c>
      <c r="AD19" s="10">
        <f>IF(預測IC!AD19&gt;預測IC!AD$25,1,0)</f>
        <v>1</v>
      </c>
      <c r="AE19" s="10">
        <f>IF(預測IC!AE19&gt;預測IC!AE$25,1,0)</f>
        <v>1</v>
      </c>
      <c r="AF19" s="10">
        <f>IF(預測IC!AF19&gt;預測IC!AF$25,1,0)</f>
        <v>0</v>
      </c>
      <c r="AG19" s="10">
        <f>IF(預測IC!AG19&gt;預測IC!AG$25,1,0)</f>
        <v>0</v>
      </c>
      <c r="AH19" s="10">
        <f>IF(預測IC!AH19&gt;預測IC!AH$25,1,0)</f>
        <v>0</v>
      </c>
      <c r="AI19" s="10">
        <f>IF(預測IC!AI19&gt;預測IC!AI$25,1,0)</f>
        <v>1</v>
      </c>
      <c r="AJ19" s="10">
        <f>IF(預測IC!AJ19&gt;預測IC!AJ$25,1,0)</f>
        <v>1</v>
      </c>
      <c r="AK19" s="10">
        <f>IF(預測IC!AK19&gt;預測IC!AK$25,1,0)</f>
        <v>1</v>
      </c>
      <c r="AL19" s="10">
        <f>IF(預測IC!AL19&gt;預測IC!AL$25,1,0)</f>
        <v>0</v>
      </c>
      <c r="AM19" s="10">
        <f>IF(預測IC!AM19&gt;預測IC!AM$25,1,0)</f>
        <v>1</v>
      </c>
      <c r="AN19" s="10">
        <f>IF(預測IC!AN19&gt;預測IC!AN$25,1,0)</f>
        <v>1</v>
      </c>
      <c r="AO19" s="10">
        <f>IF(預測IC!AO19&gt;預測IC!AO$25,1,0)</f>
        <v>1</v>
      </c>
      <c r="AP19" s="10">
        <f>IF(預測IC!AP19&gt;預測IC!AP$25,1,0)</f>
        <v>1</v>
      </c>
      <c r="AQ19" s="10">
        <f>IF(預測IC!AQ19&gt;預測IC!AQ$25,1,0)</f>
        <v>0</v>
      </c>
      <c r="AR19" s="10">
        <f>IF(預測IC!AR19&gt;預測IC!AR$25,1,0)</f>
        <v>0</v>
      </c>
      <c r="AS19" s="10">
        <f>IF(預測IC!AS19&gt;預測IC!AS$25,1,0)</f>
        <v>1</v>
      </c>
      <c r="AT19" s="10">
        <f>IF(預測IC!AT19&gt;預測IC!AT$25,1,0)</f>
        <v>0</v>
      </c>
      <c r="AU19" s="10">
        <f>IF(預測IC!AU19&gt;預測IC!AU$25,1,0)</f>
        <v>1</v>
      </c>
      <c r="AV19" s="10">
        <f>IF(預測IC!AV19&gt;預測IC!AV$25,1,0)</f>
        <v>1</v>
      </c>
      <c r="AW19" s="10">
        <f>IF(預測IC!AW19&gt;預測IC!AW$25,1,0)</f>
        <v>1</v>
      </c>
      <c r="AX19" s="10">
        <f>IF(預測IC!AX19&gt;預測IC!AX$25,1,0)</f>
        <v>1</v>
      </c>
      <c r="AY19" s="10">
        <f>IF(預測IC!AY19&gt;預測IC!AY$25,1,0)</f>
        <v>1</v>
      </c>
      <c r="AZ19" s="10">
        <f>IF(預測IC!AZ19&gt;預測IC!AZ$25,1,0)</f>
        <v>1</v>
      </c>
      <c r="BA19" s="10">
        <f>IF(預測IC!BA19&gt;預測IC!BA$25,1,0)</f>
        <v>0</v>
      </c>
      <c r="BB19" s="10">
        <f>IF(預測IC!BB19&gt;預測IC!BB$25,1,0)</f>
        <v>1</v>
      </c>
      <c r="BC19" s="10">
        <f>IF(預測IC!BC19&gt;預測IC!BC$25,1,0)</f>
        <v>1</v>
      </c>
      <c r="BD19" s="10">
        <f>IF(預測IC!BD19&gt;預測IC!BD$25,1,0)</f>
        <v>0</v>
      </c>
      <c r="BE19" s="10">
        <f>IF(預測IC!BE19&gt;預測IC!BE$25,1,0)</f>
        <v>0</v>
      </c>
      <c r="BF19" s="10">
        <f>IF(預測IC!BF19&gt;預測IC!BF$25,1,0)</f>
        <v>1</v>
      </c>
      <c r="BG19" s="10">
        <f>IF(預測IC!BG19&gt;預測IC!BG$25,1,0)</f>
        <v>0</v>
      </c>
      <c r="BH19" s="10">
        <f>IF(預測IC!BH19&gt;預測IC!BH$25,1,0)</f>
        <v>1</v>
      </c>
      <c r="BI19" s="10">
        <f>IF(預測IC!BI19&gt;預測IC!BI$25,1,0)</f>
        <v>0</v>
      </c>
      <c r="BJ19" s="10">
        <f>IF(預測IC!BJ19&gt;預測IC!BJ$25,1,0)</f>
        <v>1</v>
      </c>
      <c r="BK19" s="10">
        <f>IF(預測IC!BK19&gt;預測IC!BK$25,1,0)</f>
        <v>0</v>
      </c>
      <c r="BL19" s="10">
        <f>IF(預測IC!BL19&gt;預測IC!BL$25,1,0)</f>
        <v>0</v>
      </c>
      <c r="BM19" s="10">
        <f>IF(預測IC!BM19&gt;預測IC!BM$25,1,0)</f>
        <v>0</v>
      </c>
      <c r="BN19" s="10">
        <f>IF(預測IC!BN19&gt;預測IC!BN$25,1,0)</f>
        <v>1</v>
      </c>
      <c r="BO19" s="10">
        <f>IF(預測IC!BO19&gt;預測IC!BO$25,1,0)</f>
        <v>1</v>
      </c>
      <c r="BP19" s="10">
        <f>IF(預測IC!BP19&gt;預測IC!BP$25,1,0)</f>
        <v>1</v>
      </c>
      <c r="BQ19" s="10">
        <f>IF(預測IC!BQ19&gt;預測IC!BQ$25,1,0)</f>
        <v>0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0</v>
      </c>
      <c r="BU19" s="10">
        <f>IF(預測IC!BU19&gt;預測IC!BU$25,1,0)</f>
        <v>0</v>
      </c>
      <c r="BV19" s="10">
        <f>IF(預測IC!BV19&gt;預測IC!BV$25,1,0)</f>
        <v>1</v>
      </c>
      <c r="BW19" s="10">
        <f>IF(預測IC!BW19&gt;預測IC!BW$25,1,0)</f>
        <v>1</v>
      </c>
      <c r="BX19" s="10">
        <f>IF(預測IC!BX19&gt;預測IC!BX$25,1,0)</f>
        <v>1</v>
      </c>
      <c r="BY19" s="10">
        <f>IF(預測IC!BY19&gt;預測IC!BY$25,1,0)</f>
        <v>1</v>
      </c>
      <c r="BZ19" s="10">
        <f>IF(預測IC!BZ19&gt;預測IC!BZ$25,1,0)</f>
        <v>0</v>
      </c>
      <c r="CA19" s="10">
        <f>IF(預測IC!CA19&gt;預測IC!CA$25,1,0)</f>
        <v>1</v>
      </c>
      <c r="CB19" s="10">
        <f>IF(預測IC!CB19&gt;預測IC!CB$25,1,0)</f>
        <v>1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1</v>
      </c>
      <c r="CF19" s="10">
        <f>IF(預測IC!CF19&gt;預測IC!CF$25,1,0)</f>
        <v>1</v>
      </c>
      <c r="CG19" s="10">
        <f>IF(預測IC!CG19&gt;預測IC!CG$25,1,0)</f>
        <v>1</v>
      </c>
      <c r="CH19" s="10">
        <f>IF(預測IC!CH19&gt;預測IC!CH$25,1,0)</f>
        <v>0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0</v>
      </c>
      <c r="CL19" s="10">
        <f>IF(預測IC!CL19&gt;預測IC!CL$25,1,0)</f>
        <v>0</v>
      </c>
      <c r="CM19" s="10">
        <f>IF(預測IC!CM19&gt;預測IC!CM$25,1,0)</f>
        <v>0</v>
      </c>
      <c r="CN19" s="10">
        <f>IF(預測IC!CN19&gt;預測IC!CN$25,1,0)</f>
        <v>1</v>
      </c>
      <c r="CO19" s="10">
        <f>IF(預測IC!CO19&gt;預測IC!CO$25,1,0)</f>
        <v>1</v>
      </c>
      <c r="CP19" s="10">
        <f>IF(預測IC!CP19&gt;預測IC!CP$25,1,0)</f>
        <v>0</v>
      </c>
      <c r="CQ19" s="10">
        <f>IF(預測IC!CQ19&gt;預測IC!CQ$25,1,0)</f>
        <v>1</v>
      </c>
      <c r="CR19" s="10">
        <f>IF(預測IC!CR19&gt;預測IC!CR$25,1,0)</f>
        <v>1</v>
      </c>
      <c r="CS19" s="10">
        <f>IF(預測IC!CS19&gt;預測IC!CS$25,1,0)</f>
        <v>0</v>
      </c>
      <c r="CT19" s="10">
        <f>IF(預測IC!CT19&gt;預測IC!CT$25,1,0)</f>
        <v>0</v>
      </c>
      <c r="CU19" s="10">
        <f>IF(預測IC!CU19&gt;預測IC!CU$25,1,0)</f>
        <v>1</v>
      </c>
      <c r="CV19" s="10">
        <f>IF(預測IC!CV19&gt;預測IC!CV$25,1,0)</f>
        <v>1</v>
      </c>
      <c r="CW19" s="10">
        <f>IF(預測IC!CW19&gt;預測IC!CW$25,1,0)</f>
        <v>1</v>
      </c>
      <c r="CX19" s="10">
        <f>IF(預測IC!CX19&gt;預測IC!CX$25,1,0)</f>
        <v>1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0</v>
      </c>
      <c r="DB19" s="10">
        <f>IF(預測IC!DB19&gt;預測IC!DB$25,1,0)</f>
        <v>1</v>
      </c>
      <c r="DC19" s="10">
        <f>IF(預測IC!DC19&gt;預測IC!DC$25,1,0)</f>
        <v>1</v>
      </c>
      <c r="DD19" s="10">
        <f>IF(預測IC!DD19&gt;預測IC!DD$25,1,0)</f>
        <v>0</v>
      </c>
      <c r="DE19" s="10">
        <f>IF(預測IC!DE19&gt;預測IC!DE$25,1,0)</f>
        <v>0</v>
      </c>
      <c r="DF19" s="10">
        <f>IF(預測IC!DF19&gt;預測IC!DF$25,1,0)</f>
        <v>0</v>
      </c>
      <c r="DG19" s="10">
        <f>IF(預測IC!DG19&gt;預測IC!DG$25,1,0)</f>
        <v>0</v>
      </c>
      <c r="DH19" s="10">
        <f>IF(預測IC!DH19&gt;預測IC!DH$25,1,0)</f>
        <v>1</v>
      </c>
      <c r="DI19" s="10">
        <f>IF(預測IC!DI19&gt;預測IC!DI$25,1,0)</f>
        <v>0</v>
      </c>
      <c r="DJ19" s="10">
        <f>IF(預測IC!DJ19&gt;預測IC!DJ$25,1,0)</f>
        <v>1</v>
      </c>
      <c r="DK19" s="10">
        <f>IF(預測IC!DK19&gt;預測IC!DK$25,1,0)</f>
        <v>0</v>
      </c>
      <c r="DL19" s="10">
        <f>IF(預測IC!DL19&gt;預測IC!DL$25,1,0)</f>
        <v>1</v>
      </c>
      <c r="DM19" s="10">
        <f>IF(預測IC!DM19&gt;預測IC!DM$25,1,0)</f>
        <v>0</v>
      </c>
      <c r="DN19" s="10">
        <f>IF(預測IC!DN19&gt;預測IC!DN$25,1,0)</f>
        <v>0</v>
      </c>
      <c r="DO19" s="10">
        <f>IF(預測IC!DO19&gt;預測IC!DO$25,1,0)</f>
        <v>1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0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1</v>
      </c>
      <c r="DW19" s="10">
        <f>IF(預測IC!DW19&gt;預測IC!DW$25,1,0)</f>
        <v>0</v>
      </c>
      <c r="DX19" s="10">
        <f>IF(預測IC!DX19&gt;預測IC!DX$25,1,0)</f>
        <v>0</v>
      </c>
      <c r="DY19" s="10">
        <f>IF(預測IC!DY19&gt;預測IC!DY$25,1,0)</f>
        <v>1</v>
      </c>
      <c r="DZ19" s="10">
        <f>IF(預測IC!DZ19&gt;預測IC!DZ$25,1,0)</f>
        <v>1</v>
      </c>
      <c r="EA19" s="10">
        <f>IF(預測IC!EA19&gt;預測IC!EA$25,1,0)</f>
        <v>0</v>
      </c>
      <c r="EB19" s="10">
        <f>IF(預測IC!EB19&gt;預測IC!EB$25,1,0)</f>
        <v>0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1</v>
      </c>
      <c r="EG19" s="10">
        <f>IF(預測IC!EG19&gt;預測IC!EG$25,1,0)</f>
        <v>1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0</v>
      </c>
      <c r="EL19" s="10">
        <f>IF(預測IC!EL19&gt;預測IC!EL$25,1,0)</f>
        <v>0</v>
      </c>
      <c r="EM19" s="6">
        <f t="shared" si="11"/>
        <v>74</v>
      </c>
      <c r="EN19" s="20">
        <f t="shared" si="12"/>
        <v>0.52857142857142858</v>
      </c>
    </row>
    <row r="20" spans="1:144" x14ac:dyDescent="0.3">
      <c r="A20" s="19">
        <v>200</v>
      </c>
      <c r="B20" s="19">
        <f t="shared" si="10"/>
        <v>5</v>
      </c>
      <c r="C20" s="10">
        <f>IF(預測IC!C20&gt;預測IC!C$25,1,0)</f>
        <v>1</v>
      </c>
      <c r="D20" s="10">
        <f>IF(預測IC!D20&gt;預測IC!D$25,1,0)</f>
        <v>1</v>
      </c>
      <c r="E20" s="10">
        <f>IF(預測IC!E20&gt;預測IC!E$25,1,0)</f>
        <v>0</v>
      </c>
      <c r="F20" s="10">
        <f>IF(預測IC!F20&gt;預測IC!F$25,1,0)</f>
        <v>0</v>
      </c>
      <c r="G20" s="10">
        <f>IF(預測IC!G20&gt;預測IC!G$25,1,0)</f>
        <v>0</v>
      </c>
      <c r="H20" s="10">
        <f>IF(預測IC!H20&gt;預測IC!H$25,1,0)</f>
        <v>1</v>
      </c>
      <c r="I20" s="10">
        <f>IF(預測IC!I20&gt;預測IC!I$25,1,0)</f>
        <v>1</v>
      </c>
      <c r="J20" s="10">
        <f>IF(預測IC!J20&gt;預測IC!J$25,1,0)</f>
        <v>1</v>
      </c>
      <c r="K20" s="10">
        <f>IF(預測IC!K20&gt;預測IC!K$25,1,0)</f>
        <v>1</v>
      </c>
      <c r="L20" s="10">
        <f>IF(預測IC!L20&gt;預測IC!L$25,1,0)</f>
        <v>0</v>
      </c>
      <c r="M20" s="10">
        <f>IF(預測IC!M20&gt;預測IC!M$25,1,0)</f>
        <v>1</v>
      </c>
      <c r="N20" s="10">
        <f>IF(預測IC!N20&gt;預測IC!N$25,1,0)</f>
        <v>0</v>
      </c>
      <c r="O20" s="10">
        <f>IF(預測IC!O20&gt;預測IC!O$25,1,0)</f>
        <v>0</v>
      </c>
      <c r="P20" s="10">
        <f>IF(預測IC!P20&gt;預測IC!P$25,1,0)</f>
        <v>1</v>
      </c>
      <c r="Q20" s="10">
        <f>IF(預測IC!Q20&gt;預測IC!Q$25,1,0)</f>
        <v>0</v>
      </c>
      <c r="R20" s="10">
        <f>IF(預測IC!R20&gt;預測IC!R$25,1,0)</f>
        <v>1</v>
      </c>
      <c r="S20" s="10">
        <f>IF(預測IC!S20&gt;預測IC!S$25,1,0)</f>
        <v>0</v>
      </c>
      <c r="T20" s="10">
        <f>IF(預測IC!T20&gt;預測IC!T$25,1,0)</f>
        <v>0</v>
      </c>
      <c r="U20" s="10">
        <f>IF(預測IC!U20&gt;預測IC!U$25,1,0)</f>
        <v>0</v>
      </c>
      <c r="V20" s="10">
        <f>IF(預測IC!V20&gt;預測IC!V$25,1,0)</f>
        <v>1</v>
      </c>
      <c r="W20" s="10">
        <f>IF(預測IC!W20&gt;預測IC!W$25,1,0)</f>
        <v>1</v>
      </c>
      <c r="X20" s="10">
        <f>IF(預測IC!X20&gt;預測IC!X$25,1,0)</f>
        <v>1</v>
      </c>
      <c r="Y20" s="10">
        <f>IF(預測IC!Y20&gt;預測IC!Y$25,1,0)</f>
        <v>0</v>
      </c>
      <c r="Z20" s="10">
        <f>IF(預測IC!Z20&gt;預測IC!Z$25,1,0)</f>
        <v>1</v>
      </c>
      <c r="AA20" s="10">
        <f>IF(預測IC!AA20&gt;預測IC!AA$25,1,0)</f>
        <v>0</v>
      </c>
      <c r="AB20" s="10">
        <f>IF(預測IC!AB20&gt;預測IC!AB$25,1,0)</f>
        <v>1</v>
      </c>
      <c r="AC20" s="10">
        <f>IF(預測IC!AC20&gt;預測IC!AC$25,1,0)</f>
        <v>0</v>
      </c>
      <c r="AD20" s="10">
        <f>IF(預測IC!AD20&gt;預測IC!AD$25,1,0)</f>
        <v>1</v>
      </c>
      <c r="AE20" s="10">
        <f>IF(預測IC!AE20&gt;預測IC!AE$25,1,0)</f>
        <v>1</v>
      </c>
      <c r="AF20" s="10">
        <f>IF(預測IC!AF20&gt;預測IC!AF$25,1,0)</f>
        <v>0</v>
      </c>
      <c r="AG20" s="10">
        <f>IF(預測IC!AG20&gt;預測IC!AG$25,1,0)</f>
        <v>0</v>
      </c>
      <c r="AH20" s="10">
        <f>IF(預測IC!AH20&gt;預測IC!AH$25,1,0)</f>
        <v>0</v>
      </c>
      <c r="AI20" s="10">
        <f>IF(預測IC!AI20&gt;預測IC!AI$25,1,0)</f>
        <v>1</v>
      </c>
      <c r="AJ20" s="10">
        <f>IF(預測IC!AJ20&gt;預測IC!AJ$25,1,0)</f>
        <v>1</v>
      </c>
      <c r="AK20" s="10">
        <f>IF(預測IC!AK20&gt;預測IC!AK$25,1,0)</f>
        <v>0</v>
      </c>
      <c r="AL20" s="10">
        <f>IF(預測IC!AL20&gt;預測IC!AL$25,1,0)</f>
        <v>0</v>
      </c>
      <c r="AM20" s="10">
        <f>IF(預測IC!AM20&gt;預測IC!AM$25,1,0)</f>
        <v>1</v>
      </c>
      <c r="AN20" s="10">
        <f>IF(預測IC!AN20&gt;預測IC!AN$25,1,0)</f>
        <v>1</v>
      </c>
      <c r="AO20" s="10">
        <f>IF(預測IC!AO20&gt;預測IC!AO$25,1,0)</f>
        <v>1</v>
      </c>
      <c r="AP20" s="10">
        <f>IF(預測IC!AP20&gt;預測IC!AP$25,1,0)</f>
        <v>1</v>
      </c>
      <c r="AQ20" s="10">
        <f>IF(預測IC!AQ20&gt;預測IC!AQ$25,1,0)</f>
        <v>0</v>
      </c>
      <c r="AR20" s="10">
        <f>IF(預測IC!AR20&gt;預測IC!AR$25,1,0)</f>
        <v>0</v>
      </c>
      <c r="AS20" s="10">
        <f>IF(預測IC!AS20&gt;預測IC!AS$25,1,0)</f>
        <v>1</v>
      </c>
      <c r="AT20" s="10">
        <f>IF(預測IC!AT20&gt;預測IC!AT$25,1,0)</f>
        <v>0</v>
      </c>
      <c r="AU20" s="10">
        <f>IF(預測IC!AU20&gt;預測IC!AU$25,1,0)</f>
        <v>1</v>
      </c>
      <c r="AV20" s="10">
        <f>IF(預測IC!AV20&gt;預測IC!AV$25,1,0)</f>
        <v>1</v>
      </c>
      <c r="AW20" s="10">
        <f>IF(預測IC!AW20&gt;預測IC!AW$25,1,0)</f>
        <v>1</v>
      </c>
      <c r="AX20" s="10">
        <f>IF(預測IC!AX20&gt;預測IC!AX$25,1,0)</f>
        <v>1</v>
      </c>
      <c r="AY20" s="10">
        <f>IF(預測IC!AY20&gt;預測IC!AY$25,1,0)</f>
        <v>1</v>
      </c>
      <c r="AZ20" s="10">
        <f>IF(預測IC!AZ20&gt;預測IC!AZ$25,1,0)</f>
        <v>1</v>
      </c>
      <c r="BA20" s="10">
        <f>IF(預測IC!BA20&gt;預測IC!BA$25,1,0)</f>
        <v>0</v>
      </c>
      <c r="BB20" s="10">
        <f>IF(預測IC!BB20&gt;預測IC!BB$25,1,0)</f>
        <v>1</v>
      </c>
      <c r="BC20" s="10">
        <f>IF(預測IC!BC20&gt;預測IC!BC$25,1,0)</f>
        <v>1</v>
      </c>
      <c r="BD20" s="10">
        <f>IF(預測IC!BD20&gt;預測IC!BD$25,1,0)</f>
        <v>0</v>
      </c>
      <c r="BE20" s="10">
        <f>IF(預測IC!BE20&gt;預測IC!BE$25,1,0)</f>
        <v>0</v>
      </c>
      <c r="BF20" s="10">
        <f>IF(預測IC!BF20&gt;預測IC!BF$25,1,0)</f>
        <v>0</v>
      </c>
      <c r="BG20" s="10">
        <f>IF(預測IC!BG20&gt;預測IC!BG$25,1,0)</f>
        <v>0</v>
      </c>
      <c r="BH20" s="10">
        <f>IF(預測IC!BH20&gt;預測IC!BH$25,1,0)</f>
        <v>1</v>
      </c>
      <c r="BI20" s="10">
        <f>IF(預測IC!BI20&gt;預測IC!BI$25,1,0)</f>
        <v>0</v>
      </c>
      <c r="BJ20" s="10">
        <f>IF(預測IC!BJ20&gt;預測IC!BJ$25,1,0)</f>
        <v>1</v>
      </c>
      <c r="BK20" s="10">
        <f>IF(預測IC!BK20&gt;預測IC!BK$25,1,0)</f>
        <v>0</v>
      </c>
      <c r="BL20" s="10">
        <f>IF(預測IC!BL20&gt;預測IC!BL$25,1,0)</f>
        <v>0</v>
      </c>
      <c r="BM20" s="10">
        <f>IF(預測IC!BM20&gt;預測IC!BM$25,1,0)</f>
        <v>0</v>
      </c>
      <c r="BN20" s="10">
        <f>IF(預測IC!BN20&gt;預測IC!BN$25,1,0)</f>
        <v>1</v>
      </c>
      <c r="BO20" s="10">
        <f>IF(預測IC!BO20&gt;預測IC!BO$25,1,0)</f>
        <v>1</v>
      </c>
      <c r="BP20" s="10">
        <f>IF(預測IC!BP20&gt;預測IC!BP$25,1,0)</f>
        <v>1</v>
      </c>
      <c r="BQ20" s="10">
        <f>IF(預測IC!BQ20&gt;預測IC!BQ$25,1,0)</f>
        <v>0</v>
      </c>
      <c r="BR20" s="10">
        <f>IF(預測IC!BR20&gt;預測IC!BR$25,1,0)</f>
        <v>1</v>
      </c>
      <c r="BS20" s="10">
        <f>IF(預測IC!BS20&gt;預測IC!BS$25,1,0)</f>
        <v>0</v>
      </c>
      <c r="BT20" s="10">
        <f>IF(預測IC!BT20&gt;預測IC!BT$25,1,0)</f>
        <v>0</v>
      </c>
      <c r="BU20" s="10">
        <f>IF(預測IC!BU20&gt;預測IC!BU$25,1,0)</f>
        <v>0</v>
      </c>
      <c r="BV20" s="10">
        <f>IF(預測IC!BV20&gt;預測IC!BV$25,1,0)</f>
        <v>1</v>
      </c>
      <c r="BW20" s="10">
        <f>IF(預測IC!BW20&gt;預測IC!BW$25,1,0)</f>
        <v>1</v>
      </c>
      <c r="BX20" s="10">
        <f>IF(預測IC!BX20&gt;預測IC!BX$25,1,0)</f>
        <v>1</v>
      </c>
      <c r="BY20" s="10">
        <f>IF(預測IC!BY20&gt;預測IC!BY$25,1,0)</f>
        <v>1</v>
      </c>
      <c r="BZ20" s="10">
        <f>IF(預測IC!BZ20&gt;預測IC!BZ$25,1,0)</f>
        <v>0</v>
      </c>
      <c r="CA20" s="10">
        <f>IF(預測IC!CA20&gt;預測IC!CA$25,1,0)</f>
        <v>1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1</v>
      </c>
      <c r="CE20" s="10">
        <f>IF(預測IC!CE20&gt;預測IC!CE$25,1,0)</f>
        <v>1</v>
      </c>
      <c r="CF20" s="10">
        <f>IF(預測IC!CF20&gt;預測IC!CF$25,1,0)</f>
        <v>1</v>
      </c>
      <c r="CG20" s="10">
        <f>IF(預測IC!CG20&gt;預測IC!CG$25,1,0)</f>
        <v>1</v>
      </c>
      <c r="CH20" s="10">
        <f>IF(預測IC!CH20&gt;預測IC!CH$25,1,0)</f>
        <v>0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1</v>
      </c>
      <c r="CL20" s="10">
        <f>IF(預測IC!CL20&gt;預測IC!CL$25,1,0)</f>
        <v>0</v>
      </c>
      <c r="CM20" s="10">
        <f>IF(預測IC!CM20&gt;預測IC!CM$25,1,0)</f>
        <v>0</v>
      </c>
      <c r="CN20" s="10">
        <f>IF(預測IC!CN20&gt;預測IC!CN$25,1,0)</f>
        <v>1</v>
      </c>
      <c r="CO20" s="10">
        <f>IF(預測IC!CO20&gt;預測IC!CO$25,1,0)</f>
        <v>1</v>
      </c>
      <c r="CP20" s="10">
        <f>IF(預測IC!CP20&gt;預測IC!CP$25,1,0)</f>
        <v>0</v>
      </c>
      <c r="CQ20" s="10">
        <f>IF(預測IC!CQ20&gt;預測IC!CQ$25,1,0)</f>
        <v>1</v>
      </c>
      <c r="CR20" s="10">
        <f>IF(預測IC!CR20&gt;預測IC!CR$25,1,0)</f>
        <v>1</v>
      </c>
      <c r="CS20" s="10">
        <f>IF(預測IC!CS20&gt;預測IC!CS$25,1,0)</f>
        <v>0</v>
      </c>
      <c r="CT20" s="10">
        <f>IF(預測IC!CT20&gt;預測IC!CT$25,1,0)</f>
        <v>0</v>
      </c>
      <c r="CU20" s="10">
        <f>IF(預測IC!CU20&gt;預測IC!CU$25,1,0)</f>
        <v>1</v>
      </c>
      <c r="CV20" s="10">
        <f>IF(預測IC!CV20&gt;預測IC!CV$25,1,0)</f>
        <v>1</v>
      </c>
      <c r="CW20" s="10">
        <f>IF(預測IC!CW20&gt;預測IC!CW$25,1,0)</f>
        <v>1</v>
      </c>
      <c r="CX20" s="10">
        <f>IF(預測IC!CX20&gt;預測IC!CX$25,1,0)</f>
        <v>0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0</v>
      </c>
      <c r="DB20" s="10">
        <f>IF(預測IC!DB20&gt;預測IC!DB$25,1,0)</f>
        <v>1</v>
      </c>
      <c r="DC20" s="10">
        <f>IF(預測IC!DC20&gt;預測IC!DC$25,1,0)</f>
        <v>1</v>
      </c>
      <c r="DD20" s="10">
        <f>IF(預測IC!DD20&gt;預測IC!DD$25,1,0)</f>
        <v>0</v>
      </c>
      <c r="DE20" s="10">
        <f>IF(預測IC!DE20&gt;預測IC!DE$25,1,0)</f>
        <v>0</v>
      </c>
      <c r="DF20" s="10">
        <f>IF(預測IC!DF20&gt;預測IC!DF$25,1,0)</f>
        <v>0</v>
      </c>
      <c r="DG20" s="10">
        <f>IF(預測IC!DG20&gt;預測IC!DG$25,1,0)</f>
        <v>0</v>
      </c>
      <c r="DH20" s="10">
        <f>IF(預測IC!DH20&gt;預測IC!DH$25,1,0)</f>
        <v>1</v>
      </c>
      <c r="DI20" s="10">
        <f>IF(預測IC!DI20&gt;預測IC!DI$25,1,0)</f>
        <v>0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1</v>
      </c>
      <c r="DM20" s="10">
        <f>IF(預測IC!DM20&gt;預測IC!DM$25,1,0)</f>
        <v>1</v>
      </c>
      <c r="DN20" s="10">
        <f>IF(預測IC!DN20&gt;預測IC!DN$25,1,0)</f>
        <v>0</v>
      </c>
      <c r="DO20" s="10">
        <f>IF(預測IC!DO20&gt;預測IC!DO$25,1,0)</f>
        <v>1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1</v>
      </c>
      <c r="DS20" s="10">
        <f>IF(預測IC!DS20&gt;預測IC!DS$25,1,0)</f>
        <v>0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1</v>
      </c>
      <c r="DW20" s="10">
        <f>IF(預測IC!DW20&gt;預測IC!DW$25,1,0)</f>
        <v>0</v>
      </c>
      <c r="DX20" s="10">
        <f>IF(預測IC!DX20&gt;預測IC!DX$25,1,0)</f>
        <v>0</v>
      </c>
      <c r="DY20" s="10">
        <f>IF(預測IC!DY20&gt;預測IC!DY$25,1,0)</f>
        <v>1</v>
      </c>
      <c r="DZ20" s="10">
        <f>IF(預測IC!DZ20&gt;預測IC!DZ$25,1,0)</f>
        <v>1</v>
      </c>
      <c r="EA20" s="10">
        <f>IF(預測IC!EA20&gt;預測IC!EA$25,1,0)</f>
        <v>0</v>
      </c>
      <c r="EB20" s="10">
        <f>IF(預測IC!EB20&gt;預測IC!EB$25,1,0)</f>
        <v>0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0</v>
      </c>
      <c r="EF20" s="10">
        <f>IF(預測IC!EF20&gt;預測IC!EF$25,1,0)</f>
        <v>1</v>
      </c>
      <c r="EG20" s="10">
        <f>IF(預測IC!EG20&gt;預測IC!EG$25,1,0)</f>
        <v>1</v>
      </c>
      <c r="EH20" s="10">
        <f>IF(預測IC!EH20&gt;預測IC!EH$25,1,0)</f>
        <v>1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0</v>
      </c>
      <c r="EL20" s="10">
        <f>IF(預測IC!EL20&gt;預測IC!EL$25,1,0)</f>
        <v>0</v>
      </c>
      <c r="EM20" s="6">
        <f t="shared" si="11"/>
        <v>71</v>
      </c>
      <c r="EN20" s="20">
        <f t="shared" si="12"/>
        <v>0.50714285714285712</v>
      </c>
    </row>
    <row r="21" spans="1:144" x14ac:dyDescent="0.3">
      <c r="A21" s="19">
        <v>256</v>
      </c>
      <c r="B21" s="19">
        <f t="shared" si="10"/>
        <v>4</v>
      </c>
      <c r="C21" s="10">
        <f>IF(預測IC!C21&gt;預測IC!C$25,1,0)</f>
        <v>1</v>
      </c>
      <c r="D21" s="10">
        <f>IF(預測IC!D21&gt;預測IC!D$25,1,0)</f>
        <v>1</v>
      </c>
      <c r="E21" s="10">
        <f>IF(預測IC!E21&gt;預測IC!E$25,1,0)</f>
        <v>0</v>
      </c>
      <c r="F21" s="10">
        <f>IF(預測IC!F21&gt;預測IC!F$25,1,0)</f>
        <v>0</v>
      </c>
      <c r="G21" s="10">
        <f>IF(預測IC!G21&gt;預測IC!G$25,1,0)</f>
        <v>0</v>
      </c>
      <c r="H21" s="10">
        <f>IF(預測IC!H21&gt;預測IC!H$25,1,0)</f>
        <v>0</v>
      </c>
      <c r="I21" s="10">
        <f>IF(預測IC!I21&gt;預測IC!I$25,1,0)</f>
        <v>1</v>
      </c>
      <c r="J21" s="10">
        <f>IF(預測IC!J21&gt;預測IC!J$25,1,0)</f>
        <v>1</v>
      </c>
      <c r="K21" s="10">
        <f>IF(預測IC!K21&gt;預測IC!K$25,1,0)</f>
        <v>1</v>
      </c>
      <c r="L21" s="10">
        <f>IF(預測IC!L21&gt;預測IC!L$25,1,0)</f>
        <v>0</v>
      </c>
      <c r="M21" s="10">
        <f>IF(預測IC!M21&gt;預測IC!M$25,1,0)</f>
        <v>1</v>
      </c>
      <c r="N21" s="10">
        <f>IF(預測IC!N21&gt;預測IC!N$25,1,0)</f>
        <v>0</v>
      </c>
      <c r="O21" s="10">
        <f>IF(預測IC!O21&gt;預測IC!O$25,1,0)</f>
        <v>0</v>
      </c>
      <c r="P21" s="10">
        <f>IF(預測IC!P21&gt;預測IC!P$25,1,0)</f>
        <v>1</v>
      </c>
      <c r="Q21" s="10">
        <f>IF(預測IC!Q21&gt;預測IC!Q$25,1,0)</f>
        <v>0</v>
      </c>
      <c r="R21" s="10">
        <f>IF(預測IC!R21&gt;預測IC!R$25,1,0)</f>
        <v>1</v>
      </c>
      <c r="S21" s="10">
        <f>IF(預測IC!S21&gt;預測IC!S$25,1,0)</f>
        <v>0</v>
      </c>
      <c r="T21" s="10">
        <f>IF(預測IC!T21&gt;預測IC!T$25,1,0)</f>
        <v>1</v>
      </c>
      <c r="U21" s="10">
        <f>IF(預測IC!U21&gt;預測IC!U$25,1,0)</f>
        <v>0</v>
      </c>
      <c r="V21" s="10">
        <f>IF(預測IC!V21&gt;預測IC!V$25,1,0)</f>
        <v>1</v>
      </c>
      <c r="W21" s="10">
        <f>IF(預測IC!W21&gt;預測IC!W$25,1,0)</f>
        <v>1</v>
      </c>
      <c r="X21" s="10">
        <f>IF(預測IC!X21&gt;預測IC!X$25,1,0)</f>
        <v>1</v>
      </c>
      <c r="Y21" s="10">
        <f>IF(預測IC!Y21&gt;預測IC!Y$25,1,0)</f>
        <v>0</v>
      </c>
      <c r="Z21" s="10">
        <f>IF(預測IC!Z21&gt;預測IC!Z$25,1,0)</f>
        <v>1</v>
      </c>
      <c r="AA21" s="10">
        <f>IF(預測IC!AA21&gt;預測IC!AA$25,1,0)</f>
        <v>0</v>
      </c>
      <c r="AB21" s="10">
        <f>IF(預測IC!AB21&gt;預測IC!AB$25,1,0)</f>
        <v>1</v>
      </c>
      <c r="AC21" s="10">
        <f>IF(預測IC!AC21&gt;預測IC!AC$25,1,0)</f>
        <v>0</v>
      </c>
      <c r="AD21" s="10">
        <f>IF(預測IC!AD21&gt;預測IC!AD$25,1,0)</f>
        <v>1</v>
      </c>
      <c r="AE21" s="10">
        <f>IF(預測IC!AE21&gt;預測IC!AE$25,1,0)</f>
        <v>1</v>
      </c>
      <c r="AF21" s="10">
        <f>IF(預測IC!AF21&gt;預測IC!AF$25,1,0)</f>
        <v>0</v>
      </c>
      <c r="AG21" s="10">
        <f>IF(預測IC!AG21&gt;預測IC!AG$25,1,0)</f>
        <v>1</v>
      </c>
      <c r="AH21" s="10">
        <f>IF(預測IC!AH21&gt;預測IC!AH$25,1,0)</f>
        <v>0</v>
      </c>
      <c r="AI21" s="10">
        <f>IF(預測IC!AI21&gt;預測IC!AI$25,1,0)</f>
        <v>0</v>
      </c>
      <c r="AJ21" s="10">
        <f>IF(預測IC!AJ21&gt;預測IC!AJ$25,1,0)</f>
        <v>0</v>
      </c>
      <c r="AK21" s="10">
        <f>IF(預測IC!AK21&gt;預測IC!AK$25,1,0)</f>
        <v>1</v>
      </c>
      <c r="AL21" s="10">
        <f>IF(預測IC!AL21&gt;預測IC!AL$25,1,0)</f>
        <v>0</v>
      </c>
      <c r="AM21" s="10">
        <f>IF(預測IC!AM21&gt;預測IC!AM$25,1,0)</f>
        <v>1</v>
      </c>
      <c r="AN21" s="10">
        <f>IF(預測IC!AN21&gt;預測IC!AN$25,1,0)</f>
        <v>1</v>
      </c>
      <c r="AO21" s="10">
        <f>IF(預測IC!AO21&gt;預測IC!AO$25,1,0)</f>
        <v>1</v>
      </c>
      <c r="AP21" s="10">
        <f>IF(預測IC!AP21&gt;預測IC!AP$25,1,0)</f>
        <v>1</v>
      </c>
      <c r="AQ21" s="10">
        <f>IF(預測IC!AQ21&gt;預測IC!AQ$25,1,0)</f>
        <v>0</v>
      </c>
      <c r="AR21" s="10">
        <f>IF(預測IC!AR21&gt;預測IC!AR$25,1,0)</f>
        <v>0</v>
      </c>
      <c r="AS21" s="10">
        <f>IF(預測IC!AS21&gt;預測IC!AS$25,1,0)</f>
        <v>1</v>
      </c>
      <c r="AT21" s="10">
        <f>IF(預測IC!AT21&gt;預測IC!AT$25,1,0)</f>
        <v>0</v>
      </c>
      <c r="AU21" s="10">
        <f>IF(預測IC!AU21&gt;預測IC!AU$25,1,0)</f>
        <v>1</v>
      </c>
      <c r="AV21" s="10">
        <f>IF(預測IC!AV21&gt;預測IC!AV$25,1,0)</f>
        <v>1</v>
      </c>
      <c r="AW21" s="10">
        <f>IF(預測IC!AW21&gt;預測IC!AW$25,1,0)</f>
        <v>1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1</v>
      </c>
      <c r="BA21" s="10">
        <f>IF(預測IC!BA21&gt;預測IC!BA$25,1,0)</f>
        <v>0</v>
      </c>
      <c r="BB21" s="10">
        <f>IF(預測IC!BB21&gt;預測IC!BB$25,1,0)</f>
        <v>1</v>
      </c>
      <c r="BC21" s="10">
        <f>IF(預測IC!BC21&gt;預測IC!BC$25,1,0)</f>
        <v>1</v>
      </c>
      <c r="BD21" s="10">
        <f>IF(預測IC!BD21&gt;預測IC!BD$25,1,0)</f>
        <v>0</v>
      </c>
      <c r="BE21" s="10">
        <f>IF(預測IC!BE21&gt;預測IC!BE$25,1,0)</f>
        <v>0</v>
      </c>
      <c r="BF21" s="10">
        <f>IF(預測IC!BF21&gt;預測IC!BF$25,1,0)</f>
        <v>0</v>
      </c>
      <c r="BG21" s="10">
        <f>IF(預測IC!BG21&gt;預測IC!BG$25,1,0)</f>
        <v>0</v>
      </c>
      <c r="BH21" s="10">
        <f>IF(預測IC!BH21&gt;預測IC!BH$25,1,0)</f>
        <v>1</v>
      </c>
      <c r="BI21" s="10">
        <f>IF(預測IC!BI21&gt;預測IC!BI$25,1,0)</f>
        <v>0</v>
      </c>
      <c r="BJ21" s="10">
        <f>IF(預測IC!BJ21&gt;預測IC!BJ$25,1,0)</f>
        <v>1</v>
      </c>
      <c r="BK21" s="10">
        <f>IF(預測IC!BK21&gt;預測IC!BK$25,1,0)</f>
        <v>0</v>
      </c>
      <c r="BL21" s="10">
        <f>IF(預測IC!BL21&gt;預測IC!BL$25,1,0)</f>
        <v>0</v>
      </c>
      <c r="BM21" s="10">
        <f>IF(預測IC!BM21&gt;預測IC!BM$25,1,0)</f>
        <v>0</v>
      </c>
      <c r="BN21" s="10">
        <f>IF(預測IC!BN21&gt;預測IC!BN$25,1,0)</f>
        <v>0</v>
      </c>
      <c r="BO21" s="10">
        <f>IF(預測IC!BO21&gt;預測IC!BO$25,1,0)</f>
        <v>1</v>
      </c>
      <c r="BP21" s="10">
        <f>IF(預測IC!BP21&gt;預測IC!BP$25,1,0)</f>
        <v>1</v>
      </c>
      <c r="BQ21" s="10">
        <f>IF(預測IC!BQ21&gt;預測IC!BQ$25,1,0)</f>
        <v>0</v>
      </c>
      <c r="BR21" s="10">
        <f>IF(預測IC!BR21&gt;預測IC!BR$25,1,0)</f>
        <v>1</v>
      </c>
      <c r="BS21" s="10">
        <f>IF(預測IC!BS21&gt;預測IC!BS$25,1,0)</f>
        <v>0</v>
      </c>
      <c r="BT21" s="10">
        <f>IF(預測IC!BT21&gt;預測IC!BT$25,1,0)</f>
        <v>0</v>
      </c>
      <c r="BU21" s="10">
        <f>IF(預測IC!BU21&gt;預測IC!BU$25,1,0)</f>
        <v>0</v>
      </c>
      <c r="BV21" s="10">
        <f>IF(預測IC!BV21&gt;預測IC!BV$25,1,0)</f>
        <v>0</v>
      </c>
      <c r="BW21" s="10">
        <f>IF(預測IC!BW21&gt;預測IC!BW$25,1,0)</f>
        <v>1</v>
      </c>
      <c r="BX21" s="10">
        <f>IF(預測IC!BX21&gt;預測IC!BX$25,1,0)</f>
        <v>1</v>
      </c>
      <c r="BY21" s="10">
        <f>IF(預測IC!BY21&gt;預測IC!BY$25,1,0)</f>
        <v>1</v>
      </c>
      <c r="BZ21" s="10">
        <f>IF(預測IC!BZ21&gt;預測IC!BZ$25,1,0)</f>
        <v>0</v>
      </c>
      <c r="CA21" s="10">
        <f>IF(預測IC!CA21&gt;預測IC!CA$25,1,0)</f>
        <v>1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1</v>
      </c>
      <c r="CF21" s="10">
        <f>IF(預測IC!CF21&gt;預測IC!CF$25,1,0)</f>
        <v>1</v>
      </c>
      <c r="CG21" s="10">
        <f>IF(預測IC!CG21&gt;預測IC!CG$25,1,0)</f>
        <v>1</v>
      </c>
      <c r="CH21" s="10">
        <f>IF(預測IC!CH21&gt;預測IC!CH$25,1,0)</f>
        <v>0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1</v>
      </c>
      <c r="CL21" s="10">
        <f>IF(預測IC!CL21&gt;預測IC!CL$25,1,0)</f>
        <v>0</v>
      </c>
      <c r="CM21" s="10">
        <f>IF(預測IC!CM21&gt;預測IC!CM$25,1,0)</f>
        <v>0</v>
      </c>
      <c r="CN21" s="10">
        <f>IF(預測IC!CN21&gt;預測IC!CN$25,1,0)</f>
        <v>1</v>
      </c>
      <c r="CO21" s="10">
        <f>IF(預測IC!CO21&gt;預測IC!CO$25,1,0)</f>
        <v>1</v>
      </c>
      <c r="CP21" s="10">
        <f>IF(預測IC!CP21&gt;預測IC!CP$25,1,0)</f>
        <v>1</v>
      </c>
      <c r="CQ21" s="10">
        <f>IF(預測IC!CQ21&gt;預測IC!CQ$25,1,0)</f>
        <v>1</v>
      </c>
      <c r="CR21" s="10">
        <f>IF(預測IC!CR21&gt;預測IC!CR$25,1,0)</f>
        <v>1</v>
      </c>
      <c r="CS21" s="10">
        <f>IF(預測IC!CS21&gt;預測IC!CS$25,1,0)</f>
        <v>0</v>
      </c>
      <c r="CT21" s="10">
        <f>IF(預測IC!CT21&gt;預測IC!CT$25,1,0)</f>
        <v>0</v>
      </c>
      <c r="CU21" s="10">
        <f>IF(預測IC!CU21&gt;預測IC!CU$25,1,0)</f>
        <v>1</v>
      </c>
      <c r="CV21" s="10">
        <f>IF(預測IC!CV21&gt;預測IC!CV$25,1,0)</f>
        <v>1</v>
      </c>
      <c r="CW21" s="10">
        <f>IF(預測IC!CW21&gt;預測IC!CW$25,1,0)</f>
        <v>1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0</v>
      </c>
      <c r="DB21" s="10">
        <f>IF(預測IC!DB21&gt;預測IC!DB$25,1,0)</f>
        <v>1</v>
      </c>
      <c r="DC21" s="10">
        <f>IF(預測IC!DC21&gt;預測IC!DC$25,1,0)</f>
        <v>1</v>
      </c>
      <c r="DD21" s="10">
        <f>IF(預測IC!DD21&gt;預測IC!DD$25,1,0)</f>
        <v>0</v>
      </c>
      <c r="DE21" s="10">
        <f>IF(預測IC!DE21&gt;預測IC!DE$25,1,0)</f>
        <v>0</v>
      </c>
      <c r="DF21" s="10">
        <f>IF(預測IC!DF21&gt;預測IC!DF$25,1,0)</f>
        <v>0</v>
      </c>
      <c r="DG21" s="10">
        <f>IF(預測IC!DG21&gt;預測IC!DG$25,1,0)</f>
        <v>0</v>
      </c>
      <c r="DH21" s="10">
        <f>IF(預測IC!DH21&gt;預測IC!DH$25,1,0)</f>
        <v>1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0</v>
      </c>
      <c r="DN21" s="10">
        <f>IF(預測IC!DN21&gt;預測IC!DN$25,1,0)</f>
        <v>0</v>
      </c>
      <c r="DO21" s="10">
        <f>IF(預測IC!DO21&gt;預測IC!DO$25,1,0)</f>
        <v>1</v>
      </c>
      <c r="DP21" s="10">
        <f>IF(預測IC!DP21&gt;預測IC!DP$25,1,0)</f>
        <v>1</v>
      </c>
      <c r="DQ21" s="10">
        <f>IF(預測IC!DQ21&gt;預測IC!DQ$25,1,0)</f>
        <v>0</v>
      </c>
      <c r="DR21" s="10">
        <f>IF(預測IC!DR21&gt;預測IC!DR$25,1,0)</f>
        <v>1</v>
      </c>
      <c r="DS21" s="10">
        <f>IF(預測IC!DS21&gt;預測IC!DS$25,1,0)</f>
        <v>0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1</v>
      </c>
      <c r="DW21" s="10">
        <f>IF(預測IC!DW21&gt;預測IC!DW$25,1,0)</f>
        <v>0</v>
      </c>
      <c r="DX21" s="10">
        <f>IF(預測IC!DX21&gt;預測IC!DX$25,1,0)</f>
        <v>0</v>
      </c>
      <c r="DY21" s="10">
        <f>IF(預測IC!DY21&gt;預測IC!DY$25,1,0)</f>
        <v>1</v>
      </c>
      <c r="DZ21" s="10">
        <f>IF(預測IC!DZ21&gt;預測IC!DZ$25,1,0)</f>
        <v>1</v>
      </c>
      <c r="EA21" s="10">
        <f>IF(預測IC!EA21&gt;預測IC!EA$25,1,0)</f>
        <v>0</v>
      </c>
      <c r="EB21" s="10">
        <f>IF(預測IC!EB21&gt;預測IC!EB$25,1,0)</f>
        <v>0</v>
      </c>
      <c r="EC21" s="10">
        <f>IF(預測IC!EC21&gt;預測IC!EC$25,1,0)</f>
        <v>1</v>
      </c>
      <c r="ED21" s="10">
        <f>IF(預測IC!ED21&gt;預測IC!ED$25,1,0)</f>
        <v>0</v>
      </c>
      <c r="EE21" s="10">
        <f>IF(預測IC!EE21&gt;預測IC!EE$25,1,0)</f>
        <v>0</v>
      </c>
      <c r="EF21" s="10">
        <f>IF(預測IC!EF21&gt;預測IC!EF$25,1,0)</f>
        <v>1</v>
      </c>
      <c r="EG21" s="10">
        <f>IF(預測IC!EG21&gt;預測IC!EG$25,1,0)</f>
        <v>1</v>
      </c>
      <c r="EH21" s="10">
        <f>IF(預測IC!EH21&gt;預測IC!EH$25,1,0)</f>
        <v>1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0</v>
      </c>
      <c r="EL21" s="10">
        <f>IF(預測IC!EL21&gt;預測IC!EL$25,1,0)</f>
        <v>0</v>
      </c>
      <c r="EM21" s="6">
        <f t="shared" si="11"/>
        <v>69</v>
      </c>
      <c r="EN21" s="20">
        <f t="shared" si="12"/>
        <v>0.49285714285714288</v>
      </c>
    </row>
    <row r="22" spans="1:144" x14ac:dyDescent="0.3">
      <c r="A22" s="19">
        <v>400</v>
      </c>
      <c r="B22" s="19">
        <f t="shared" si="10"/>
        <v>3</v>
      </c>
      <c r="C22" s="10">
        <f>IF(預測IC!C22&gt;預測IC!C$25,1,0)</f>
        <v>1</v>
      </c>
      <c r="D22" s="10">
        <f>IF(預測IC!D22&gt;預測IC!D$25,1,0)</f>
        <v>1</v>
      </c>
      <c r="E22" s="10">
        <f>IF(預測IC!E22&gt;預測IC!E$25,1,0)</f>
        <v>0</v>
      </c>
      <c r="F22" s="10">
        <f>IF(預測IC!F22&gt;預測IC!F$25,1,0)</f>
        <v>0</v>
      </c>
      <c r="G22" s="10">
        <f>IF(預測IC!G22&gt;預測IC!G$25,1,0)</f>
        <v>0</v>
      </c>
      <c r="H22" s="10">
        <f>IF(預測IC!H22&gt;預測IC!H$25,1,0)</f>
        <v>0</v>
      </c>
      <c r="I22" s="10">
        <f>IF(預測IC!I22&gt;預測IC!I$25,1,0)</f>
        <v>1</v>
      </c>
      <c r="J22" s="10">
        <f>IF(預測IC!J22&gt;預測IC!J$25,1,0)</f>
        <v>1</v>
      </c>
      <c r="K22" s="10">
        <f>IF(預測IC!K22&gt;預測IC!K$25,1,0)</f>
        <v>1</v>
      </c>
      <c r="L22" s="10">
        <f>IF(預測IC!L22&gt;預測IC!L$25,1,0)</f>
        <v>0</v>
      </c>
      <c r="M22" s="10">
        <f>IF(預測IC!M22&gt;預測IC!M$25,1,0)</f>
        <v>1</v>
      </c>
      <c r="N22" s="10">
        <f>IF(預測IC!N22&gt;預測IC!N$25,1,0)</f>
        <v>1</v>
      </c>
      <c r="O22" s="10">
        <f>IF(預測IC!O22&gt;預測IC!O$25,1,0)</f>
        <v>1</v>
      </c>
      <c r="P22" s="10">
        <f>IF(預測IC!P22&gt;預測IC!P$25,1,0)</f>
        <v>1</v>
      </c>
      <c r="Q22" s="10">
        <f>IF(預測IC!Q22&gt;預測IC!Q$25,1,0)</f>
        <v>0</v>
      </c>
      <c r="R22" s="10">
        <f>IF(預測IC!R22&gt;預測IC!R$25,1,0)</f>
        <v>0</v>
      </c>
      <c r="S22" s="10">
        <f>IF(預測IC!S22&gt;預測IC!S$25,1,0)</f>
        <v>1</v>
      </c>
      <c r="T22" s="10">
        <f>IF(預測IC!T22&gt;預測IC!T$25,1,0)</f>
        <v>1</v>
      </c>
      <c r="U22" s="10">
        <f>IF(預測IC!U22&gt;預測IC!U$25,1,0)</f>
        <v>0</v>
      </c>
      <c r="V22" s="10">
        <f>IF(預測IC!V22&gt;預測IC!V$25,1,0)</f>
        <v>1</v>
      </c>
      <c r="W22" s="10">
        <f>IF(預測IC!W22&gt;預測IC!W$25,1,0)</f>
        <v>1</v>
      </c>
      <c r="X22" s="10">
        <f>IF(預測IC!X22&gt;預測IC!X$25,1,0)</f>
        <v>1</v>
      </c>
      <c r="Y22" s="10">
        <f>IF(預測IC!Y22&gt;預測IC!Y$25,1,0)</f>
        <v>0</v>
      </c>
      <c r="Z22" s="10">
        <f>IF(預測IC!Z22&gt;預測IC!Z$25,1,0)</f>
        <v>1</v>
      </c>
      <c r="AA22" s="10">
        <f>IF(預測IC!AA22&gt;預測IC!AA$25,1,0)</f>
        <v>0</v>
      </c>
      <c r="AB22" s="10">
        <f>IF(預測IC!AB22&gt;預測IC!AB$25,1,0)</f>
        <v>1</v>
      </c>
      <c r="AC22" s="10">
        <f>IF(預測IC!AC22&gt;預測IC!AC$25,1,0)</f>
        <v>1</v>
      </c>
      <c r="AD22" s="10">
        <f>IF(預測IC!AD22&gt;預測IC!AD$25,1,0)</f>
        <v>1</v>
      </c>
      <c r="AE22" s="10">
        <f>IF(預測IC!AE22&gt;預測IC!AE$25,1,0)</f>
        <v>0</v>
      </c>
      <c r="AF22" s="10">
        <f>IF(預測IC!AF22&gt;預測IC!AF$25,1,0)</f>
        <v>0</v>
      </c>
      <c r="AG22" s="10">
        <f>IF(預測IC!AG22&gt;預測IC!AG$25,1,0)</f>
        <v>0</v>
      </c>
      <c r="AH22" s="10">
        <f>IF(預測IC!AH22&gt;預測IC!AH$25,1,0)</f>
        <v>0</v>
      </c>
      <c r="AI22" s="10">
        <f>IF(預測IC!AI22&gt;預測IC!AI$25,1,0)</f>
        <v>0</v>
      </c>
      <c r="AJ22" s="10">
        <f>IF(預測IC!AJ22&gt;預測IC!AJ$25,1,0)</f>
        <v>0</v>
      </c>
      <c r="AK22" s="10">
        <f>IF(預測IC!AK22&gt;預測IC!AK$25,1,0)</f>
        <v>0</v>
      </c>
      <c r="AL22" s="10">
        <f>IF(預測IC!AL22&gt;預測IC!AL$25,1,0)</f>
        <v>0</v>
      </c>
      <c r="AM22" s="10">
        <f>IF(預測IC!AM22&gt;預測IC!AM$25,1,0)</f>
        <v>1</v>
      </c>
      <c r="AN22" s="10">
        <f>IF(預測IC!AN22&gt;預測IC!AN$25,1,0)</f>
        <v>1</v>
      </c>
      <c r="AO22" s="10">
        <f>IF(預測IC!AO22&gt;預測IC!AO$25,1,0)</f>
        <v>1</v>
      </c>
      <c r="AP22" s="10">
        <f>IF(預測IC!AP22&gt;預測IC!AP$25,1,0)</f>
        <v>1</v>
      </c>
      <c r="AQ22" s="10">
        <f>IF(預測IC!AQ22&gt;預測IC!AQ$25,1,0)</f>
        <v>0</v>
      </c>
      <c r="AR22" s="10">
        <f>IF(預測IC!AR22&gt;預測IC!AR$25,1,0)</f>
        <v>0</v>
      </c>
      <c r="AS22" s="10">
        <f>IF(預測IC!AS22&gt;預測IC!AS$25,1,0)</f>
        <v>1</v>
      </c>
      <c r="AT22" s="10">
        <f>IF(預測IC!AT22&gt;預測IC!AT$25,1,0)</f>
        <v>0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0</v>
      </c>
      <c r="BB22" s="10">
        <f>IF(預測IC!BB22&gt;預測IC!BB$25,1,0)</f>
        <v>1</v>
      </c>
      <c r="BC22" s="10">
        <f>IF(預測IC!BC22&gt;預測IC!BC$25,1,0)</f>
        <v>0</v>
      </c>
      <c r="BD22" s="10">
        <f>IF(預測IC!BD22&gt;預測IC!BD$25,1,0)</f>
        <v>0</v>
      </c>
      <c r="BE22" s="10">
        <f>IF(預測IC!BE22&gt;預測IC!BE$25,1,0)</f>
        <v>0</v>
      </c>
      <c r="BF22" s="10">
        <f>IF(預測IC!BF22&gt;預測IC!BF$25,1,0)</f>
        <v>0</v>
      </c>
      <c r="BG22" s="10">
        <f>IF(預測IC!BG22&gt;預測IC!BG$25,1,0)</f>
        <v>0</v>
      </c>
      <c r="BH22" s="10">
        <f>IF(預測IC!BH22&gt;預測IC!BH$25,1,0)</f>
        <v>1</v>
      </c>
      <c r="BI22" s="10">
        <f>IF(預測IC!BI22&gt;預測IC!BI$25,1,0)</f>
        <v>0</v>
      </c>
      <c r="BJ22" s="10">
        <f>IF(預測IC!BJ22&gt;預測IC!BJ$25,1,0)</f>
        <v>1</v>
      </c>
      <c r="BK22" s="10">
        <f>IF(預測IC!BK22&gt;預測IC!BK$25,1,0)</f>
        <v>0</v>
      </c>
      <c r="BL22" s="10">
        <f>IF(預測IC!BL22&gt;預測IC!BL$25,1,0)</f>
        <v>0</v>
      </c>
      <c r="BM22" s="10">
        <f>IF(預測IC!BM22&gt;預測IC!BM$25,1,0)</f>
        <v>0</v>
      </c>
      <c r="BN22" s="10">
        <f>IF(預測IC!BN22&gt;預測IC!BN$25,1,0)</f>
        <v>0</v>
      </c>
      <c r="BO22" s="10">
        <f>IF(預測IC!BO22&gt;預測IC!BO$25,1,0)</f>
        <v>1</v>
      </c>
      <c r="BP22" s="10">
        <f>IF(預測IC!BP22&gt;預測IC!BP$25,1,0)</f>
        <v>1</v>
      </c>
      <c r="BQ22" s="10">
        <f>IF(預測IC!BQ22&gt;預測IC!BQ$25,1,0)</f>
        <v>0</v>
      </c>
      <c r="BR22" s="10">
        <f>IF(預測IC!BR22&gt;預測IC!BR$25,1,0)</f>
        <v>1</v>
      </c>
      <c r="BS22" s="10">
        <f>IF(預測IC!BS22&gt;預測IC!BS$25,1,0)</f>
        <v>0</v>
      </c>
      <c r="BT22" s="10">
        <f>IF(預測IC!BT22&gt;預測IC!BT$25,1,0)</f>
        <v>0</v>
      </c>
      <c r="BU22" s="10">
        <f>IF(預測IC!BU22&gt;預測IC!BU$25,1,0)</f>
        <v>0</v>
      </c>
      <c r="BV22" s="10">
        <f>IF(預測IC!BV22&gt;預測IC!BV$25,1,0)</f>
        <v>0</v>
      </c>
      <c r="BW22" s="10">
        <f>IF(預測IC!BW22&gt;預測IC!BW$25,1,0)</f>
        <v>1</v>
      </c>
      <c r="BX22" s="10">
        <f>IF(預測IC!BX22&gt;預測IC!BX$25,1,0)</f>
        <v>1</v>
      </c>
      <c r="BY22" s="10">
        <f>IF(預測IC!BY22&gt;預測IC!BY$25,1,0)</f>
        <v>1</v>
      </c>
      <c r="BZ22" s="10">
        <f>IF(預測IC!BZ22&gt;預測IC!BZ$25,1,0)</f>
        <v>0</v>
      </c>
      <c r="CA22" s="10">
        <f>IF(預測IC!CA22&gt;預測IC!CA$25,1,0)</f>
        <v>1</v>
      </c>
      <c r="CB22" s="10">
        <f>IF(預測IC!CB22&gt;預測IC!CB$25,1,0)</f>
        <v>0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1</v>
      </c>
      <c r="CF22" s="10">
        <f>IF(預測IC!CF22&gt;預測IC!CF$25,1,0)</f>
        <v>1</v>
      </c>
      <c r="CG22" s="10">
        <f>IF(預測IC!CG22&gt;預測IC!CG$25,1,0)</f>
        <v>1</v>
      </c>
      <c r="CH22" s="10">
        <f>IF(預測IC!CH22&gt;預測IC!CH$25,1,0)</f>
        <v>0</v>
      </c>
      <c r="CI22" s="10">
        <f>IF(預測IC!CI22&gt;預測IC!CI$25,1,0)</f>
        <v>0</v>
      </c>
      <c r="CJ22" s="10">
        <f>IF(預測IC!CJ22&gt;預測IC!CJ$25,1,0)</f>
        <v>0</v>
      </c>
      <c r="CK22" s="10">
        <f>IF(預測IC!CK22&gt;預測IC!CK$25,1,0)</f>
        <v>1</v>
      </c>
      <c r="CL22" s="10">
        <f>IF(預測IC!CL22&gt;預測IC!CL$25,1,0)</f>
        <v>0</v>
      </c>
      <c r="CM22" s="10">
        <f>IF(預測IC!CM22&gt;預測IC!CM$25,1,0)</f>
        <v>1</v>
      </c>
      <c r="CN22" s="10">
        <f>IF(預測IC!CN22&gt;預測IC!CN$25,1,0)</f>
        <v>1</v>
      </c>
      <c r="CO22" s="10">
        <f>IF(預測IC!CO22&gt;預測IC!CO$25,1,0)</f>
        <v>1</v>
      </c>
      <c r="CP22" s="10">
        <f>IF(預測IC!CP22&gt;預測IC!CP$25,1,0)</f>
        <v>1</v>
      </c>
      <c r="CQ22" s="10">
        <f>IF(預測IC!CQ22&gt;預測IC!CQ$25,1,0)</f>
        <v>1</v>
      </c>
      <c r="CR22" s="10">
        <f>IF(預測IC!CR22&gt;預測IC!CR$25,1,0)</f>
        <v>1</v>
      </c>
      <c r="CS22" s="10">
        <f>IF(預測IC!CS22&gt;預測IC!CS$25,1,0)</f>
        <v>0</v>
      </c>
      <c r="CT22" s="10">
        <f>IF(預測IC!CT22&gt;預測IC!CT$25,1,0)</f>
        <v>0</v>
      </c>
      <c r="CU22" s="10">
        <f>IF(預測IC!CU22&gt;預測IC!CU$25,1,0)</f>
        <v>1</v>
      </c>
      <c r="CV22" s="10">
        <f>IF(預測IC!CV22&gt;預測IC!CV$25,1,0)</f>
        <v>0</v>
      </c>
      <c r="CW22" s="10">
        <f>IF(預測IC!CW22&gt;預測IC!CW$25,1,0)</f>
        <v>1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0</v>
      </c>
      <c r="DB22" s="10">
        <f>IF(預測IC!DB22&gt;預測IC!DB$25,1,0)</f>
        <v>1</v>
      </c>
      <c r="DC22" s="10">
        <f>IF(預測IC!DC22&gt;預測IC!DC$25,1,0)</f>
        <v>1</v>
      </c>
      <c r="DD22" s="10">
        <f>IF(預測IC!DD22&gt;預測IC!DD$25,1,0)</f>
        <v>0</v>
      </c>
      <c r="DE22" s="10">
        <f>IF(預測IC!DE22&gt;預測IC!DE$25,1,0)</f>
        <v>0</v>
      </c>
      <c r="DF22" s="10">
        <f>IF(預測IC!DF22&gt;預測IC!DF$25,1,0)</f>
        <v>0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0</v>
      </c>
      <c r="DJ22" s="10">
        <f>IF(預測IC!DJ22&gt;預測IC!DJ$25,1,0)</f>
        <v>1</v>
      </c>
      <c r="DK22" s="10">
        <f>IF(預測IC!DK22&gt;預測IC!DK$25,1,0)</f>
        <v>0</v>
      </c>
      <c r="DL22" s="10">
        <f>IF(預測IC!DL22&gt;預測IC!DL$25,1,0)</f>
        <v>0</v>
      </c>
      <c r="DM22" s="10">
        <f>IF(預測IC!DM22&gt;預測IC!DM$25,1,0)</f>
        <v>0</v>
      </c>
      <c r="DN22" s="10">
        <f>IF(預測IC!DN22&gt;預測IC!DN$25,1,0)</f>
        <v>0</v>
      </c>
      <c r="DO22" s="10">
        <f>IF(預測IC!DO22&gt;預測IC!DO$25,1,0)</f>
        <v>1</v>
      </c>
      <c r="DP22" s="10">
        <f>IF(預測IC!DP22&gt;預測IC!DP$25,1,0)</f>
        <v>1</v>
      </c>
      <c r="DQ22" s="10">
        <f>IF(預測IC!DQ22&gt;預測IC!DQ$25,1,0)</f>
        <v>0</v>
      </c>
      <c r="DR22" s="10">
        <f>IF(預測IC!DR22&gt;預測IC!DR$25,1,0)</f>
        <v>1</v>
      </c>
      <c r="DS22" s="10">
        <f>IF(預測IC!DS22&gt;預測IC!DS$25,1,0)</f>
        <v>0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1</v>
      </c>
      <c r="DW22" s="10">
        <f>IF(預測IC!DW22&gt;預測IC!DW$25,1,0)</f>
        <v>0</v>
      </c>
      <c r="DX22" s="10">
        <f>IF(預測IC!DX22&gt;預測IC!DX$25,1,0)</f>
        <v>0</v>
      </c>
      <c r="DY22" s="10">
        <f>IF(預測IC!DY22&gt;預測IC!DY$25,1,0)</f>
        <v>1</v>
      </c>
      <c r="DZ22" s="10">
        <f>IF(預測IC!DZ22&gt;預測IC!DZ$25,1,0)</f>
        <v>1</v>
      </c>
      <c r="EA22" s="10">
        <f>IF(預測IC!EA22&gt;預測IC!EA$25,1,0)</f>
        <v>0</v>
      </c>
      <c r="EB22" s="10">
        <f>IF(預測IC!EB22&gt;預測IC!EB$25,1,0)</f>
        <v>0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0</v>
      </c>
      <c r="EF22" s="10">
        <f>IF(預測IC!EF22&gt;預測IC!EF$25,1,0)</f>
        <v>1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0</v>
      </c>
      <c r="EL22" s="10">
        <f>IF(預測IC!EL22&gt;預測IC!EL$25,1,0)</f>
        <v>0</v>
      </c>
      <c r="EM22" s="6">
        <f t="shared" si="11"/>
        <v>66</v>
      </c>
      <c r="EN22" s="20">
        <f t="shared" si="12"/>
        <v>0.47142857142857142</v>
      </c>
    </row>
    <row r="23" spans="1:144" x14ac:dyDescent="0.3">
      <c r="A23" s="19">
        <v>512</v>
      </c>
      <c r="B23" s="19">
        <f t="shared" si="10"/>
        <v>2</v>
      </c>
      <c r="C23" s="10">
        <f>IF(預測IC!C23&gt;預測IC!C$25,1,0)</f>
        <v>1</v>
      </c>
      <c r="D23" s="10">
        <f>IF(預測IC!D23&gt;預測IC!D$25,1,0)</f>
        <v>1</v>
      </c>
      <c r="E23" s="10">
        <f>IF(預測IC!E23&gt;預測IC!E$25,1,0)</f>
        <v>0</v>
      </c>
      <c r="F23" s="10">
        <f>IF(預測IC!F23&gt;預測IC!F$25,1,0)</f>
        <v>0</v>
      </c>
      <c r="G23" s="10">
        <f>IF(預測IC!G23&gt;預測IC!G$25,1,0)</f>
        <v>1</v>
      </c>
      <c r="H23" s="10">
        <f>IF(預測IC!H23&gt;預測IC!H$25,1,0)</f>
        <v>0</v>
      </c>
      <c r="I23" s="10">
        <f>IF(預測IC!I23&gt;預測IC!I$25,1,0)</f>
        <v>1</v>
      </c>
      <c r="J23" s="10">
        <f>IF(預測IC!J23&gt;預測IC!J$25,1,0)</f>
        <v>1</v>
      </c>
      <c r="K23" s="10">
        <f>IF(預測IC!K23&gt;預測IC!K$25,1,0)</f>
        <v>1</v>
      </c>
      <c r="L23" s="10">
        <f>IF(預測IC!L23&gt;預測IC!L$25,1,0)</f>
        <v>0</v>
      </c>
      <c r="M23" s="10">
        <f>IF(預測IC!M23&gt;預測IC!M$25,1,0)</f>
        <v>1</v>
      </c>
      <c r="N23" s="10">
        <f>IF(預測IC!N23&gt;預測IC!N$25,1,0)</f>
        <v>1</v>
      </c>
      <c r="O23" s="10">
        <f>IF(預測IC!O23&gt;預測IC!O$25,1,0)</f>
        <v>1</v>
      </c>
      <c r="P23" s="10">
        <f>IF(預測IC!P23&gt;預測IC!P$25,1,0)</f>
        <v>1</v>
      </c>
      <c r="Q23" s="10">
        <f>IF(預測IC!Q23&gt;預測IC!Q$25,1,0)</f>
        <v>1</v>
      </c>
      <c r="R23" s="10">
        <f>IF(預測IC!R23&gt;預測IC!R$25,1,0)</f>
        <v>0</v>
      </c>
      <c r="S23" s="10">
        <f>IF(預測IC!S23&gt;預測IC!S$25,1,0)</f>
        <v>1</v>
      </c>
      <c r="T23" s="10">
        <f>IF(預測IC!T23&gt;預測IC!T$25,1,0)</f>
        <v>0</v>
      </c>
      <c r="U23" s="10">
        <f>IF(預測IC!U23&gt;預測IC!U$25,1,0)</f>
        <v>0</v>
      </c>
      <c r="V23" s="10">
        <f>IF(預測IC!V23&gt;預測IC!V$25,1,0)</f>
        <v>1</v>
      </c>
      <c r="W23" s="10">
        <f>IF(預測IC!W23&gt;預測IC!W$25,1,0)</f>
        <v>1</v>
      </c>
      <c r="X23" s="10">
        <f>IF(預測IC!X23&gt;預測IC!X$25,1,0)</f>
        <v>1</v>
      </c>
      <c r="Y23" s="10">
        <f>IF(預測IC!Y23&gt;預測IC!Y$25,1,0)</f>
        <v>0</v>
      </c>
      <c r="Z23" s="10">
        <f>IF(預測IC!Z23&gt;預測IC!Z$25,1,0)</f>
        <v>1</v>
      </c>
      <c r="AA23" s="10">
        <f>IF(預測IC!AA23&gt;預測IC!AA$25,1,0)</f>
        <v>0</v>
      </c>
      <c r="AB23" s="10">
        <f>IF(預測IC!AB23&gt;預測IC!AB$25,1,0)</f>
        <v>0</v>
      </c>
      <c r="AC23" s="10">
        <f>IF(預測IC!AC23&gt;預測IC!AC$25,1,0)</f>
        <v>0</v>
      </c>
      <c r="AD23" s="10">
        <f>IF(預測IC!AD23&gt;預測IC!AD$25,1,0)</f>
        <v>1</v>
      </c>
      <c r="AE23" s="10">
        <f>IF(預測IC!AE23&gt;預測IC!AE$25,1,0)</f>
        <v>0</v>
      </c>
      <c r="AF23" s="10">
        <f>IF(預測IC!AF23&gt;預測IC!AF$25,1,0)</f>
        <v>0</v>
      </c>
      <c r="AG23" s="10">
        <f>IF(預測IC!AG23&gt;預測IC!AG$25,1,0)</f>
        <v>0</v>
      </c>
      <c r="AH23" s="10">
        <f>IF(預測IC!AH23&gt;預測IC!AH$25,1,0)</f>
        <v>0</v>
      </c>
      <c r="AI23" s="10">
        <f>IF(預測IC!AI23&gt;預測IC!AI$25,1,0)</f>
        <v>0</v>
      </c>
      <c r="AJ23" s="10">
        <f>IF(預測IC!AJ23&gt;預測IC!AJ$25,1,0)</f>
        <v>0</v>
      </c>
      <c r="AK23" s="10">
        <f>IF(預測IC!AK23&gt;預測IC!AK$25,1,0)</f>
        <v>0</v>
      </c>
      <c r="AL23" s="10">
        <f>IF(預測IC!AL23&gt;預測IC!AL$25,1,0)</f>
        <v>0</v>
      </c>
      <c r="AM23" s="10">
        <f>IF(預測IC!AM23&gt;預測IC!AM$25,1,0)</f>
        <v>1</v>
      </c>
      <c r="AN23" s="10">
        <f>IF(預測IC!AN23&gt;預測IC!AN$25,1,0)</f>
        <v>1</v>
      </c>
      <c r="AO23" s="10">
        <f>IF(預測IC!AO23&gt;預測IC!AO$25,1,0)</f>
        <v>0</v>
      </c>
      <c r="AP23" s="10">
        <f>IF(預測IC!AP23&gt;預測IC!AP$25,1,0)</f>
        <v>1</v>
      </c>
      <c r="AQ23" s="10">
        <f>IF(預測IC!AQ23&gt;預測IC!AQ$25,1,0)</f>
        <v>0</v>
      </c>
      <c r="AR23" s="10">
        <f>IF(預測IC!AR23&gt;預測IC!AR$25,1,0)</f>
        <v>0</v>
      </c>
      <c r="AS23" s="10">
        <f>IF(預測IC!AS23&gt;預測IC!AS$25,1,0)</f>
        <v>1</v>
      </c>
      <c r="AT23" s="10">
        <f>IF(預測IC!AT23&gt;預測IC!AT$25,1,0)</f>
        <v>0</v>
      </c>
      <c r="AU23" s="10">
        <f>IF(預測IC!AU23&gt;預測IC!AU$25,1,0)</f>
        <v>1</v>
      </c>
      <c r="AV23" s="10">
        <f>IF(預測IC!AV23&gt;預測IC!AV$25,1,0)</f>
        <v>0</v>
      </c>
      <c r="AW23" s="10">
        <f>IF(預測IC!AW23&gt;預測IC!AW$25,1,0)</f>
        <v>1</v>
      </c>
      <c r="AX23" s="10">
        <f>IF(預測IC!AX23&gt;預測IC!AX$25,1,0)</f>
        <v>1</v>
      </c>
      <c r="AY23" s="10">
        <f>IF(預測IC!AY23&gt;預測IC!AY$25,1,0)</f>
        <v>1</v>
      </c>
      <c r="AZ23" s="10">
        <f>IF(預測IC!AZ23&gt;預測IC!AZ$25,1,0)</f>
        <v>1</v>
      </c>
      <c r="BA23" s="10">
        <f>IF(預測IC!BA23&gt;預測IC!BA$25,1,0)</f>
        <v>0</v>
      </c>
      <c r="BB23" s="10">
        <f>IF(預測IC!BB23&gt;預測IC!BB$25,1,0)</f>
        <v>1</v>
      </c>
      <c r="BC23" s="10">
        <f>IF(預測IC!BC23&gt;預測IC!BC$25,1,0)</f>
        <v>0</v>
      </c>
      <c r="BD23" s="10">
        <f>IF(預測IC!BD23&gt;預測IC!BD$25,1,0)</f>
        <v>1</v>
      </c>
      <c r="BE23" s="10">
        <f>IF(預測IC!BE23&gt;預測IC!BE$25,1,0)</f>
        <v>0</v>
      </c>
      <c r="BF23" s="10">
        <f>IF(預測IC!BF23&gt;預測IC!BF$25,1,0)</f>
        <v>0</v>
      </c>
      <c r="BG23" s="10">
        <f>IF(預測IC!BG23&gt;預測IC!BG$25,1,0)</f>
        <v>0</v>
      </c>
      <c r="BH23" s="10">
        <f>IF(預測IC!BH23&gt;預測IC!BH$25,1,0)</f>
        <v>1</v>
      </c>
      <c r="BI23" s="10">
        <f>IF(預測IC!BI23&gt;預測IC!BI$25,1,0)</f>
        <v>0</v>
      </c>
      <c r="BJ23" s="10">
        <f>IF(預測IC!BJ23&gt;預測IC!BJ$25,1,0)</f>
        <v>0</v>
      </c>
      <c r="BK23" s="10">
        <f>IF(預測IC!BK23&gt;預測IC!BK$25,1,0)</f>
        <v>0</v>
      </c>
      <c r="BL23" s="10">
        <f>IF(預測IC!BL23&gt;預測IC!BL$25,1,0)</f>
        <v>0</v>
      </c>
      <c r="BM23" s="10">
        <f>IF(預測IC!BM23&gt;預測IC!BM$25,1,0)</f>
        <v>1</v>
      </c>
      <c r="BN23" s="10">
        <f>IF(預測IC!BN23&gt;預測IC!BN$25,1,0)</f>
        <v>0</v>
      </c>
      <c r="BO23" s="10">
        <f>IF(預測IC!BO23&gt;預測IC!BO$25,1,0)</f>
        <v>1</v>
      </c>
      <c r="BP23" s="10">
        <f>IF(預測IC!BP23&gt;預測IC!BP$25,1,0)</f>
        <v>1</v>
      </c>
      <c r="BQ23" s="10">
        <f>IF(預測IC!BQ23&gt;預測IC!BQ$25,1,0)</f>
        <v>0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0</v>
      </c>
      <c r="BU23" s="10">
        <f>IF(預測IC!BU23&gt;預測IC!BU$25,1,0)</f>
        <v>0</v>
      </c>
      <c r="BV23" s="10">
        <f>IF(預測IC!BV23&gt;預測IC!BV$25,1,0)</f>
        <v>0</v>
      </c>
      <c r="BW23" s="10">
        <f>IF(預測IC!BW23&gt;預測IC!BW$25,1,0)</f>
        <v>1</v>
      </c>
      <c r="BX23" s="10">
        <f>IF(預測IC!BX23&gt;預測IC!BX$25,1,0)</f>
        <v>1</v>
      </c>
      <c r="BY23" s="10">
        <f>IF(預測IC!BY23&gt;預測IC!BY$25,1,0)</f>
        <v>1</v>
      </c>
      <c r="BZ23" s="10">
        <f>IF(預測IC!BZ23&gt;預測IC!BZ$25,1,0)</f>
        <v>0</v>
      </c>
      <c r="CA23" s="10">
        <f>IF(預測IC!CA23&gt;預測IC!CA$25,1,0)</f>
        <v>1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1</v>
      </c>
      <c r="CF23" s="10">
        <f>IF(預測IC!CF23&gt;預測IC!CF$25,1,0)</f>
        <v>1</v>
      </c>
      <c r="CG23" s="10">
        <f>IF(預測IC!CG23&gt;預測IC!CG$25,1,0)</f>
        <v>1</v>
      </c>
      <c r="CH23" s="10">
        <f>IF(預測IC!CH23&gt;預測IC!CH$25,1,0)</f>
        <v>0</v>
      </c>
      <c r="CI23" s="10">
        <f>IF(預測IC!CI23&gt;預測IC!CI$25,1,0)</f>
        <v>0</v>
      </c>
      <c r="CJ23" s="10">
        <f>IF(預測IC!CJ23&gt;預測IC!CJ$25,1,0)</f>
        <v>0</v>
      </c>
      <c r="CK23" s="10">
        <f>IF(預測IC!CK23&gt;預測IC!CK$25,1,0)</f>
        <v>1</v>
      </c>
      <c r="CL23" s="10">
        <f>IF(預測IC!CL23&gt;預測IC!CL$25,1,0)</f>
        <v>0</v>
      </c>
      <c r="CM23" s="10">
        <f>IF(預測IC!CM23&gt;預測IC!CM$25,1,0)</f>
        <v>1</v>
      </c>
      <c r="CN23" s="10">
        <f>IF(預測IC!CN23&gt;預測IC!CN$25,1,0)</f>
        <v>0</v>
      </c>
      <c r="CO23" s="10">
        <f>IF(預測IC!CO23&gt;預測IC!CO$25,1,0)</f>
        <v>1</v>
      </c>
      <c r="CP23" s="10">
        <f>IF(預測IC!CP23&gt;預測IC!CP$25,1,0)</f>
        <v>0</v>
      </c>
      <c r="CQ23" s="10">
        <f>IF(預測IC!CQ23&gt;預測IC!CQ$25,1,0)</f>
        <v>1</v>
      </c>
      <c r="CR23" s="10">
        <f>IF(預測IC!CR23&gt;預測IC!CR$25,1,0)</f>
        <v>1</v>
      </c>
      <c r="CS23" s="10">
        <f>IF(預測IC!CS23&gt;預測IC!CS$25,1,0)</f>
        <v>0</v>
      </c>
      <c r="CT23" s="10">
        <f>IF(預測IC!CT23&gt;預測IC!CT$25,1,0)</f>
        <v>0</v>
      </c>
      <c r="CU23" s="10">
        <f>IF(預測IC!CU23&gt;預測IC!CU$25,1,0)</f>
        <v>0</v>
      </c>
      <c r="CV23" s="10">
        <f>IF(預測IC!CV23&gt;預測IC!CV$25,1,0)</f>
        <v>0</v>
      </c>
      <c r="CW23" s="10">
        <f>IF(預測IC!CW23&gt;預測IC!CW$25,1,0)</f>
        <v>1</v>
      </c>
      <c r="CX23" s="10">
        <f>IF(預測IC!CX23&gt;預測IC!CX$25,1,0)</f>
        <v>0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0</v>
      </c>
      <c r="DB23" s="10">
        <f>IF(預測IC!DB23&gt;預測IC!DB$25,1,0)</f>
        <v>1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0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0</v>
      </c>
      <c r="DJ23" s="10">
        <f>IF(預測IC!DJ23&gt;預測IC!DJ$25,1,0)</f>
        <v>1</v>
      </c>
      <c r="DK23" s="10">
        <f>IF(預測IC!DK23&gt;預測IC!DK$25,1,0)</f>
        <v>1</v>
      </c>
      <c r="DL23" s="10">
        <f>IF(預測IC!DL23&gt;預測IC!DL$25,1,0)</f>
        <v>0</v>
      </c>
      <c r="DM23" s="10">
        <f>IF(預測IC!DM23&gt;預測IC!DM$25,1,0)</f>
        <v>0</v>
      </c>
      <c r="DN23" s="10">
        <f>IF(預測IC!DN23&gt;預測IC!DN$25,1,0)</f>
        <v>1</v>
      </c>
      <c r="DO23" s="10">
        <f>IF(預測IC!DO23&gt;預測IC!DO$25,1,0)</f>
        <v>1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1</v>
      </c>
      <c r="DS23" s="10">
        <f>IF(預測IC!DS23&gt;預測IC!DS$25,1,0)</f>
        <v>0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1</v>
      </c>
      <c r="DX23" s="10">
        <f>IF(預測IC!DX23&gt;預測IC!DX$25,1,0)</f>
        <v>0</v>
      </c>
      <c r="DY23" s="10">
        <f>IF(預測IC!DY23&gt;預測IC!DY$25,1,0)</f>
        <v>1</v>
      </c>
      <c r="DZ23" s="10">
        <f>IF(預測IC!DZ23&gt;預測IC!DZ$25,1,0)</f>
        <v>0</v>
      </c>
      <c r="EA23" s="10">
        <f>IF(預測IC!EA23&gt;預測IC!EA$25,1,0)</f>
        <v>0</v>
      </c>
      <c r="EB23" s="10">
        <f>IF(預測IC!EB23&gt;預測IC!EB$25,1,0)</f>
        <v>0</v>
      </c>
      <c r="EC23" s="10">
        <f>IF(預測IC!EC23&gt;預測IC!EC$25,1,0)</f>
        <v>1</v>
      </c>
      <c r="ED23" s="10">
        <f>IF(預測IC!ED23&gt;預測IC!ED$25,1,0)</f>
        <v>0</v>
      </c>
      <c r="EE23" s="10">
        <f>IF(預測IC!EE23&gt;預測IC!EE$25,1,0)</f>
        <v>0</v>
      </c>
      <c r="EF23" s="10">
        <f>IF(預測IC!EF23&gt;預測IC!EF$25,1,0)</f>
        <v>1</v>
      </c>
      <c r="EG23" s="10">
        <f>IF(預測IC!EG23&gt;預測IC!EG$25,1,0)</f>
        <v>0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0</v>
      </c>
      <c r="EK23" s="10">
        <f>IF(預測IC!EK23&gt;預測IC!EK$25,1,0)</f>
        <v>0</v>
      </c>
      <c r="EL23" s="10">
        <f>IF(預測IC!EL23&gt;預測IC!EL$25,1,0)</f>
        <v>0</v>
      </c>
      <c r="EM23" s="6">
        <f t="shared" si="11"/>
        <v>64</v>
      </c>
      <c r="EN23" s="20">
        <f t="shared" si="12"/>
        <v>0.45714285714285713</v>
      </c>
    </row>
    <row r="24" spans="1:144" x14ac:dyDescent="0.3">
      <c r="A24" s="19">
        <v>1051</v>
      </c>
      <c r="B24" s="19">
        <f t="shared" si="10"/>
        <v>1</v>
      </c>
      <c r="C24" s="10">
        <f>IF(預測IC!C24&gt;預測IC!C$25,1,0)</f>
        <v>1</v>
      </c>
      <c r="D24" s="10">
        <f>IF(預測IC!D24&gt;預測IC!D$25,1,0)</f>
        <v>1</v>
      </c>
      <c r="E24" s="10">
        <f>IF(預測IC!E24&gt;預測IC!E$25,1,0)</f>
        <v>0</v>
      </c>
      <c r="F24" s="10">
        <f>IF(預測IC!F24&gt;預測IC!F$25,1,0)</f>
        <v>1</v>
      </c>
      <c r="G24" s="10">
        <f>IF(預測IC!G24&gt;預測IC!G$25,1,0)</f>
        <v>0</v>
      </c>
      <c r="H24" s="10">
        <f>IF(預測IC!H24&gt;預測IC!H$25,1,0)</f>
        <v>0</v>
      </c>
      <c r="I24" s="10">
        <f>IF(預測IC!I24&gt;預測IC!I$25,1,0)</f>
        <v>1</v>
      </c>
      <c r="J24" s="10">
        <f>IF(預測IC!J24&gt;預測IC!J$25,1,0)</f>
        <v>1</v>
      </c>
      <c r="K24" s="10">
        <f>IF(預測IC!K24&gt;預測IC!K$25,1,0)</f>
        <v>1</v>
      </c>
      <c r="L24" s="10">
        <f>IF(預測IC!L24&gt;預測IC!L$25,1,0)</f>
        <v>0</v>
      </c>
      <c r="M24" s="10">
        <f>IF(預測IC!M24&gt;預測IC!M$25,1,0)</f>
        <v>1</v>
      </c>
      <c r="N24" s="10">
        <f>IF(預測IC!N24&gt;預測IC!N$25,1,0)</f>
        <v>0</v>
      </c>
      <c r="O24" s="10">
        <f>IF(預測IC!O24&gt;預測IC!O$25,1,0)</f>
        <v>1</v>
      </c>
      <c r="P24" s="10">
        <f>IF(預測IC!P24&gt;預測IC!P$25,1,0)</f>
        <v>0</v>
      </c>
      <c r="Q24" s="10">
        <f>IF(預測IC!Q24&gt;預測IC!Q$25,1,0)</f>
        <v>1</v>
      </c>
      <c r="R24" s="10">
        <f>IF(預測IC!R24&gt;預測IC!R$25,1,0)</f>
        <v>1</v>
      </c>
      <c r="S24" s="10">
        <f>IF(預測IC!S24&gt;預測IC!S$25,1,0)</f>
        <v>0</v>
      </c>
      <c r="T24" s="10">
        <f>IF(預測IC!T24&gt;預測IC!T$25,1,0)</f>
        <v>0</v>
      </c>
      <c r="U24" s="10">
        <f>IF(預測IC!U24&gt;預測IC!U$25,1,0)</f>
        <v>0</v>
      </c>
      <c r="V24" s="10">
        <f>IF(預測IC!V24&gt;預測IC!V$25,1,0)</f>
        <v>1</v>
      </c>
      <c r="W24" s="10">
        <f>IF(預測IC!W24&gt;預測IC!W$25,1,0)</f>
        <v>1</v>
      </c>
      <c r="X24" s="10">
        <f>IF(預測IC!X24&gt;預測IC!X$25,1,0)</f>
        <v>1</v>
      </c>
      <c r="Y24" s="10">
        <f>IF(預測IC!Y24&gt;預測IC!Y$25,1,0)</f>
        <v>0</v>
      </c>
      <c r="Z24" s="10">
        <f>IF(預測IC!Z24&gt;預測IC!Z$25,1,0)</f>
        <v>1</v>
      </c>
      <c r="AA24" s="10">
        <f>IF(預測IC!AA24&gt;預測IC!AA$25,1,0)</f>
        <v>0</v>
      </c>
      <c r="AB24" s="10">
        <f>IF(預測IC!AB24&gt;預測IC!AB$25,1,0)</f>
        <v>1</v>
      </c>
      <c r="AC24" s="10">
        <f>IF(預測IC!AC24&gt;預測IC!AC$25,1,0)</f>
        <v>0</v>
      </c>
      <c r="AD24" s="10">
        <f>IF(預測IC!AD24&gt;預測IC!AD$25,1,0)</f>
        <v>1</v>
      </c>
      <c r="AE24" s="10">
        <f>IF(預測IC!AE24&gt;預測IC!AE$25,1,0)</f>
        <v>0</v>
      </c>
      <c r="AF24" s="10">
        <f>IF(預測IC!AF24&gt;預測IC!AF$25,1,0)</f>
        <v>1</v>
      </c>
      <c r="AG24" s="10">
        <f>IF(預測IC!AG24&gt;預測IC!AG$25,1,0)</f>
        <v>0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0</v>
      </c>
      <c r="AK24" s="10">
        <f>IF(預測IC!AK24&gt;預測IC!AK$25,1,0)</f>
        <v>0</v>
      </c>
      <c r="AL24" s="10">
        <f>IF(預測IC!AL24&gt;預測IC!AL$25,1,0)</f>
        <v>0</v>
      </c>
      <c r="AM24" s="10">
        <f>IF(預測IC!AM24&gt;預測IC!AM$25,1,0)</f>
        <v>0</v>
      </c>
      <c r="AN24" s="10">
        <f>IF(預測IC!AN24&gt;預測IC!AN$25,1,0)</f>
        <v>1</v>
      </c>
      <c r="AO24" s="10">
        <f>IF(預測IC!AO24&gt;預測IC!AO$25,1,0)</f>
        <v>1</v>
      </c>
      <c r="AP24" s="10">
        <f>IF(預測IC!AP24&gt;預測IC!AP$25,1,0)</f>
        <v>1</v>
      </c>
      <c r="AQ24" s="10">
        <f>IF(預測IC!AQ24&gt;預測IC!AQ$25,1,0)</f>
        <v>0</v>
      </c>
      <c r="AR24" s="10">
        <f>IF(預測IC!AR24&gt;預測IC!AR$25,1,0)</f>
        <v>0</v>
      </c>
      <c r="AS24" s="10">
        <f>IF(預測IC!AS24&gt;預測IC!AS$25,1,0)</f>
        <v>1</v>
      </c>
      <c r="AT24" s="10">
        <f>IF(預測IC!AT24&gt;預測IC!AT$25,1,0)</f>
        <v>0</v>
      </c>
      <c r="AU24" s="10">
        <f>IF(預測IC!AU24&gt;預測IC!AU$25,1,0)</f>
        <v>0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0</v>
      </c>
      <c r="AY24" s="10">
        <f>IF(預測IC!AY24&gt;預測IC!AY$25,1,0)</f>
        <v>1</v>
      </c>
      <c r="AZ24" s="10">
        <f>IF(預測IC!AZ24&gt;預測IC!AZ$25,1,0)</f>
        <v>1</v>
      </c>
      <c r="BA24" s="10">
        <f>IF(預測IC!BA24&gt;預測IC!BA$25,1,0)</f>
        <v>0</v>
      </c>
      <c r="BB24" s="10">
        <f>IF(預測IC!BB24&gt;預測IC!BB$25,1,0)</f>
        <v>1</v>
      </c>
      <c r="BC24" s="10">
        <f>IF(預測IC!BC24&gt;預測IC!BC$25,1,0)</f>
        <v>1</v>
      </c>
      <c r="BD24" s="10">
        <f>IF(預測IC!BD24&gt;預測IC!BD$25,1,0)</f>
        <v>0</v>
      </c>
      <c r="BE24" s="10">
        <f>IF(預測IC!BE24&gt;預測IC!BE$25,1,0)</f>
        <v>0</v>
      </c>
      <c r="BF24" s="10">
        <f>IF(預測IC!BF24&gt;預測IC!BF$25,1,0)</f>
        <v>0</v>
      </c>
      <c r="BG24" s="10">
        <f>IF(預測IC!BG24&gt;預測IC!BG$25,1,0)</f>
        <v>0</v>
      </c>
      <c r="BH24" s="10">
        <f>IF(預測IC!BH24&gt;預測IC!BH$25,1,0)</f>
        <v>0</v>
      </c>
      <c r="BI24" s="10">
        <f>IF(預測IC!BI24&gt;預測IC!BI$25,1,0)</f>
        <v>0</v>
      </c>
      <c r="BJ24" s="10">
        <f>IF(預測IC!BJ24&gt;預測IC!BJ$25,1,0)</f>
        <v>0</v>
      </c>
      <c r="BK24" s="10">
        <f>IF(預測IC!BK24&gt;預測IC!BK$25,1,0)</f>
        <v>0</v>
      </c>
      <c r="BL24" s="10">
        <f>IF(預測IC!BL24&gt;預測IC!BL$25,1,0)</f>
        <v>0</v>
      </c>
      <c r="BM24" s="10">
        <f>IF(預測IC!BM24&gt;預測IC!BM$25,1,0)</f>
        <v>0</v>
      </c>
      <c r="BN24" s="10">
        <f>IF(預測IC!BN24&gt;預測IC!BN$25,1,0)</f>
        <v>1</v>
      </c>
      <c r="BO24" s="10">
        <f>IF(預測IC!BO24&gt;預測IC!BO$25,1,0)</f>
        <v>1</v>
      </c>
      <c r="BP24" s="10">
        <f>IF(預測IC!BP24&gt;預測IC!BP$25,1,0)</f>
        <v>1</v>
      </c>
      <c r="BQ24" s="10">
        <f>IF(預測IC!BQ24&gt;預測IC!BQ$25,1,0)</f>
        <v>0</v>
      </c>
      <c r="BR24" s="10">
        <f>IF(預測IC!BR24&gt;預測IC!BR$25,1,0)</f>
        <v>1</v>
      </c>
      <c r="BS24" s="10">
        <f>IF(預測IC!BS24&gt;預測IC!BS$25,1,0)</f>
        <v>0</v>
      </c>
      <c r="BT24" s="10">
        <f>IF(預測IC!BT24&gt;預測IC!BT$25,1,0)</f>
        <v>0</v>
      </c>
      <c r="BU24" s="10">
        <f>IF(預測IC!BU24&gt;預測IC!BU$25,1,0)</f>
        <v>0</v>
      </c>
      <c r="BV24" s="10">
        <f>IF(預測IC!BV24&gt;預測IC!BV$25,1,0)</f>
        <v>0</v>
      </c>
      <c r="BW24" s="10">
        <f>IF(預測IC!BW24&gt;預測IC!BW$25,1,0)</f>
        <v>1</v>
      </c>
      <c r="BX24" s="10">
        <f>IF(預測IC!BX24&gt;預測IC!BX$25,1,0)</f>
        <v>0</v>
      </c>
      <c r="BY24" s="10">
        <f>IF(預測IC!BY24&gt;預測IC!BY$25,1,0)</f>
        <v>1</v>
      </c>
      <c r="BZ24" s="10">
        <f>IF(預測IC!BZ24&gt;預測IC!BZ$25,1,0)</f>
        <v>0</v>
      </c>
      <c r="CA24" s="10">
        <f>IF(預測IC!CA24&gt;預測IC!CA$25,1,0)</f>
        <v>1</v>
      </c>
      <c r="CB24" s="10">
        <f>IF(預測IC!CB24&gt;預測IC!CB$25,1,0)</f>
        <v>1</v>
      </c>
      <c r="CC24" s="10">
        <f>IF(預測IC!CC24&gt;預測IC!CC$25,1,0)</f>
        <v>0</v>
      </c>
      <c r="CD24" s="10">
        <f>IF(預測IC!CD24&gt;預測IC!CD$25,1,0)</f>
        <v>0</v>
      </c>
      <c r="CE24" s="10">
        <f>IF(預測IC!CE24&gt;預測IC!CE$25,1,0)</f>
        <v>1</v>
      </c>
      <c r="CF24" s="10">
        <f>IF(預測IC!CF24&gt;預測IC!CF$25,1,0)</f>
        <v>0</v>
      </c>
      <c r="CG24" s="10">
        <f>IF(預測IC!CG24&gt;預測IC!CG$25,1,0)</f>
        <v>1</v>
      </c>
      <c r="CH24" s="10">
        <f>IF(預測IC!CH24&gt;預測IC!CH$25,1,0)</f>
        <v>1</v>
      </c>
      <c r="CI24" s="10">
        <f>IF(預測IC!CI24&gt;預測IC!CI$25,1,0)</f>
        <v>0</v>
      </c>
      <c r="CJ24" s="10">
        <f>IF(預測IC!CJ24&gt;預測IC!CJ$25,1,0)</f>
        <v>1</v>
      </c>
      <c r="CK24" s="10">
        <f>IF(預測IC!CK24&gt;預測IC!CK$25,1,0)</f>
        <v>1</v>
      </c>
      <c r="CL24" s="10">
        <f>IF(預測IC!CL24&gt;預測IC!CL$25,1,0)</f>
        <v>0</v>
      </c>
      <c r="CM24" s="10">
        <f>IF(預測IC!CM24&gt;預測IC!CM$25,1,0)</f>
        <v>0</v>
      </c>
      <c r="CN24" s="10">
        <f>IF(預測IC!CN24&gt;預測IC!CN$25,1,0)</f>
        <v>0</v>
      </c>
      <c r="CO24" s="10">
        <f>IF(預測IC!CO24&gt;預測IC!CO$25,1,0)</f>
        <v>0</v>
      </c>
      <c r="CP24" s="10">
        <f>IF(預測IC!CP24&gt;預測IC!CP$25,1,0)</f>
        <v>0</v>
      </c>
      <c r="CQ24" s="10">
        <f>IF(預測IC!CQ24&gt;預測IC!CQ$25,1,0)</f>
        <v>1</v>
      </c>
      <c r="CR24" s="10">
        <f>IF(預測IC!CR24&gt;預測IC!CR$25,1,0)</f>
        <v>1</v>
      </c>
      <c r="CS24" s="10">
        <f>IF(預測IC!CS24&gt;預測IC!CS$25,1,0)</f>
        <v>0</v>
      </c>
      <c r="CT24" s="10">
        <f>IF(預測IC!CT24&gt;預測IC!CT$25,1,0)</f>
        <v>0</v>
      </c>
      <c r="CU24" s="10">
        <f>IF(預測IC!CU24&gt;預測IC!CU$25,1,0)</f>
        <v>0</v>
      </c>
      <c r="CV24" s="10">
        <f>IF(預測IC!CV24&gt;預測IC!CV$25,1,0)</f>
        <v>0</v>
      </c>
      <c r="CW24" s="10">
        <f>IF(預測IC!CW24&gt;預測IC!CW$25,1,0)</f>
        <v>1</v>
      </c>
      <c r="CX24" s="10">
        <f>IF(預測IC!CX24&gt;預測IC!CX$25,1,0)</f>
        <v>0</v>
      </c>
      <c r="CY24" s="10">
        <f>IF(預測IC!CY24&gt;預測IC!CY$25,1,0)</f>
        <v>0</v>
      </c>
      <c r="CZ24" s="10">
        <f>IF(預測IC!CZ24&gt;預測IC!CZ$25,1,0)</f>
        <v>1</v>
      </c>
      <c r="DA24" s="10">
        <f>IF(預測IC!DA24&gt;預測IC!DA$25,1,0)</f>
        <v>0</v>
      </c>
      <c r="DB24" s="10">
        <f>IF(預測IC!DB24&gt;預測IC!DB$25,1,0)</f>
        <v>1</v>
      </c>
      <c r="DC24" s="10">
        <f>IF(預測IC!DC24&gt;預測IC!DC$25,1,0)</f>
        <v>1</v>
      </c>
      <c r="DD24" s="10">
        <f>IF(預測IC!DD24&gt;預測IC!DD$25,1,0)</f>
        <v>1</v>
      </c>
      <c r="DE24" s="10">
        <f>IF(預測IC!DE24&gt;預測IC!DE$25,1,0)</f>
        <v>0</v>
      </c>
      <c r="DF24" s="10">
        <f>IF(預測IC!DF24&gt;預測IC!DF$25,1,0)</f>
        <v>0</v>
      </c>
      <c r="DG24" s="10">
        <f>IF(預測IC!DG24&gt;預測IC!DG$25,1,0)</f>
        <v>0</v>
      </c>
      <c r="DH24" s="10">
        <f>IF(預測IC!DH24&gt;預測IC!DH$25,1,0)</f>
        <v>1</v>
      </c>
      <c r="DI24" s="10">
        <f>IF(預測IC!DI24&gt;預測IC!DI$25,1,0)</f>
        <v>0</v>
      </c>
      <c r="DJ24" s="10">
        <f>IF(預測IC!DJ24&gt;預測IC!DJ$25,1,0)</f>
        <v>1</v>
      </c>
      <c r="DK24" s="10">
        <f>IF(預測IC!DK24&gt;預測IC!DK$25,1,0)</f>
        <v>1</v>
      </c>
      <c r="DL24" s="10">
        <f>IF(預測IC!DL24&gt;預測IC!DL$25,1,0)</f>
        <v>1</v>
      </c>
      <c r="DM24" s="10">
        <f>IF(預測IC!DM24&gt;預測IC!DM$25,1,0)</f>
        <v>1</v>
      </c>
      <c r="DN24" s="10">
        <f>IF(預測IC!DN24&gt;預測IC!DN$25,1,0)</f>
        <v>1</v>
      </c>
      <c r="DO24" s="10">
        <f>IF(預測IC!DO24&gt;預測IC!DO$25,1,0)</f>
        <v>1</v>
      </c>
      <c r="DP24" s="10">
        <f>IF(預測IC!DP24&gt;預測IC!DP$25,1,0)</f>
        <v>0</v>
      </c>
      <c r="DQ24" s="10">
        <f>IF(預測IC!DQ24&gt;預測IC!DQ$25,1,0)</f>
        <v>0</v>
      </c>
      <c r="DR24" s="10">
        <f>IF(預測IC!DR24&gt;預測IC!DR$25,1,0)</f>
        <v>1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1</v>
      </c>
      <c r="DW24" s="10">
        <f>IF(預測IC!DW24&gt;預測IC!DW$25,1,0)</f>
        <v>0</v>
      </c>
      <c r="DX24" s="10">
        <f>IF(預測IC!DX24&gt;預測IC!DX$25,1,0)</f>
        <v>0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1</v>
      </c>
      <c r="EB24" s="10">
        <f>IF(預測IC!EB24&gt;預測IC!EB$25,1,0)</f>
        <v>0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1</v>
      </c>
      <c r="EF24" s="10">
        <f>IF(預測IC!EF24&gt;預測IC!EF$25,1,0)</f>
        <v>1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0</v>
      </c>
      <c r="EJ24" s="10">
        <f>IF(預測IC!EJ24&gt;預測IC!EJ$25,1,0)</f>
        <v>0</v>
      </c>
      <c r="EK24" s="10">
        <f>IF(預測IC!EK24&gt;預測IC!EK$25,1,0)</f>
        <v>0</v>
      </c>
      <c r="EL24" s="10">
        <f>IF(預測IC!EL24&gt;預測IC!EL$25,1,0)</f>
        <v>0</v>
      </c>
      <c r="EM24" s="6">
        <f t="shared" si="11"/>
        <v>62</v>
      </c>
      <c r="EN24" s="20">
        <f t="shared" si="12"/>
        <v>0.44285714285714284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6" zoomScale="130" zoomScaleNormal="130" workbookViewId="0">
      <selection activeCell="EL20" sqref="EL20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1" t="s">
        <v>146</v>
      </c>
      <c r="B6" s="22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1" t="s">
        <v>147</v>
      </c>
      <c r="B10" s="22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9">
        <v>10</v>
      </c>
      <c r="B12" s="19">
        <f t="shared" ref="B12:B24" si="10">ROUND($D$10/A12,0)</f>
        <v>105</v>
      </c>
      <c r="C12" s="2">
        <v>8.0850794339180423E-3</v>
      </c>
      <c r="D12" s="2">
        <f>C12+預測IC!D12</f>
        <v>8.5814582588294414E-2</v>
      </c>
      <c r="E12" s="2">
        <f>D12+預測IC!E12</f>
        <v>0.10767104810768739</v>
      </c>
      <c r="F12" s="2">
        <f>E12+預測IC!F12</f>
        <v>9.6064954533292238E-2</v>
      </c>
      <c r="G12" s="2">
        <f>F12+預測IC!G12</f>
        <v>8.4949662415061383E-2</v>
      </c>
      <c r="H12" s="2">
        <f>G12+預測IC!H12</f>
        <v>0.13249912309010525</v>
      </c>
      <c r="I12" s="2">
        <f>H12+預測IC!I12</f>
        <v>0.17361181659656241</v>
      </c>
      <c r="J12" s="2">
        <f>I12+預測IC!J12</f>
        <v>0.21549892583641617</v>
      </c>
      <c r="K12" s="2">
        <f>J12+預測IC!K12</f>
        <v>0.22071286948655117</v>
      </c>
      <c r="L12" s="2">
        <f>K12+預測IC!L12</f>
        <v>0.21305154838299509</v>
      </c>
      <c r="M12" s="2">
        <f>L12+預測IC!M12</f>
        <v>0.19940940507838126</v>
      </c>
      <c r="N12" s="2">
        <f>M12+預測IC!N12</f>
        <v>0.17426775372238082</v>
      </c>
      <c r="O12" s="2">
        <f>N12+預測IC!O12</f>
        <v>0.16798237950835337</v>
      </c>
      <c r="P12" s="2">
        <f>O12+預測IC!P12</f>
        <v>0.17321155834836657</v>
      </c>
      <c r="Q12" s="2">
        <f>P12+預測IC!Q12</f>
        <v>0.1586480231034009</v>
      </c>
      <c r="R12" s="2">
        <f>Q12+預測IC!R12</f>
        <v>0.16519815878827773</v>
      </c>
      <c r="S12" s="2">
        <f>R12+預測IC!S12</f>
        <v>0.13215415745043463</v>
      </c>
      <c r="T12" s="2">
        <f>S12+預測IC!T12</f>
        <v>0.14179186541817712</v>
      </c>
      <c r="U12" s="2">
        <f>T12+預測IC!U12</f>
        <v>0.14197262412967745</v>
      </c>
      <c r="V12" s="2">
        <f>U12+預測IC!V12</f>
        <v>0.15690124657226756</v>
      </c>
      <c r="W12" s="2">
        <f>V12+預測IC!W12</f>
        <v>0.22383945580610318</v>
      </c>
      <c r="X12" s="2">
        <f>W12+預測IC!X12</f>
        <v>0.27676038943663239</v>
      </c>
      <c r="Y12" s="2">
        <f>X12+預測IC!Y12</f>
        <v>0.24652546725070842</v>
      </c>
      <c r="Z12" s="2">
        <f>Y12+預測IC!Z12</f>
        <v>0.29684166667528894</v>
      </c>
      <c r="AA12" s="2">
        <f>Z12+預測IC!AA12</f>
        <v>0.27212204826525466</v>
      </c>
      <c r="AB12" s="2">
        <f>AA12+預測IC!AB12</f>
        <v>0.28492707089541125</v>
      </c>
      <c r="AC12" s="2">
        <f>AB12+預測IC!AC12</f>
        <v>0.32029285180355049</v>
      </c>
      <c r="AD12" s="2">
        <f>AC12+預測IC!AD12</f>
        <v>0.33115613756589246</v>
      </c>
      <c r="AE12" s="2">
        <f>AD12+預測IC!AE12</f>
        <v>0.37577151932394237</v>
      </c>
      <c r="AF12" s="2">
        <f>AE12+預測IC!AF12</f>
        <v>0.40006097948462715</v>
      </c>
      <c r="AG12" s="2">
        <f>AF12+預測IC!AG12</f>
        <v>0.42892478234966852</v>
      </c>
      <c r="AH12" s="2">
        <f>AG12+預測IC!AH12</f>
        <v>0.4602482173356095</v>
      </c>
      <c r="AI12" s="2">
        <f>AH12+預測IC!AI12</f>
        <v>0.44395291371236323</v>
      </c>
      <c r="AJ12" s="2">
        <f>AI12+預測IC!AJ12</f>
        <v>0.45811674233784216</v>
      </c>
      <c r="AK12" s="2">
        <f>AJ12+預測IC!AK12</f>
        <v>0.48580839710464713</v>
      </c>
      <c r="AL12" s="2">
        <f>AK12+預測IC!AL12</f>
        <v>0.44016141431518324</v>
      </c>
      <c r="AM12" s="2">
        <f>AL12+預測IC!AM12</f>
        <v>0.46961992312111178</v>
      </c>
      <c r="AN12" s="2">
        <f>AM12+預測IC!AN12</f>
        <v>0.53812722491211396</v>
      </c>
      <c r="AO12" s="2">
        <f>AN12+預測IC!AO12</f>
        <v>0.55683637953822041</v>
      </c>
      <c r="AP12" s="2">
        <f>AO12+預測IC!AP12</f>
        <v>0.54628369030191704</v>
      </c>
      <c r="AQ12" s="2">
        <f>AP12+預測IC!AQ12</f>
        <v>0.54627465796202268</v>
      </c>
      <c r="AR12" s="2">
        <f>AQ12+預測IC!AR12</f>
        <v>0.53010480286237394</v>
      </c>
      <c r="AS12" s="2">
        <f>AR12+預測IC!AS12</f>
        <v>0.54662559609072159</v>
      </c>
      <c r="AT12" s="2">
        <f>AS12+預測IC!AT12</f>
        <v>0.58918922170118826</v>
      </c>
      <c r="AU12" s="2">
        <f>AT12+預測IC!AU12</f>
        <v>0.65589625729670098</v>
      </c>
      <c r="AV12" s="2">
        <f>AU12+預測IC!AV12</f>
        <v>0.6444131398573707</v>
      </c>
      <c r="AW12" s="2">
        <f>AV12+預測IC!AW12</f>
        <v>0.63590059412016731</v>
      </c>
      <c r="AX12" s="2">
        <f>AW12+預測IC!AX12</f>
        <v>0.67421140595228224</v>
      </c>
      <c r="AY12" s="2">
        <f>AX12+預測IC!AY12</f>
        <v>0.68295147442736104</v>
      </c>
      <c r="AZ12" s="2">
        <f>AY12+預測IC!AZ12</f>
        <v>0.71212410203050658</v>
      </c>
      <c r="BA12" s="2">
        <f>AZ12+預測IC!BA12</f>
        <v>0.68214578605732779</v>
      </c>
      <c r="BB12" s="2">
        <f>BA12+預測IC!BB12</f>
        <v>0.73644048463217882</v>
      </c>
      <c r="BC12" s="2">
        <f>BB12+預測IC!BC12</f>
        <v>0.75260825405034759</v>
      </c>
      <c r="BD12" s="2">
        <f>BC12+預測IC!BD12</f>
        <v>0.72709476827180952</v>
      </c>
      <c r="BE12" s="2">
        <f>BD12+預測IC!BE12</f>
        <v>0.68363864859219814</v>
      </c>
      <c r="BF12" s="2">
        <f>BE12+預測IC!BF12</f>
        <v>0.70575332226673293</v>
      </c>
      <c r="BG12" s="2">
        <f>BF12+預測IC!BG12</f>
        <v>0.70567482270554205</v>
      </c>
      <c r="BH12" s="2">
        <f>BG12+預測IC!BH12</f>
        <v>0.71939121060542099</v>
      </c>
      <c r="BI12" s="2">
        <f>BH12+預測IC!BI12</f>
        <v>0.71707334144474111</v>
      </c>
      <c r="BJ12" s="2">
        <f>BI12+預測IC!BJ12</f>
        <v>0.75470865318115088</v>
      </c>
      <c r="BK12" s="2">
        <f>BJ12+預測IC!BK12</f>
        <v>0.72938554621627594</v>
      </c>
      <c r="BL12" s="2">
        <f>BK12+預測IC!BL12</f>
        <v>0.70001308695605458</v>
      </c>
      <c r="BM12" s="2">
        <f>BL12+預測IC!BM12</f>
        <v>0.71295906953602228</v>
      </c>
      <c r="BN12" s="2">
        <f>BM12+預測IC!BN12</f>
        <v>0.75279773257489813</v>
      </c>
      <c r="BO12" s="2">
        <f>BN12+預測IC!BO12</f>
        <v>0.77046355527137111</v>
      </c>
      <c r="BP12" s="2">
        <f>BO12+預測IC!BP12</f>
        <v>0.79129279509706396</v>
      </c>
      <c r="BQ12" s="2">
        <f>BP12+預測IC!BQ12</f>
        <v>0.79007092582014193</v>
      </c>
      <c r="BR12" s="2">
        <f>BQ12+預測IC!BR12</f>
        <v>0.80818539639394371</v>
      </c>
      <c r="BS12" s="2">
        <f>BR12+預測IC!BS12</f>
        <v>0.79273933878749892</v>
      </c>
      <c r="BT12" s="2">
        <f>BS12+預測IC!BT12</f>
        <v>0.78638116551525727</v>
      </c>
      <c r="BU12" s="2">
        <f>BT12+預測IC!BU12</f>
        <v>0.76913327404547549</v>
      </c>
      <c r="BV12" s="2">
        <f>BU12+預測IC!BV12</f>
        <v>0.79936185246162206</v>
      </c>
      <c r="BW12" s="2">
        <f>BV12+預測IC!BW12</f>
        <v>0.84018298842278327</v>
      </c>
      <c r="BX12" s="2">
        <f>BW12+預測IC!BX12</f>
        <v>0.85199376871896249</v>
      </c>
      <c r="BY12" s="2">
        <f>BX12+預測IC!BY12</f>
        <v>0.92354203816319658</v>
      </c>
      <c r="BZ12" s="2">
        <f>BY12+預測IC!BZ12</f>
        <v>0.96807983059105362</v>
      </c>
      <c r="CA12" s="2">
        <f>BZ12+預測IC!CA12</f>
        <v>0.91614903453877039</v>
      </c>
      <c r="CB12" s="2">
        <f>CA12+預測IC!CB12</f>
        <v>0.95033462976240846</v>
      </c>
      <c r="CC12" s="2">
        <f>CB12+預測IC!CC12</f>
        <v>0.96144697841917992</v>
      </c>
      <c r="CD12" s="2">
        <f>CC12+預測IC!CD12</f>
        <v>1.0055580740953074</v>
      </c>
      <c r="CE12" s="2">
        <f>CD12+預測IC!CE12</f>
        <v>1.0986408514285761</v>
      </c>
      <c r="CF12" s="2">
        <f>CE12+預測IC!CF12</f>
        <v>1.1268719203269031</v>
      </c>
      <c r="CG12" s="2">
        <f>CF12+預測IC!CG12</f>
        <v>1.1537558921546698</v>
      </c>
      <c r="CH12" s="2">
        <f>CG12+預測IC!CH12</f>
        <v>1.0740112092780554</v>
      </c>
      <c r="CI12" s="2">
        <f>CH12+預測IC!CI12</f>
        <v>1.05101625735103</v>
      </c>
      <c r="CJ12" s="2">
        <f>CI12+預測IC!CJ12</f>
        <v>1.0423147847357885</v>
      </c>
      <c r="CK12" s="2">
        <f>CJ12+預測IC!CK12</f>
        <v>1.0727956645197239</v>
      </c>
      <c r="CL12" s="2">
        <f>CK12+預測IC!CL12</f>
        <v>1.109869739180922</v>
      </c>
      <c r="CM12" s="2">
        <f>CL12+預測IC!CM12</f>
        <v>1.0525964718309231</v>
      </c>
      <c r="CN12" s="2">
        <f>CM12+預測IC!CN12</f>
        <v>1.0640833466333317</v>
      </c>
      <c r="CO12" s="2">
        <f>CN12+預測IC!CO12</f>
        <v>1.1330096249197952</v>
      </c>
      <c r="CP12" s="2">
        <f>CO12+預測IC!CP12</f>
        <v>1.1519241296395153</v>
      </c>
      <c r="CQ12" s="2">
        <f>CP12+預測IC!CQ12</f>
        <v>1.2171524690031525</v>
      </c>
      <c r="CR12" s="2">
        <f>CQ12+預測IC!CR12</f>
        <v>1.1614797057629143</v>
      </c>
      <c r="CS12" s="2">
        <f>CR12+預測IC!CS12</f>
        <v>1.1463639894873026</v>
      </c>
      <c r="CT12" s="2">
        <f>CS12+預測IC!CT12</f>
        <v>1.1978759611122523</v>
      </c>
      <c r="CU12" s="2">
        <f>CT12+預測IC!CU12</f>
        <v>1.2175261845913661</v>
      </c>
      <c r="CV12" s="2">
        <f>CU12+預測IC!CV12</f>
        <v>1.2263982273598766</v>
      </c>
      <c r="CW12" s="2">
        <f>CV12+預測IC!CW12</f>
        <v>1.2512193531408307</v>
      </c>
      <c r="CX12" s="2">
        <f>CW12+預測IC!CX12</f>
        <v>1.246974031709513</v>
      </c>
      <c r="CY12" s="2">
        <f>CX12+預測IC!CY12</f>
        <v>1.2583133049480746</v>
      </c>
      <c r="CZ12" s="2">
        <f>CY12+預測IC!CZ12</f>
        <v>1.2340622757078161</v>
      </c>
      <c r="DA12" s="2">
        <f>CZ12+預測IC!DA12</f>
        <v>1.2599020064434736</v>
      </c>
      <c r="DB12" s="2">
        <f>DA12+預測IC!DB12</f>
        <v>1.3042649583717432</v>
      </c>
      <c r="DC12" s="2">
        <f>DB12+預測IC!DC12</f>
        <v>1.3358405581778492</v>
      </c>
      <c r="DD12" s="2">
        <f>DC12+預測IC!DD12</f>
        <v>1.346831305031722</v>
      </c>
      <c r="DE12" s="2">
        <f>DD12+預測IC!DE12</f>
        <v>1.3274194589033403</v>
      </c>
      <c r="DF12" s="2">
        <f>DE12+預測IC!DF12</f>
        <v>1.2678545414958253</v>
      </c>
      <c r="DG12" s="2">
        <f>DF12+預測IC!DG12</f>
        <v>1.2331024738569609</v>
      </c>
      <c r="DH12" s="2">
        <f>DG12+預測IC!DH12</f>
        <v>1.2559142868139705</v>
      </c>
      <c r="DI12" s="2">
        <f>DH12+預測IC!DI12</f>
        <v>1.2689926293858371</v>
      </c>
      <c r="DJ12" s="2">
        <f>DI12+預測IC!DJ12</f>
        <v>1.3007528450697625</v>
      </c>
      <c r="DK12" s="2">
        <f>DJ12+預測IC!DK12</f>
        <v>1.2673357990238354</v>
      </c>
      <c r="DL12" s="2">
        <f>DK12+預測IC!DL12</f>
        <v>1.285972037609189</v>
      </c>
      <c r="DM12" s="2">
        <f>DL12+預測IC!DM12</f>
        <v>1.2590646778478618</v>
      </c>
      <c r="DN12" s="2">
        <f>DM12+預測IC!DN12</f>
        <v>1.2369029597550016</v>
      </c>
      <c r="DO12" s="2">
        <f>DN12+預測IC!DO12</f>
        <v>1.2508514301939968</v>
      </c>
      <c r="DP12" s="2">
        <f>DO12+預測IC!DP12</f>
        <v>1.3043002987535008</v>
      </c>
      <c r="DQ12" s="2">
        <f>DP12+預測IC!DQ12</f>
        <v>1.3069136475496215</v>
      </c>
      <c r="DR12" s="2">
        <f>DQ12+預測IC!DR12</f>
        <v>1.2964114251090597</v>
      </c>
      <c r="DS12" s="2">
        <f>DR12+預測IC!DS12</f>
        <v>1.2542721219660835</v>
      </c>
      <c r="DT12" s="2">
        <f>DS12+預測IC!DT12</f>
        <v>1.27821391063631</v>
      </c>
      <c r="DU12" s="2">
        <f>DT12+預測IC!DU12</f>
        <v>1.242174859395403</v>
      </c>
      <c r="DV12" s="2">
        <f>DU12+預測IC!DV12</f>
        <v>1.2899094479267319</v>
      </c>
      <c r="DW12" s="2">
        <f>DV12+預測IC!DW12</f>
        <v>1.2761561041696636</v>
      </c>
      <c r="DX12" s="2">
        <f>DW12+預測IC!DX12</f>
        <v>1.2040662867558332</v>
      </c>
      <c r="DY12" s="2">
        <f>DX12+預測IC!DY12</f>
        <v>1.1978971441987392</v>
      </c>
      <c r="DZ12" s="2">
        <f>DY12+預測IC!DZ12</f>
        <v>1.2207618429234925</v>
      </c>
      <c r="EA12" s="2">
        <f>DZ12+預測IC!EA12</f>
        <v>1.2929213715837751</v>
      </c>
      <c r="EB12" s="2">
        <f>EA12+預測IC!EB12</f>
        <v>1.3047361875750012</v>
      </c>
      <c r="EC12" s="2">
        <f>EB12+預測IC!EC12</f>
        <v>1.3365282589655818</v>
      </c>
      <c r="ED12" s="2">
        <f>EC12+預測IC!ED12</f>
        <v>1.2862098169062337</v>
      </c>
      <c r="EE12" s="2">
        <f>ED12+預測IC!EE12</f>
        <v>1.283876128208733</v>
      </c>
      <c r="EF12" s="2">
        <f>EE12+預測IC!EF12</f>
        <v>1.3285637341254624</v>
      </c>
      <c r="EG12" s="2">
        <f>EF12+預測IC!EG12</f>
        <v>1.3410073603516162</v>
      </c>
      <c r="EH12" s="2">
        <f>EG12+預測IC!EH12</f>
        <v>1.3251334221100157</v>
      </c>
      <c r="EI12" s="2">
        <f>EH12+預測IC!EI12</f>
        <v>1.2692480727369249</v>
      </c>
      <c r="EJ12" s="2">
        <f>EI12+預測IC!EJ12</f>
        <v>1.1863273217939443</v>
      </c>
      <c r="EK12" s="2">
        <f>EJ12+預測IC!EK12</f>
        <v>1.1738661065472416</v>
      </c>
      <c r="EL12" s="2">
        <f>EK12+預測IC!EL12</f>
        <v>1.1659514882958504</v>
      </c>
    </row>
    <row r="13" spans="1:142" x14ac:dyDescent="0.3">
      <c r="A13" s="19">
        <v>20</v>
      </c>
      <c r="B13" s="19">
        <f t="shared" si="10"/>
        <v>53</v>
      </c>
      <c r="C13" s="2">
        <v>-2.950459453302642E-2</v>
      </c>
      <c r="D13" s="2">
        <f>C13+預測IC!D13</f>
        <v>7.7274246139023672E-2</v>
      </c>
      <c r="E13" s="2">
        <f>D13+預測IC!E13</f>
        <v>9.2534620313087818E-2</v>
      </c>
      <c r="F13" s="2">
        <f>E13+預測IC!F13</f>
        <v>6.2054329822281179E-2</v>
      </c>
      <c r="G13" s="2">
        <f>F13+預測IC!G13</f>
        <v>2.6249835823607612E-2</v>
      </c>
      <c r="H13" s="2">
        <f>G13+預測IC!H13</f>
        <v>7.1305035261551991E-2</v>
      </c>
      <c r="I13" s="2">
        <f>H13+預測IC!I13</f>
        <v>0.12362421703268887</v>
      </c>
      <c r="J13" s="2">
        <f>I13+預測IC!J13</f>
        <v>0.17780642769911967</v>
      </c>
      <c r="K13" s="2">
        <f>J13+預測IC!K13</f>
        <v>0.1655446392650195</v>
      </c>
      <c r="L13" s="2">
        <f>K13+預測IC!L13</f>
        <v>0.13623473197538832</v>
      </c>
      <c r="M13" s="2">
        <f>L13+預測IC!M13</f>
        <v>0.13024005139495715</v>
      </c>
      <c r="N13" s="2">
        <f>M13+預測IC!N13</f>
        <v>9.8433862168250896E-2</v>
      </c>
      <c r="O13" s="2">
        <f>N13+預測IC!O13</f>
        <v>9.0532075004019885E-2</v>
      </c>
      <c r="P13" s="2">
        <f>O13+預測IC!P13</f>
        <v>9.6870310088505024E-2</v>
      </c>
      <c r="Q13" s="2">
        <f>P13+預測IC!Q13</f>
        <v>9.7302590048942594E-2</v>
      </c>
      <c r="R13" s="2">
        <f>Q13+預測IC!R13</f>
        <v>0.10349597856860931</v>
      </c>
      <c r="S13" s="2">
        <f>R13+預測IC!S13</f>
        <v>6.4525338080833952E-2</v>
      </c>
      <c r="T13" s="2">
        <f>S13+預測IC!T13</f>
        <v>5.8040505435441175E-2</v>
      </c>
      <c r="U13" s="2">
        <f>T13+預測IC!U13</f>
        <v>2.7826559926482017E-2</v>
      </c>
      <c r="V13" s="2">
        <f>U13+預測IC!V13</f>
        <v>2.9694068732866938E-2</v>
      </c>
      <c r="W13" s="2">
        <f>V13+預測IC!W13</f>
        <v>0.11669840504561921</v>
      </c>
      <c r="X13" s="2">
        <f>W13+預測IC!X13</f>
        <v>0.19223551607719527</v>
      </c>
      <c r="Y13" s="2">
        <f>X13+預測IC!Y13</f>
        <v>0.16039641882911465</v>
      </c>
      <c r="Z13" s="2">
        <f>Y13+預測IC!Z13</f>
        <v>0.21124616884767225</v>
      </c>
      <c r="AA13" s="2">
        <f>Z13+預測IC!AA13</f>
        <v>0.20070046635037728</v>
      </c>
      <c r="AB13" s="2">
        <f>AA13+預測IC!AB13</f>
        <v>0.25203158504876938</v>
      </c>
      <c r="AC13" s="2">
        <f>AB13+預測IC!AC13</f>
        <v>0.28125512847365441</v>
      </c>
      <c r="AD13" s="2">
        <f>AC13+預測IC!AD13</f>
        <v>0.28114700718815616</v>
      </c>
      <c r="AE13" s="2">
        <f>AD13+預測IC!AE13</f>
        <v>0.35464018910567108</v>
      </c>
      <c r="AF13" s="2">
        <f>AE13+預測IC!AF13</f>
        <v>0.38949931262555593</v>
      </c>
      <c r="AG13" s="2">
        <f>AF13+預測IC!AG13</f>
        <v>0.42817829833942928</v>
      </c>
      <c r="AH13" s="2">
        <f>AG13+預測IC!AH13</f>
        <v>0.47302964217837912</v>
      </c>
      <c r="AI13" s="2">
        <f>AH13+預測IC!AI13</f>
        <v>0.44563245306342086</v>
      </c>
      <c r="AJ13" s="2">
        <f>AI13+預測IC!AJ13</f>
        <v>0.44490313150447747</v>
      </c>
      <c r="AK13" s="2">
        <f>AJ13+預測IC!AK13</f>
        <v>0.49664380754768439</v>
      </c>
      <c r="AL13" s="2">
        <f>AK13+預測IC!AL13</f>
        <v>0.43901317893640135</v>
      </c>
      <c r="AM13" s="2">
        <f>AL13+預測IC!AM13</f>
        <v>0.47362270422975589</v>
      </c>
      <c r="AN13" s="2">
        <f>AM13+預測IC!AN13</f>
        <v>0.57204161031893219</v>
      </c>
      <c r="AO13" s="2">
        <f>AN13+預測IC!AO13</f>
        <v>0.59375074341011624</v>
      </c>
      <c r="AP13" s="2">
        <f>AO13+預測IC!AP13</f>
        <v>0.60376275124198064</v>
      </c>
      <c r="AQ13" s="2">
        <f>AP13+預測IC!AQ13</f>
        <v>0.6234726694006385</v>
      </c>
      <c r="AR13" s="2">
        <f>AQ13+預測IC!AR13</f>
        <v>0.58927343590567949</v>
      </c>
      <c r="AS13" s="2">
        <f>AR13+預測IC!AS13</f>
        <v>0.59730445799707876</v>
      </c>
      <c r="AT13" s="2">
        <f>AS13+預測IC!AT13</f>
        <v>0.63285726824574251</v>
      </c>
      <c r="AU13" s="2">
        <f>AT13+預測IC!AU13</f>
        <v>0.68920967720806248</v>
      </c>
      <c r="AV13" s="2">
        <f>AU13+預測IC!AV13</f>
        <v>0.71402311050675282</v>
      </c>
      <c r="AW13" s="2">
        <f>AV13+預測IC!AW13</f>
        <v>0.72861490338181878</v>
      </c>
      <c r="AX13" s="2">
        <f>AW13+預測IC!AX13</f>
        <v>0.77349456069923272</v>
      </c>
      <c r="AY13" s="2">
        <f>AX13+預測IC!AY13</f>
        <v>0.77812294874994314</v>
      </c>
      <c r="AZ13" s="2">
        <f>AY13+預測IC!AZ13</f>
        <v>0.81275130422486763</v>
      </c>
      <c r="BA13" s="2">
        <f>AZ13+預測IC!BA13</f>
        <v>0.7993799327706379</v>
      </c>
      <c r="BB13" s="2">
        <f>BA13+預測IC!BB13</f>
        <v>0.84338377528943009</v>
      </c>
      <c r="BC13" s="2">
        <f>BB13+預測IC!BC13</f>
        <v>0.83444018213536697</v>
      </c>
      <c r="BD13" s="2">
        <f>BC13+預測IC!BD13</f>
        <v>0.81579287147391855</v>
      </c>
      <c r="BE13" s="2">
        <f>BD13+預測IC!BE13</f>
        <v>0.7886329953918163</v>
      </c>
      <c r="BF13" s="2">
        <f>BE13+預測IC!BF13</f>
        <v>0.81380612152843113</v>
      </c>
      <c r="BG13" s="2">
        <f>BF13+預測IC!BG13</f>
        <v>0.81909637225590548</v>
      </c>
      <c r="BH13" s="2">
        <f>BG13+預測IC!BH13</f>
        <v>0.84772588329637621</v>
      </c>
      <c r="BI13" s="2">
        <f>BH13+預測IC!BI13</f>
        <v>0.81381926408852623</v>
      </c>
      <c r="BJ13" s="2">
        <f>BI13+預測IC!BJ13</f>
        <v>0.86408213390171085</v>
      </c>
      <c r="BK13" s="2">
        <f>BJ13+預測IC!BK13</f>
        <v>0.84815836186414162</v>
      </c>
      <c r="BL13" s="2">
        <f>BK13+預測IC!BL13</f>
        <v>0.81367241636001619</v>
      </c>
      <c r="BM13" s="2">
        <f>BL13+預測IC!BM13</f>
        <v>0.85464424718770227</v>
      </c>
      <c r="BN13" s="2">
        <f>BM13+預測IC!BN13</f>
        <v>0.90357438041913696</v>
      </c>
      <c r="BO13" s="2">
        <f>BN13+預測IC!BO13</f>
        <v>0.88878919660255884</v>
      </c>
      <c r="BP13" s="2">
        <f>BO13+預測IC!BP13</f>
        <v>0.90841663052048582</v>
      </c>
      <c r="BQ13" s="2">
        <f>BP13+預測IC!BQ13</f>
        <v>0.89824570908824486</v>
      </c>
      <c r="BR13" s="2">
        <f>BQ13+預測IC!BR13</f>
        <v>0.90268978186311422</v>
      </c>
      <c r="BS13" s="2">
        <f>BR13+預測IC!BS13</f>
        <v>0.88175192852633211</v>
      </c>
      <c r="BT13" s="2">
        <f>BS13+預測IC!BT13</f>
        <v>0.86864259812864264</v>
      </c>
      <c r="BU13" s="2">
        <f>BT13+預測IC!BU13</f>
        <v>0.85004649916199049</v>
      </c>
      <c r="BV13" s="2">
        <f>BU13+預測IC!BV13</f>
        <v>0.88252618803055771</v>
      </c>
      <c r="BW13" s="2">
        <f>BV13+預測IC!BW13</f>
        <v>0.9426331122619287</v>
      </c>
      <c r="BX13" s="2">
        <f>BW13+預測IC!BX13</f>
        <v>0.96020854313216408</v>
      </c>
      <c r="BY13" s="2">
        <f>BX13+預測IC!BY13</f>
        <v>1.0367764730773927</v>
      </c>
      <c r="BZ13" s="2">
        <f>BY13+預測IC!BZ13</f>
        <v>1.1251049383279497</v>
      </c>
      <c r="CA13" s="2">
        <f>BZ13+預測IC!CA13</f>
        <v>1.0783666206222153</v>
      </c>
      <c r="CB13" s="2">
        <f>CA13+預測IC!CB13</f>
        <v>1.1214675430931038</v>
      </c>
      <c r="CC13" s="2">
        <f>CB13+預測IC!CC13</f>
        <v>1.1358639429101001</v>
      </c>
      <c r="CD13" s="2">
        <f>CC13+預測IC!CD13</f>
        <v>1.2067954991790522</v>
      </c>
      <c r="CE13" s="2">
        <f>CD13+預測IC!CE13</f>
        <v>1.3118037592506346</v>
      </c>
      <c r="CF13" s="2">
        <f>CE13+預測IC!CF13</f>
        <v>1.3502713665963746</v>
      </c>
      <c r="CG13" s="2">
        <f>CF13+預測IC!CG13</f>
        <v>1.3883132834173628</v>
      </c>
      <c r="CH13" s="2">
        <f>CG13+預測IC!CH13</f>
        <v>1.3123768422228432</v>
      </c>
      <c r="CI13" s="2">
        <f>CH13+預測IC!CI13</f>
        <v>1.324883761056036</v>
      </c>
      <c r="CJ13" s="2">
        <f>CI13+預測IC!CJ13</f>
        <v>1.3177706404352665</v>
      </c>
      <c r="CK13" s="2">
        <f>CJ13+預測IC!CK13</f>
        <v>1.3270240386987244</v>
      </c>
      <c r="CL13" s="2">
        <f>CK13+預測IC!CL13</f>
        <v>1.3423187539410741</v>
      </c>
      <c r="CM13" s="2">
        <f>CL13+預測IC!CM13</f>
        <v>1.2904509810413733</v>
      </c>
      <c r="CN13" s="2">
        <f>CM13+預測IC!CN13</f>
        <v>1.3159739586972727</v>
      </c>
      <c r="CO13" s="2">
        <f>CN13+預測IC!CO13</f>
        <v>1.3701230095639236</v>
      </c>
      <c r="CP13" s="2">
        <f>CO13+預測IC!CP13</f>
        <v>1.3618875615232129</v>
      </c>
      <c r="CQ13" s="2">
        <f>CP13+預測IC!CQ13</f>
        <v>1.4225679081525422</v>
      </c>
      <c r="CR13" s="2">
        <f>CQ13+預測IC!CR13</f>
        <v>1.3281442039095717</v>
      </c>
      <c r="CS13" s="2">
        <f>CR13+預測IC!CS13</f>
        <v>1.3146803998805539</v>
      </c>
      <c r="CT13" s="2">
        <f>CS13+預測IC!CT13</f>
        <v>1.3361032648642341</v>
      </c>
      <c r="CU13" s="2">
        <f>CT13+預測IC!CU13</f>
        <v>1.3508023316147901</v>
      </c>
      <c r="CV13" s="2">
        <f>CU13+預測IC!CV13</f>
        <v>1.3645960591313422</v>
      </c>
      <c r="CW13" s="2">
        <f>CV13+預測IC!CW13</f>
        <v>1.3971063688478742</v>
      </c>
      <c r="CX13" s="2">
        <f>CW13+預測IC!CX13</f>
        <v>1.3866772033888051</v>
      </c>
      <c r="CY13" s="2">
        <f>CX13+預測IC!CY13</f>
        <v>1.3980677325336757</v>
      </c>
      <c r="CZ13" s="2">
        <f>CY13+預測IC!CZ13</f>
        <v>1.3672124779055481</v>
      </c>
      <c r="DA13" s="2">
        <f>CZ13+預測IC!DA13</f>
        <v>1.3972477897837439</v>
      </c>
      <c r="DB13" s="2">
        <f>DA13+預測IC!DB13</f>
        <v>1.4536434300330843</v>
      </c>
      <c r="DC13" s="2">
        <f>DB13+預測IC!DC13</f>
        <v>1.4880081415823518</v>
      </c>
      <c r="DD13" s="2">
        <f>DC13+預測IC!DD13</f>
        <v>1.4744053414554092</v>
      </c>
      <c r="DE13" s="2">
        <f>DD13+預測IC!DE13</f>
        <v>1.4678253263714172</v>
      </c>
      <c r="DF13" s="2">
        <f>DE13+預測IC!DF13</f>
        <v>1.361157997254977</v>
      </c>
      <c r="DG13" s="2">
        <f>DF13+預測IC!DG13</f>
        <v>1.3225858081828785</v>
      </c>
      <c r="DH13" s="2">
        <f>DG13+預測IC!DH13</f>
        <v>1.3539249141200222</v>
      </c>
      <c r="DI13" s="2">
        <f>DH13+預測IC!DI13</f>
        <v>1.3571943185665964</v>
      </c>
      <c r="DJ13" s="2">
        <f>DI13+預測IC!DJ13</f>
        <v>1.398573633449496</v>
      </c>
      <c r="DK13" s="2">
        <f>DJ13+預測IC!DK13</f>
        <v>1.3635691707822628</v>
      </c>
      <c r="DL13" s="2">
        <f>DK13+預測IC!DL13</f>
        <v>1.4003292482290006</v>
      </c>
      <c r="DM13" s="2">
        <f>DL13+預測IC!DM13</f>
        <v>1.3509675449234184</v>
      </c>
      <c r="DN13" s="2">
        <f>DM13+預測IC!DN13</f>
        <v>1.3339898492370337</v>
      </c>
      <c r="DO13" s="2">
        <f>DN13+預測IC!DO13</f>
        <v>1.3569135038332827</v>
      </c>
      <c r="DP13" s="2">
        <f>DO13+預測IC!DP13</f>
        <v>1.399194343357536</v>
      </c>
      <c r="DQ13" s="2">
        <f>DP13+預測IC!DQ13</f>
        <v>1.4118211914147765</v>
      </c>
      <c r="DR13" s="2">
        <f>DQ13+預測IC!DR13</f>
        <v>1.4124015543933028</v>
      </c>
      <c r="DS13" s="2">
        <f>DR13+預測IC!DS13</f>
        <v>1.3797133650495745</v>
      </c>
      <c r="DT13" s="2">
        <f>DS13+預測IC!DT13</f>
        <v>1.4313015928405111</v>
      </c>
      <c r="DU13" s="2">
        <f>DT13+預測IC!DU13</f>
        <v>1.4026672219383949</v>
      </c>
      <c r="DV13" s="2">
        <f>DU13+預測IC!DV13</f>
        <v>1.478428497615935</v>
      </c>
      <c r="DW13" s="2">
        <f>DV13+預測IC!DW13</f>
        <v>1.4480355292590097</v>
      </c>
      <c r="DX13" s="2">
        <f>DW13+預測IC!DX13</f>
        <v>1.3789869827353924</v>
      </c>
      <c r="DY13" s="2">
        <f>DX13+預測IC!DY13</f>
        <v>1.3941205905186667</v>
      </c>
      <c r="DZ13" s="2">
        <f>DY13+預測IC!DZ13</f>
        <v>1.400183895849217</v>
      </c>
      <c r="EA13" s="2">
        <f>DZ13+預測IC!EA13</f>
        <v>1.4594352979459595</v>
      </c>
      <c r="EB13" s="2">
        <f>EA13+預測IC!EB13</f>
        <v>1.4540580973176154</v>
      </c>
      <c r="EC13" s="2">
        <f>EB13+預測IC!EC13</f>
        <v>1.4664071378574721</v>
      </c>
      <c r="ED13" s="2">
        <f>EC13+預測IC!ED13</f>
        <v>1.3953114550539829</v>
      </c>
      <c r="EE13" s="2">
        <f>ED13+預測IC!EE13</f>
        <v>1.3891263589984273</v>
      </c>
      <c r="EF13" s="2">
        <f>EE13+預測IC!EF13</f>
        <v>1.4335361946452194</v>
      </c>
      <c r="EG13" s="2">
        <f>EF13+預測IC!EG13</f>
        <v>1.4466837167731412</v>
      </c>
      <c r="EH13" s="2">
        <f>EG13+預測IC!EH13</f>
        <v>1.4424034216185349</v>
      </c>
      <c r="EI13" s="2">
        <f>EH13+預測IC!EI13</f>
        <v>1.3855052719142666</v>
      </c>
      <c r="EJ13" s="2">
        <f>EI13+預測IC!EJ13</f>
        <v>1.2911799002327162</v>
      </c>
      <c r="EK13" s="2">
        <f>EJ13+預測IC!EK13</f>
        <v>1.2715424158219875</v>
      </c>
      <c r="EL13" s="2">
        <f>EK13+預測IC!EL13</f>
        <v>1.2657197222844248</v>
      </c>
    </row>
    <row r="14" spans="1:142" x14ac:dyDescent="0.3">
      <c r="A14" s="19">
        <v>50</v>
      </c>
      <c r="B14" s="19">
        <f t="shared" si="10"/>
        <v>21</v>
      </c>
      <c r="C14" s="2">
        <v>-5.6853263530549307E-2</v>
      </c>
      <c r="D14" s="2">
        <f>C14+預測IC!D14</f>
        <v>8.2715330924087394E-2</v>
      </c>
      <c r="E14" s="2">
        <f>D14+預測IC!E14</f>
        <v>7.4838406566096485E-2</v>
      </c>
      <c r="F14" s="2">
        <f>E14+預測IC!F14</f>
        <v>3.9233501951639466E-3</v>
      </c>
      <c r="G14" s="2">
        <f>F14+預測IC!G14</f>
        <v>-4.8318100649385021E-2</v>
      </c>
      <c r="H14" s="2">
        <f>G14+預測IC!H14</f>
        <v>-2.6252965940186581E-2</v>
      </c>
      <c r="I14" s="2">
        <f>H14+預測IC!I14</f>
        <v>5.2265505131023182E-2</v>
      </c>
      <c r="J14" s="2">
        <f>I14+預測IC!J14</f>
        <v>0.1108535567333013</v>
      </c>
      <c r="K14" s="2">
        <f>J14+預測IC!K14</f>
        <v>1.1434414116861039E-2</v>
      </c>
      <c r="L14" s="2">
        <f>K14+預測IC!L14</f>
        <v>-1.5127084461882712E-2</v>
      </c>
      <c r="M14" s="2">
        <f>L14+預測IC!M14</f>
        <v>1.7639538930985639E-2</v>
      </c>
      <c r="N14" s="2">
        <f>M14+預測IC!N14</f>
        <v>-5.65430328024124E-2</v>
      </c>
      <c r="O14" s="2">
        <f>N14+預測IC!O14</f>
        <v>-2.9761012448447342E-2</v>
      </c>
      <c r="P14" s="2">
        <f>O14+預測IC!P14</f>
        <v>2.3513760770004475E-2</v>
      </c>
      <c r="Q14" s="2">
        <f>P14+預測IC!Q14</f>
        <v>-1.443698366959234E-3</v>
      </c>
      <c r="R14" s="2">
        <f>Q14+預測IC!R14</f>
        <v>4.6845721054180556E-2</v>
      </c>
      <c r="S14" s="2">
        <f>R14+預測IC!S14</f>
        <v>1.2612212174503062E-2</v>
      </c>
      <c r="T14" s="2">
        <f>S14+預測IC!T14</f>
        <v>8.744605190003564E-3</v>
      </c>
      <c r="U14" s="2">
        <f>T14+預測IC!U14</f>
        <v>-8.0842692929464943E-2</v>
      </c>
      <c r="V14" s="2">
        <f>U14+預測IC!V14</f>
        <v>-8.0947152071264267E-2</v>
      </c>
      <c r="W14" s="2">
        <f>V14+預測IC!W14</f>
        <v>8.5565220222720562E-3</v>
      </c>
      <c r="X14" s="2">
        <f>W14+預測IC!X14</f>
        <v>0.11793928530599676</v>
      </c>
      <c r="Y14" s="2">
        <f>X14+預測IC!Y14</f>
        <v>9.5657017080534826E-2</v>
      </c>
      <c r="Z14" s="2">
        <f>Y14+預測IC!Z14</f>
        <v>0.15284142000756151</v>
      </c>
      <c r="AA14" s="2">
        <f>Z14+預測IC!AA14</f>
        <v>0.12008631561920993</v>
      </c>
      <c r="AB14" s="2">
        <f>AA14+預測IC!AB14</f>
        <v>0.16991895694336198</v>
      </c>
      <c r="AC14" s="2">
        <f>AB14+預測IC!AC14</f>
        <v>0.17738910553859341</v>
      </c>
      <c r="AD14" s="2">
        <f>AC14+預測IC!AD14</f>
        <v>0.18383913595553694</v>
      </c>
      <c r="AE14" s="2">
        <f>AD14+預測IC!AE14</f>
        <v>0.29629021358725643</v>
      </c>
      <c r="AF14" s="2">
        <f>AE14+預測IC!AF14</f>
        <v>0.30403710885719082</v>
      </c>
      <c r="AG14" s="2">
        <f>AF14+預測IC!AG14</f>
        <v>0.3541798257542863</v>
      </c>
      <c r="AH14" s="2">
        <f>AG14+預測IC!AH14</f>
        <v>0.37933388118378675</v>
      </c>
      <c r="AI14" s="2">
        <f>AH14+預測IC!AI14</f>
        <v>0.29841614434865071</v>
      </c>
      <c r="AJ14" s="2">
        <f>AI14+預測IC!AJ14</f>
        <v>0.21961069630940419</v>
      </c>
      <c r="AK14" s="2">
        <f>AJ14+預測IC!AK14</f>
        <v>0.22978599932368859</v>
      </c>
      <c r="AL14" s="2">
        <f>AK14+預測IC!AL14</f>
        <v>0.16852140896110165</v>
      </c>
      <c r="AM14" s="2">
        <f>AL14+預測IC!AM14</f>
        <v>0.20918716689160399</v>
      </c>
      <c r="AN14" s="2">
        <f>AM14+預測IC!AN14</f>
        <v>0.31917407811219017</v>
      </c>
      <c r="AO14" s="2">
        <f>AN14+預測IC!AO14</f>
        <v>0.34813061923808625</v>
      </c>
      <c r="AP14" s="2">
        <f>AO14+預測IC!AP14</f>
        <v>0.36614293553429827</v>
      </c>
      <c r="AQ14" s="2">
        <f>AP14+預測IC!AQ14</f>
        <v>0.36092374675427363</v>
      </c>
      <c r="AR14" s="2">
        <f>AQ14+預測IC!AR14</f>
        <v>0.33132770159154107</v>
      </c>
      <c r="AS14" s="2">
        <f>AR14+預測IC!AS14</f>
        <v>0.38610252363757103</v>
      </c>
      <c r="AT14" s="2">
        <f>AS14+預測IC!AT14</f>
        <v>0.38799741190166454</v>
      </c>
      <c r="AU14" s="2">
        <f>AT14+預測IC!AU14</f>
        <v>0.49316881842065025</v>
      </c>
      <c r="AV14" s="2">
        <f>AU14+預測IC!AV14</f>
        <v>0.55858329185305233</v>
      </c>
      <c r="AW14" s="2">
        <f>AV14+預測IC!AW14</f>
        <v>0.59255994252783806</v>
      </c>
      <c r="AX14" s="2">
        <f>AW14+預測IC!AX14</f>
        <v>0.60440028345493091</v>
      </c>
      <c r="AY14" s="2">
        <f>AX14+預測IC!AY14</f>
        <v>0.65709917034273169</v>
      </c>
      <c r="AZ14" s="2">
        <f>AY14+預測IC!AZ14</f>
        <v>0.68976548926772008</v>
      </c>
      <c r="BA14" s="2">
        <f>AZ14+預測IC!BA14</f>
        <v>0.68403458756522006</v>
      </c>
      <c r="BB14" s="2">
        <f>BA14+預測IC!BB14</f>
        <v>0.74149880989840466</v>
      </c>
      <c r="BC14" s="2">
        <f>BB14+預測IC!BC14</f>
        <v>0.74291360613826762</v>
      </c>
      <c r="BD14" s="2">
        <f>BC14+預測IC!BD14</f>
        <v>0.77315265971351266</v>
      </c>
      <c r="BE14" s="2">
        <f>BD14+預測IC!BE14</f>
        <v>0.74668747822791803</v>
      </c>
      <c r="BF14" s="2">
        <f>BE14+預測IC!BF14</f>
        <v>0.73783645852240798</v>
      </c>
      <c r="BG14" s="2">
        <f>BF14+預測IC!BG14</f>
        <v>0.72315235419666701</v>
      </c>
      <c r="BH14" s="2">
        <f>BG14+預測IC!BH14</f>
        <v>0.74515583248135453</v>
      </c>
      <c r="BI14" s="2">
        <f>BH14+預測IC!BI14</f>
        <v>0.71308988387647354</v>
      </c>
      <c r="BJ14" s="2">
        <f>BI14+預測IC!BJ14</f>
        <v>0.80479474729266987</v>
      </c>
      <c r="BK14" s="2">
        <f>BJ14+預測IC!BK14</f>
        <v>0.79657426385635577</v>
      </c>
      <c r="BL14" s="2">
        <f>BK14+預測IC!BL14</f>
        <v>0.77194920073114226</v>
      </c>
      <c r="BM14" s="2">
        <f>BL14+預測IC!BM14</f>
        <v>0.81113138488901715</v>
      </c>
      <c r="BN14" s="2">
        <f>BM14+預測IC!BN14</f>
        <v>0.91406519453765944</v>
      </c>
      <c r="BO14" s="2">
        <f>BN14+預測IC!BO14</f>
        <v>0.90069462156484759</v>
      </c>
      <c r="BP14" s="2">
        <f>BO14+預測IC!BP14</f>
        <v>0.94939759506579979</v>
      </c>
      <c r="BQ14" s="2">
        <f>BP14+預測IC!BQ14</f>
        <v>0.92707881506436618</v>
      </c>
      <c r="BR14" s="2">
        <f>BQ14+預測IC!BR14</f>
        <v>0.95495124211276061</v>
      </c>
      <c r="BS14" s="2">
        <f>BR14+預測IC!BS14</f>
        <v>0.93472784155282507</v>
      </c>
      <c r="BT14" s="2">
        <f>BS14+預測IC!BT14</f>
        <v>0.90762093117007725</v>
      </c>
      <c r="BU14" s="2">
        <f>BT14+預測IC!BU14</f>
        <v>0.88021934566500892</v>
      </c>
      <c r="BV14" s="2">
        <f>BU14+預測IC!BV14</f>
        <v>0.90900003628666226</v>
      </c>
      <c r="BW14" s="2">
        <f>BV14+預測IC!BW14</f>
        <v>0.98941370044990185</v>
      </c>
      <c r="BX14" s="2">
        <f>BW14+預測IC!BX14</f>
        <v>1.020850492009113</v>
      </c>
      <c r="BY14" s="2">
        <f>BX14+預測IC!BY14</f>
        <v>1.1225387163492726</v>
      </c>
      <c r="BZ14" s="2">
        <f>BY14+預測IC!BZ14</f>
        <v>1.2157453215857923</v>
      </c>
      <c r="CA14" s="2">
        <f>BZ14+預測IC!CA14</f>
        <v>1.2088233599495388</v>
      </c>
      <c r="CB14" s="2">
        <f>CA14+預測IC!CB14</f>
        <v>1.234186460913798</v>
      </c>
      <c r="CC14" s="2">
        <f>CB14+預測IC!CC14</f>
        <v>1.2440059746065666</v>
      </c>
      <c r="CD14" s="2">
        <f>CC14+預測IC!CD14</f>
        <v>1.3208586066662229</v>
      </c>
      <c r="CE14" s="2">
        <f>CD14+預測IC!CE14</f>
        <v>1.412017315906763</v>
      </c>
      <c r="CF14" s="2">
        <f>CE14+預測IC!CF14</f>
        <v>1.4388895357459477</v>
      </c>
      <c r="CG14" s="2">
        <f>CF14+預測IC!CG14</f>
        <v>1.4699616821281407</v>
      </c>
      <c r="CH14" s="2">
        <f>CG14+預測IC!CH14</f>
        <v>1.4140034261586472</v>
      </c>
      <c r="CI14" s="2">
        <f>CH14+預測IC!CI14</f>
        <v>1.3686668694569817</v>
      </c>
      <c r="CJ14" s="2">
        <f>CI14+預測IC!CJ14</f>
        <v>1.3976947275584715</v>
      </c>
      <c r="CK14" s="2">
        <f>CJ14+預測IC!CK14</f>
        <v>1.4487196751893869</v>
      </c>
      <c r="CL14" s="2">
        <f>CK14+預測IC!CL14</f>
        <v>1.4895097429599442</v>
      </c>
      <c r="CM14" s="2">
        <f>CL14+預測IC!CM14</f>
        <v>1.4514240020443401</v>
      </c>
      <c r="CN14" s="2">
        <f>CM14+預測IC!CN14</f>
        <v>1.5510977495192686</v>
      </c>
      <c r="CO14" s="2">
        <f>CN14+預測IC!CO14</f>
        <v>1.6670916544279504</v>
      </c>
      <c r="CP14" s="2">
        <f>CO14+預測IC!CP14</f>
        <v>1.6564313145131522</v>
      </c>
      <c r="CQ14" s="2">
        <f>CP14+預測IC!CQ14</f>
        <v>1.7265132303251201</v>
      </c>
      <c r="CR14" s="2">
        <f>CQ14+預測IC!CR14</f>
        <v>1.7103021739169899</v>
      </c>
      <c r="CS14" s="2">
        <f>CR14+預測IC!CS14</f>
        <v>1.6729653410356442</v>
      </c>
      <c r="CT14" s="2">
        <f>CS14+預測IC!CT14</f>
        <v>1.7188120573287953</v>
      </c>
      <c r="CU14" s="2">
        <f>CT14+預測IC!CU14</f>
        <v>1.7655765417635183</v>
      </c>
      <c r="CV14" s="2">
        <f>CU14+預測IC!CV14</f>
        <v>1.769246748470845</v>
      </c>
      <c r="CW14" s="2">
        <f>CV14+預測IC!CW14</f>
        <v>1.8124908862312883</v>
      </c>
      <c r="CX14" s="2">
        <f>CW14+預測IC!CX14</f>
        <v>1.8480110310436524</v>
      </c>
      <c r="CY14" s="2">
        <f>CX14+預測IC!CY14</f>
        <v>1.8336428600156232</v>
      </c>
      <c r="CZ14" s="2">
        <f>CY14+預測IC!CZ14</f>
        <v>1.7927616433020457</v>
      </c>
      <c r="DA14" s="2">
        <f>CZ14+預測IC!DA14</f>
        <v>1.7992997592781952</v>
      </c>
      <c r="DB14" s="2">
        <f>DA14+預測IC!DB14</f>
        <v>1.8518973830573651</v>
      </c>
      <c r="DC14" s="2">
        <f>DB14+預測IC!DC14</f>
        <v>1.8907501642615718</v>
      </c>
      <c r="DD14" s="2">
        <f>DC14+預測IC!DD14</f>
        <v>1.8127423863987415</v>
      </c>
      <c r="DE14" s="2">
        <f>DD14+預測IC!DE14</f>
        <v>1.8464605895085946</v>
      </c>
      <c r="DF14" s="2">
        <f>DE14+預測IC!DF14</f>
        <v>1.6823130940050341</v>
      </c>
      <c r="DG14" s="2">
        <f>DF14+預測IC!DG14</f>
        <v>1.6389161087534514</v>
      </c>
      <c r="DH14" s="2">
        <f>DG14+預測IC!DH14</f>
        <v>1.6614651095992921</v>
      </c>
      <c r="DI14" s="2">
        <f>DH14+預測IC!DI14</f>
        <v>1.6407370443200577</v>
      </c>
      <c r="DJ14" s="2">
        <f>DI14+預測IC!DJ14</f>
        <v>1.6779419158873434</v>
      </c>
      <c r="DK14" s="2">
        <f>DJ14+預測IC!DK14</f>
        <v>1.67443854191117</v>
      </c>
      <c r="DL14" s="2">
        <f>DK14+預測IC!DL14</f>
        <v>1.7129728245721254</v>
      </c>
      <c r="DM14" s="2">
        <f>DL14+預測IC!DM14</f>
        <v>1.6746842519918632</v>
      </c>
      <c r="DN14" s="2">
        <f>DM14+預測IC!DN14</f>
        <v>1.6042145994581574</v>
      </c>
      <c r="DO14" s="2">
        <f>DN14+預測IC!DO14</f>
        <v>1.6343014800131723</v>
      </c>
      <c r="DP14" s="2">
        <f>DO14+預測IC!DP14</f>
        <v>1.6798748282256966</v>
      </c>
      <c r="DQ14" s="2">
        <f>DP14+預測IC!DQ14</f>
        <v>1.6940155680389648</v>
      </c>
      <c r="DR14" s="2">
        <f>DQ14+預測IC!DR14</f>
        <v>1.679152193366422</v>
      </c>
      <c r="DS14" s="2">
        <f>DR14+預測IC!DS14</f>
        <v>1.6227732175108065</v>
      </c>
      <c r="DT14" s="2">
        <f>DS14+預測IC!DT14</f>
        <v>1.6394337408756623</v>
      </c>
      <c r="DU14" s="2">
        <f>DT14+預測IC!DU14</f>
        <v>1.6133776059306095</v>
      </c>
      <c r="DV14" s="2">
        <f>DU14+預測IC!DV14</f>
        <v>1.7004219746038403</v>
      </c>
      <c r="DW14" s="2">
        <f>DV14+預測IC!DW14</f>
        <v>1.7014512858124253</v>
      </c>
      <c r="DX14" s="2">
        <f>DW14+預測IC!DX14</f>
        <v>1.5849229034524352</v>
      </c>
      <c r="DY14" s="2">
        <f>DX14+預測IC!DY14</f>
        <v>1.6100706661801734</v>
      </c>
      <c r="DZ14" s="2">
        <f>DY14+預測IC!DZ14</f>
        <v>1.5808410434266964</v>
      </c>
      <c r="EA14" s="2">
        <f>DZ14+預測IC!EA14</f>
        <v>1.5879190367976499</v>
      </c>
      <c r="EB14" s="2">
        <f>EA14+預測IC!EB14</f>
        <v>1.5521592046134378</v>
      </c>
      <c r="EC14" s="2">
        <f>EB14+預測IC!EC14</f>
        <v>1.545454024592571</v>
      </c>
      <c r="ED14" s="2">
        <f>EC14+預測IC!ED14</f>
        <v>1.465894707805979</v>
      </c>
      <c r="EE14" s="2">
        <f>ED14+預測IC!EE14</f>
        <v>1.4555292199920979</v>
      </c>
      <c r="EF14" s="2">
        <f>EE14+預測IC!EF14</f>
        <v>1.4943923920147508</v>
      </c>
      <c r="EG14" s="2">
        <f>EF14+預測IC!EG14</f>
        <v>1.4998402752469548</v>
      </c>
      <c r="EH14" s="2">
        <f>EG14+預測IC!EH14</f>
        <v>1.4904819998451995</v>
      </c>
      <c r="EI14" s="2">
        <f>EH14+預測IC!EI14</f>
        <v>1.4398447661337193</v>
      </c>
      <c r="EJ14" s="2">
        <f>EI14+預測IC!EJ14</f>
        <v>1.3477310782310965</v>
      </c>
      <c r="EK14" s="2">
        <f>EJ14+預測IC!EK14</f>
        <v>1.3367418412920029</v>
      </c>
      <c r="EL14" s="2">
        <f>EK14+預測IC!EL14</f>
        <v>1.3055501915963177</v>
      </c>
    </row>
    <row r="15" spans="1:142" x14ac:dyDescent="0.3">
      <c r="A15" s="19">
        <v>110</v>
      </c>
      <c r="B15" s="19">
        <f t="shared" si="10"/>
        <v>10</v>
      </c>
      <c r="C15" s="2">
        <v>-9.5037535583778296E-2</v>
      </c>
      <c r="D15" s="2">
        <f>C15+預測IC!D15</f>
        <v>7.2259251415250011E-2</v>
      </c>
      <c r="E15" s="2">
        <f>D15+預測IC!E15</f>
        <v>8.5005363587523142E-2</v>
      </c>
      <c r="F15" s="2">
        <f>E15+預測IC!F15</f>
        <v>-1.2403265624902349E-4</v>
      </c>
      <c r="G15" s="2">
        <f>F15+預測IC!G15</f>
        <v>-9.7581702219923461E-2</v>
      </c>
      <c r="H15" s="2">
        <f>G15+預測IC!H15</f>
        <v>-1.5120303360174586E-2</v>
      </c>
      <c r="I15" s="2">
        <f>H15+預測IC!I15</f>
        <v>3.4513366301635831E-2</v>
      </c>
      <c r="J15" s="2">
        <f>I15+預測IC!J15</f>
        <v>0.12101414869887622</v>
      </c>
      <c r="K15" s="2">
        <f>J15+預測IC!K15</f>
        <v>0.10362338889797247</v>
      </c>
      <c r="L15" s="2">
        <f>K15+預測IC!L15</f>
        <v>4.4029128320102202E-2</v>
      </c>
      <c r="M15" s="2">
        <f>L15+預測IC!M15</f>
        <v>6.7149338426673519E-2</v>
      </c>
      <c r="N15" s="2">
        <f>M15+預測IC!N15</f>
        <v>-3.2829264695606625E-2</v>
      </c>
      <c r="O15" s="2">
        <f>N15+預測IC!O15</f>
        <v>1.0992322904315732E-4</v>
      </c>
      <c r="P15" s="2">
        <f>O15+預測IC!P15</f>
        <v>9.3006417079799703E-2</v>
      </c>
      <c r="Q15" s="2">
        <f>P15+預測IC!Q15</f>
        <v>6.8539498300107665E-2</v>
      </c>
      <c r="R15" s="2">
        <f>Q15+預測IC!R15</f>
        <v>0.11756159194919513</v>
      </c>
      <c r="S15" s="2">
        <f>R15+預測IC!S15</f>
        <v>4.171703387517936E-2</v>
      </c>
      <c r="T15" s="2">
        <f>S15+預測IC!T15</f>
        <v>-1.6657976672682623E-2</v>
      </c>
      <c r="U15" s="2">
        <f>T15+預測IC!U15</f>
        <v>-0.15471100307205832</v>
      </c>
      <c r="V15" s="2">
        <f>U15+預測IC!V15</f>
        <v>-0.16155346675868767</v>
      </c>
      <c r="W15" s="2">
        <f>V15+預測IC!W15</f>
        <v>-4.3170221053244473E-2</v>
      </c>
      <c r="X15" s="2">
        <f>W15+預測IC!X15</f>
        <v>8.5639670701674636E-2</v>
      </c>
      <c r="Y15" s="2">
        <f>X15+預測IC!Y15</f>
        <v>4.8208378169962783E-2</v>
      </c>
      <c r="Z15" s="2">
        <f>Y15+預測IC!Z15</f>
        <v>6.5500821361015177E-2</v>
      </c>
      <c r="AA15" s="2">
        <f>Z15+預測IC!AA15</f>
        <v>3.2728903636584789E-3</v>
      </c>
      <c r="AB15" s="2">
        <f>AA15+預測IC!AB15</f>
        <v>5.3113413626078236E-2</v>
      </c>
      <c r="AC15" s="2">
        <f>AB15+預測IC!AC15</f>
        <v>9.4049756542206639E-2</v>
      </c>
      <c r="AD15" s="2">
        <f>AC15+預測IC!AD15</f>
        <v>8.4107591272024246E-2</v>
      </c>
      <c r="AE15" s="2">
        <f>AD15+預測IC!AE15</f>
        <v>0.10273944293963021</v>
      </c>
      <c r="AF15" s="2">
        <f>AE15+預測IC!AF15</f>
        <v>7.839945095209927E-2</v>
      </c>
      <c r="AG15" s="2">
        <f>AF15+預測IC!AG15</f>
        <v>0.11926840423179344</v>
      </c>
      <c r="AH15" s="2">
        <f>AG15+預測IC!AH15</f>
        <v>0.16211577767071519</v>
      </c>
      <c r="AI15" s="2">
        <f>AH15+預測IC!AI15</f>
        <v>3.32478967814826E-2</v>
      </c>
      <c r="AJ15" s="2">
        <f>AI15+預測IC!AJ15</f>
        <v>5.6426235354830871E-2</v>
      </c>
      <c r="AK15" s="2">
        <f>AJ15+預測IC!AK15</f>
        <v>6.3685092176395661E-2</v>
      </c>
      <c r="AL15" s="2">
        <f>AK15+預測IC!AL15</f>
        <v>1.2244159933224023E-2</v>
      </c>
      <c r="AM15" s="2">
        <f>AL15+預測IC!AM15</f>
        <v>6.2745993058393623E-2</v>
      </c>
      <c r="AN15" s="2">
        <f>AM15+預測IC!AN15</f>
        <v>0.18334708068131594</v>
      </c>
      <c r="AO15" s="2">
        <f>AN15+預測IC!AO15</f>
        <v>0.20871046024919429</v>
      </c>
      <c r="AP15" s="2">
        <f>AO15+預測IC!AP15</f>
        <v>0.20664612796489398</v>
      </c>
      <c r="AQ15" s="2">
        <f>AP15+預測IC!AQ15</f>
        <v>0.17834590047043536</v>
      </c>
      <c r="AR15" s="2">
        <f>AQ15+預測IC!AR15</f>
        <v>0.15467342728110386</v>
      </c>
      <c r="AS15" s="2">
        <f>AR15+預測IC!AS15</f>
        <v>0.28711132306379705</v>
      </c>
      <c r="AT15" s="2">
        <f>AS15+預測IC!AT15</f>
        <v>0.29966881150332103</v>
      </c>
      <c r="AU15" s="2">
        <f>AT15+預測IC!AU15</f>
        <v>0.46016381272008144</v>
      </c>
      <c r="AV15" s="2">
        <f>AU15+預測IC!AV15</f>
        <v>0.53889011301950773</v>
      </c>
      <c r="AW15" s="2">
        <f>AV15+預測IC!AW15</f>
        <v>0.58183310979294278</v>
      </c>
      <c r="AX15" s="2">
        <f>AW15+預測IC!AX15</f>
        <v>0.61385666177009124</v>
      </c>
      <c r="AY15" s="2">
        <f>AX15+預測IC!AY15</f>
        <v>0.67455067621333209</v>
      </c>
      <c r="AZ15" s="2">
        <f>AY15+預測IC!AZ15</f>
        <v>0.71651180014269267</v>
      </c>
      <c r="BA15" s="2">
        <f>AZ15+預測IC!BA15</f>
        <v>0.69363039862502529</v>
      </c>
      <c r="BB15" s="2">
        <f>BA15+預測IC!BB15</f>
        <v>0.79959106903543298</v>
      </c>
      <c r="BC15" s="2">
        <f>BB15+預測IC!BC15</f>
        <v>0.83323529839739052</v>
      </c>
      <c r="BD15" s="2">
        <f>BC15+預測IC!BD15</f>
        <v>0.84398744119862557</v>
      </c>
      <c r="BE15" s="2">
        <f>BD15+預測IC!BE15</f>
        <v>0.79324962952175371</v>
      </c>
      <c r="BF15" s="2">
        <f>BE15+預測IC!BF15</f>
        <v>0.8060747512573504</v>
      </c>
      <c r="BG15" s="2">
        <f>BF15+預測IC!BG15</f>
        <v>0.73474861433929994</v>
      </c>
      <c r="BH15" s="2">
        <f>BG15+預測IC!BH15</f>
        <v>0.75168367386344426</v>
      </c>
      <c r="BI15" s="2">
        <f>BH15+預測IC!BI15</f>
        <v>0.67736119815146612</v>
      </c>
      <c r="BJ15" s="2">
        <f>BI15+預測IC!BJ15</f>
        <v>0.78535830527355266</v>
      </c>
      <c r="BK15" s="2">
        <f>BJ15+預測IC!BK15</f>
        <v>0.75975725788180859</v>
      </c>
      <c r="BL15" s="2">
        <f>BK15+預測IC!BL15</f>
        <v>0.72714460882946963</v>
      </c>
      <c r="BM15" s="2">
        <f>BL15+預測IC!BM15</f>
        <v>0.72772321063533141</v>
      </c>
      <c r="BN15" s="2">
        <f>BM15+預測IC!BN15</f>
        <v>0.7936422661537883</v>
      </c>
      <c r="BO15" s="2">
        <f>BN15+預測IC!BO15</f>
        <v>0.77422762167748649</v>
      </c>
      <c r="BP15" s="2">
        <f>BO15+預測IC!BP15</f>
        <v>0.86057834026665403</v>
      </c>
      <c r="BQ15" s="2">
        <f>BP15+預測IC!BQ15</f>
        <v>0.83984692229260105</v>
      </c>
      <c r="BR15" s="2">
        <f>BQ15+預測IC!BR15</f>
        <v>0.85655067208742142</v>
      </c>
      <c r="BS15" s="2">
        <f>BR15+預測IC!BS15</f>
        <v>0.85842689052159082</v>
      </c>
      <c r="BT15" s="2">
        <f>BS15+預測IC!BT15</f>
        <v>0.82028833918486088</v>
      </c>
      <c r="BU15" s="2">
        <f>BT15+預測IC!BU15</f>
        <v>0.76012809389696467</v>
      </c>
      <c r="BV15" s="2">
        <f>BU15+預測IC!BV15</f>
        <v>0.80165641569055279</v>
      </c>
      <c r="BW15" s="2">
        <f>BV15+預測IC!BW15</f>
        <v>0.96616154740910543</v>
      </c>
      <c r="BX15" s="2">
        <f>BW15+預測IC!BX15</f>
        <v>1.0029465885170659</v>
      </c>
      <c r="BY15" s="2">
        <f>BX15+預測IC!BY15</f>
        <v>1.1223107069033211</v>
      </c>
      <c r="BZ15" s="2">
        <f>BY15+預測IC!BZ15</f>
        <v>1.2383419693053812</v>
      </c>
      <c r="CA15" s="2">
        <f>BZ15+預測IC!CA15</f>
        <v>1.2283127707688533</v>
      </c>
      <c r="CB15" s="2">
        <f>CA15+預測IC!CB15</f>
        <v>1.2755651818415004</v>
      </c>
      <c r="CC15" s="2">
        <f>CB15+預測IC!CC15</f>
        <v>1.2915929669519102</v>
      </c>
      <c r="CD15" s="2">
        <f>CC15+預測IC!CD15</f>
        <v>1.3146242378166597</v>
      </c>
      <c r="CE15" s="2">
        <f>CD15+預測IC!CE15</f>
        <v>1.4000495033143618</v>
      </c>
      <c r="CF15" s="2">
        <f>CE15+預測IC!CF15</f>
        <v>1.4243026358222215</v>
      </c>
      <c r="CG15" s="2">
        <f>CF15+預測IC!CG15</f>
        <v>1.4718410416767715</v>
      </c>
      <c r="CH15" s="2">
        <f>CG15+預測IC!CH15</f>
        <v>1.3878748907648382</v>
      </c>
      <c r="CI15" s="2">
        <f>CH15+預測IC!CI15</f>
        <v>1.4160934144519186</v>
      </c>
      <c r="CJ15" s="2">
        <f>CI15+預測IC!CJ15</f>
        <v>1.4317418409328333</v>
      </c>
      <c r="CK15" s="2">
        <f>CJ15+預測IC!CK15</f>
        <v>1.4508051130745863</v>
      </c>
      <c r="CL15" s="2">
        <f>CK15+預測IC!CL15</f>
        <v>1.4522749318576973</v>
      </c>
      <c r="CM15" s="2">
        <f>CL15+預測IC!CM15</f>
        <v>1.4278313243083258</v>
      </c>
      <c r="CN15" s="2">
        <f>CM15+預測IC!CN15</f>
        <v>1.6112666153431254</v>
      </c>
      <c r="CO15" s="2">
        <f>CN15+預測IC!CO15</f>
        <v>1.740352229832073</v>
      </c>
      <c r="CP15" s="2">
        <f>CO15+預測IC!CP15</f>
        <v>1.7134202693949983</v>
      </c>
      <c r="CQ15" s="2">
        <f>CP15+預測IC!CQ15</f>
        <v>1.8068803089915306</v>
      </c>
      <c r="CR15" s="2">
        <f>CQ15+預測IC!CR15</f>
        <v>1.7987216299108757</v>
      </c>
      <c r="CS15" s="2">
        <f>CR15+預測IC!CS15</f>
        <v>1.7683925808725083</v>
      </c>
      <c r="CT15" s="2">
        <f>CS15+預測IC!CT15</f>
        <v>1.794927150173</v>
      </c>
      <c r="CU15" s="2">
        <f>CT15+預測IC!CU15</f>
        <v>1.8508890862860727</v>
      </c>
      <c r="CV15" s="2">
        <f>CU15+預測IC!CV15</f>
        <v>1.8394327686454892</v>
      </c>
      <c r="CW15" s="2">
        <f>CV15+預測IC!CW15</f>
        <v>1.9254509001019584</v>
      </c>
      <c r="CX15" s="2">
        <f>CW15+預測IC!CX15</f>
        <v>1.9520689063522962</v>
      </c>
      <c r="CY15" s="2">
        <f>CX15+預測IC!CY15</f>
        <v>1.9381246389967979</v>
      </c>
      <c r="CZ15" s="2">
        <f>CY15+預測IC!CZ15</f>
        <v>1.9416561469705533</v>
      </c>
      <c r="DA15" s="2">
        <f>CZ15+預測IC!DA15</f>
        <v>1.8969304840942807</v>
      </c>
      <c r="DB15" s="2">
        <f>DA15+預測IC!DB15</f>
        <v>1.9445068971950996</v>
      </c>
      <c r="DC15" s="2">
        <f>DB15+預測IC!DC15</f>
        <v>1.9548637416900996</v>
      </c>
      <c r="DD15" s="2">
        <f>DC15+預測IC!DD15</f>
        <v>1.8010549771421942</v>
      </c>
      <c r="DE15" s="2">
        <f>DD15+預測IC!DE15</f>
        <v>1.8623158769915451</v>
      </c>
      <c r="DF15" s="2">
        <f>DE15+預測IC!DF15</f>
        <v>1.6170280181949725</v>
      </c>
      <c r="DG15" s="2">
        <f>DF15+預測IC!DG15</f>
        <v>1.5780422151764315</v>
      </c>
      <c r="DH15" s="2">
        <f>DG15+預測IC!DH15</f>
        <v>1.6142290353672251</v>
      </c>
      <c r="DI15" s="2">
        <f>DH15+預測IC!DI15</f>
        <v>1.5793450940976512</v>
      </c>
      <c r="DJ15" s="2">
        <f>DI15+預測IC!DJ15</f>
        <v>1.6128822232690176</v>
      </c>
      <c r="DK15" s="2">
        <f>DJ15+預測IC!DK15</f>
        <v>1.571838239195301</v>
      </c>
      <c r="DL15" s="2">
        <f>DK15+預測IC!DL15</f>
        <v>1.5717778092686356</v>
      </c>
      <c r="DM15" s="2">
        <f>DL15+預測IC!DM15</f>
        <v>1.5424347628937005</v>
      </c>
      <c r="DN15" s="2">
        <f>DM15+預測IC!DN15</f>
        <v>1.4147179469759785</v>
      </c>
      <c r="DO15" s="2">
        <f>DN15+預測IC!DO15</f>
        <v>1.5144264800579104</v>
      </c>
      <c r="DP15" s="2">
        <f>DO15+預測IC!DP15</f>
        <v>1.5337490566366714</v>
      </c>
      <c r="DQ15" s="2">
        <f>DP15+預測IC!DQ15</f>
        <v>1.515750271533306</v>
      </c>
      <c r="DR15" s="2">
        <f>DQ15+預測IC!DR15</f>
        <v>1.5009006501758688</v>
      </c>
      <c r="DS15" s="2">
        <f>DR15+預測IC!DS15</f>
        <v>1.4079893269799066</v>
      </c>
      <c r="DT15" s="2">
        <f>DS15+預測IC!DT15</f>
        <v>1.4585782618939012</v>
      </c>
      <c r="DU15" s="2">
        <f>DT15+預測IC!DU15</f>
        <v>1.3826781572176556</v>
      </c>
      <c r="DV15" s="2">
        <f>DU15+預測IC!DV15</f>
        <v>1.5119279769130942</v>
      </c>
      <c r="DW15" s="2">
        <f>DV15+預測IC!DW15</f>
        <v>1.507892387178364</v>
      </c>
      <c r="DX15" s="2">
        <f>DW15+預測IC!DX15</f>
        <v>1.4795005500633192</v>
      </c>
      <c r="DY15" s="2">
        <f>DX15+預測IC!DY15</f>
        <v>1.5484426965063645</v>
      </c>
      <c r="DZ15" s="2">
        <f>DY15+預測IC!DZ15</f>
        <v>1.5506475880781194</v>
      </c>
      <c r="EA15" s="2">
        <f>DZ15+預測IC!EA15</f>
        <v>1.5422981846298602</v>
      </c>
      <c r="EB15" s="2">
        <f>EA15+預測IC!EB15</f>
        <v>1.4793037196531191</v>
      </c>
      <c r="EC15" s="2">
        <f>EB15+預測IC!EC15</f>
        <v>1.4882717804115009</v>
      </c>
      <c r="ED15" s="2">
        <f>EC15+預測IC!ED15</f>
        <v>1.3524705668861412</v>
      </c>
      <c r="EE15" s="2">
        <f>ED15+預測IC!EE15</f>
        <v>1.3668985249564858</v>
      </c>
      <c r="EF15" s="2">
        <f>EE15+預測IC!EF15</f>
        <v>1.4088077621465123</v>
      </c>
      <c r="EG15" s="2">
        <f>EF15+預測IC!EG15</f>
        <v>1.4218646478910284</v>
      </c>
      <c r="EH15" s="2">
        <f>EG15+預測IC!EH15</f>
        <v>1.4113149672315877</v>
      </c>
      <c r="EI15" s="2">
        <f>EH15+預測IC!EI15</f>
        <v>1.3545259035091972</v>
      </c>
      <c r="EJ15" s="2">
        <f>EI15+預測IC!EJ15</f>
        <v>1.2319873228092002</v>
      </c>
      <c r="EK15" s="2">
        <f>EJ15+預測IC!EK15</f>
        <v>1.1507263754138528</v>
      </c>
      <c r="EL15" s="2">
        <f>EK15+預測IC!EL15</f>
        <v>1.0941270330148767</v>
      </c>
    </row>
    <row r="16" spans="1:142" x14ac:dyDescent="0.3">
      <c r="A16" s="19">
        <v>120</v>
      </c>
      <c r="B16" s="19">
        <f t="shared" si="10"/>
        <v>9</v>
      </c>
      <c r="C16" s="2">
        <v>-9.71680377431344E-2</v>
      </c>
      <c r="D16" s="2">
        <f>C16+預測IC!D16</f>
        <v>9.8044909810112713E-2</v>
      </c>
      <c r="E16" s="2">
        <f>D16+預測IC!E16</f>
        <v>0.11205861005108467</v>
      </c>
      <c r="F16" s="2">
        <f>E16+預測IC!F16</f>
        <v>1.5093067848046232E-2</v>
      </c>
      <c r="G16" s="2">
        <f>F16+預測IC!G16</f>
        <v>-9.6018263562993561E-2</v>
      </c>
      <c r="H16" s="2">
        <f>G16+預測IC!H16</f>
        <v>-1.5824433605657995E-2</v>
      </c>
      <c r="I16" s="2">
        <f>H16+預測IC!I16</f>
        <v>3.2939205389994307E-2</v>
      </c>
      <c r="J16" s="2">
        <f>I16+預測IC!J16</f>
        <v>0.12550651686494896</v>
      </c>
      <c r="K16" s="2">
        <f>J16+預測IC!K16</f>
        <v>0.12584469968249978</v>
      </c>
      <c r="L16" s="2">
        <f>K16+預測IC!L16</f>
        <v>7.2167781369524314E-2</v>
      </c>
      <c r="M16" s="2">
        <f>L16+預測IC!M16</f>
        <v>0.10555783028767476</v>
      </c>
      <c r="N16" s="2">
        <f>M16+預測IC!N16</f>
        <v>8.159803085432682E-3</v>
      </c>
      <c r="O16" s="2">
        <f>N16+預測IC!O16</f>
        <v>3.6644996888944667E-2</v>
      </c>
      <c r="P16" s="2">
        <f>O16+預測IC!P16</f>
        <v>0.14387436065673637</v>
      </c>
      <c r="Q16" s="2">
        <f>P16+預測IC!Q16</f>
        <v>0.12031837671842852</v>
      </c>
      <c r="R16" s="2">
        <f>Q16+預測IC!R16</f>
        <v>0.18460886820529865</v>
      </c>
      <c r="S16" s="2">
        <f>R16+預測IC!S16</f>
        <v>0.10672893454874333</v>
      </c>
      <c r="T16" s="2">
        <f>S16+預測IC!T16</f>
        <v>5.6835526219156579E-2</v>
      </c>
      <c r="U16" s="2">
        <f>T16+預測IC!U16</f>
        <v>-4.8335780096339626E-2</v>
      </c>
      <c r="V16" s="2">
        <f>U16+預測IC!V16</f>
        <v>-5.694223809233534E-2</v>
      </c>
      <c r="W16" s="2">
        <f>V16+預測IC!W16</f>
        <v>6.8706111680200271E-2</v>
      </c>
      <c r="X16" s="2">
        <f>W16+預測IC!X16</f>
        <v>0.20431708989659397</v>
      </c>
      <c r="Y16" s="2">
        <f>X16+預測IC!Y16</f>
        <v>0.18819951044093347</v>
      </c>
      <c r="Z16" s="2">
        <f>Y16+預測IC!Z16</f>
        <v>0.21429219639613761</v>
      </c>
      <c r="AA16" s="2">
        <f>Z16+預測IC!AA16</f>
        <v>0.14315857254908618</v>
      </c>
      <c r="AB16" s="2">
        <f>AA16+預測IC!AB16</f>
        <v>0.21864611671450729</v>
      </c>
      <c r="AC16" s="2">
        <f>AB16+預測IC!AC16</f>
        <v>0.25994487142505901</v>
      </c>
      <c r="AD16" s="2">
        <f>AC16+預測IC!AD16</f>
        <v>0.26156684565356519</v>
      </c>
      <c r="AE16" s="2">
        <f>AD16+預測IC!AE16</f>
        <v>0.29582355125660703</v>
      </c>
      <c r="AF16" s="2">
        <f>AE16+預測IC!AF16</f>
        <v>0.27481463956420227</v>
      </c>
      <c r="AG16" s="2">
        <f>AF16+預測IC!AG16</f>
        <v>0.30638454997128145</v>
      </c>
      <c r="AH16" s="2">
        <f>AG16+預測IC!AH16</f>
        <v>0.33510470193914776</v>
      </c>
      <c r="AI16" s="2">
        <f>AH16+預測IC!AI16</f>
        <v>0.38590984970502384</v>
      </c>
      <c r="AJ16" s="2">
        <f>AI16+預測IC!AJ16</f>
        <v>0.40822060463883547</v>
      </c>
      <c r="AK16" s="2">
        <f>AJ16+預測IC!AK16</f>
        <v>0.42065705305424628</v>
      </c>
      <c r="AL16" s="2">
        <f>AK16+預測IC!AL16</f>
        <v>0.36734462948683266</v>
      </c>
      <c r="AM16" s="2">
        <f>AL16+預測IC!AM16</f>
        <v>0.42019587397620656</v>
      </c>
      <c r="AN16" s="2">
        <f>AM16+預測IC!AN16</f>
        <v>0.54732087473633428</v>
      </c>
      <c r="AO16" s="2">
        <f>AN16+預測IC!AO16</f>
        <v>0.57465720353460537</v>
      </c>
      <c r="AP16" s="2">
        <f>AO16+預測IC!AP16</f>
        <v>0.56415096349536076</v>
      </c>
      <c r="AQ16" s="2">
        <f>AP16+預測IC!AQ16</f>
        <v>0.52851566845674658</v>
      </c>
      <c r="AR16" s="2">
        <f>AQ16+預測IC!AR16</f>
        <v>0.49991376647970964</v>
      </c>
      <c r="AS16" s="2">
        <f>AR16+預測IC!AS16</f>
        <v>0.65548480503931283</v>
      </c>
      <c r="AT16" s="2">
        <f>AS16+預測IC!AT16</f>
        <v>0.67106229429073305</v>
      </c>
      <c r="AU16" s="2">
        <f>AT16+預測IC!AU16</f>
        <v>0.79815510877285689</v>
      </c>
      <c r="AV16" s="2">
        <f>AU16+預測IC!AV16</f>
        <v>0.87111719902632301</v>
      </c>
      <c r="AW16" s="2">
        <f>AV16+預測IC!AW16</f>
        <v>0.92075463570610694</v>
      </c>
      <c r="AX16" s="2">
        <f>AW16+預測IC!AX16</f>
        <v>0.94548378274645528</v>
      </c>
      <c r="AY16" s="2">
        <f>AX16+預測IC!AY16</f>
        <v>1.0226419925228185</v>
      </c>
      <c r="AZ16" s="2">
        <f>AY16+預測IC!AZ16</f>
        <v>1.076256595808387</v>
      </c>
      <c r="BA16" s="2">
        <f>AZ16+預測IC!BA16</f>
        <v>1.0704511825664187</v>
      </c>
      <c r="BB16" s="2">
        <f>BA16+預測IC!BB16</f>
        <v>1.1949392874892488</v>
      </c>
      <c r="BC16" s="2">
        <f>BB16+預測IC!BC16</f>
        <v>1.2332264523464123</v>
      </c>
      <c r="BD16" s="2">
        <f>BC16+預測IC!BD16</f>
        <v>1.2388871538069808</v>
      </c>
      <c r="BE16" s="2">
        <f>BD16+預測IC!BE16</f>
        <v>1.1886245161546976</v>
      </c>
      <c r="BF16" s="2">
        <f>BE16+預測IC!BF16</f>
        <v>1.1864973038394595</v>
      </c>
      <c r="BG16" s="2">
        <f>BF16+預測IC!BG16</f>
        <v>1.114223918512629</v>
      </c>
      <c r="BH16" s="2">
        <f>BG16+預測IC!BH16</f>
        <v>1.1359371948694894</v>
      </c>
      <c r="BI16" s="2">
        <f>BH16+預測IC!BI16</f>
        <v>1.0828458628775806</v>
      </c>
      <c r="BJ16" s="2">
        <f>BI16+預測IC!BJ16</f>
        <v>1.1091940954291197</v>
      </c>
      <c r="BK16" s="2">
        <f>BJ16+預測IC!BK16</f>
        <v>1.0807484872160709</v>
      </c>
      <c r="BL16" s="2">
        <f>BK16+預測IC!BL16</f>
        <v>1.0395617334173719</v>
      </c>
      <c r="BM16" s="2">
        <f>BL16+預測IC!BM16</f>
        <v>1.0443634906804455</v>
      </c>
      <c r="BN16" s="2">
        <f>BM16+預測IC!BN16</f>
        <v>1.1204618245203735</v>
      </c>
      <c r="BO16" s="2">
        <f>BN16+預測IC!BO16</f>
        <v>1.1033027959406008</v>
      </c>
      <c r="BP16" s="2">
        <f>BO16+預測IC!BP16</f>
        <v>1.2017866471061203</v>
      </c>
      <c r="BQ16" s="2">
        <f>BP16+預測IC!BQ16</f>
        <v>1.1816545263611355</v>
      </c>
      <c r="BR16" s="2">
        <f>BQ16+預測IC!BR16</f>
        <v>1.2147390314846391</v>
      </c>
      <c r="BS16" s="2">
        <f>BR16+預測IC!BS16</f>
        <v>1.2201532242342632</v>
      </c>
      <c r="BT16" s="2">
        <f>BS16+預測IC!BT16</f>
        <v>1.183498450100501</v>
      </c>
      <c r="BU16" s="2">
        <f>BT16+預測IC!BU16</f>
        <v>1.1262197329201185</v>
      </c>
      <c r="BV16" s="2">
        <f>BU16+預測IC!BV16</f>
        <v>1.1792543623017853</v>
      </c>
      <c r="BW16" s="2">
        <f>BV16+預測IC!BW16</f>
        <v>1.3704835146817831</v>
      </c>
      <c r="BX16" s="2">
        <f>BW16+預測IC!BX16</f>
        <v>1.3720117253183184</v>
      </c>
      <c r="BY16" s="2">
        <f>BX16+預測IC!BY16</f>
        <v>1.5273694454141016</v>
      </c>
      <c r="BZ16" s="2">
        <f>BY16+預測IC!BZ16</f>
        <v>1.652867940146308</v>
      </c>
      <c r="CA16" s="2">
        <f>BZ16+預測IC!CA16</f>
        <v>1.6529305164166761</v>
      </c>
      <c r="CB16" s="2">
        <f>CA16+預測IC!CB16</f>
        <v>1.6854983328012518</v>
      </c>
      <c r="CC16" s="2">
        <f>CB16+預測IC!CC16</f>
        <v>1.711096302695418</v>
      </c>
      <c r="CD16" s="2">
        <f>CC16+預測IC!CD16</f>
        <v>1.7639596079413582</v>
      </c>
      <c r="CE16" s="2">
        <f>CD16+預測IC!CE16</f>
        <v>1.8531656137974282</v>
      </c>
      <c r="CF16" s="2">
        <f>CE16+預測IC!CF16</f>
        <v>1.8720136938828817</v>
      </c>
      <c r="CG16" s="2">
        <f>CF16+預測IC!CG16</f>
        <v>1.9748486511757419</v>
      </c>
      <c r="CH16" s="2">
        <f>CG16+預測IC!CH16</f>
        <v>1.8995205972301208</v>
      </c>
      <c r="CI16" s="2">
        <f>CH16+預測IC!CI16</f>
        <v>1.9225863165727084</v>
      </c>
      <c r="CJ16" s="2">
        <f>CI16+預測IC!CJ16</f>
        <v>1.939741503733198</v>
      </c>
      <c r="CK16" s="2">
        <f>CJ16+預測IC!CK16</f>
        <v>1.9588902547597675</v>
      </c>
      <c r="CL16" s="2">
        <f>CK16+預測IC!CL16</f>
        <v>1.9451976681391256</v>
      </c>
      <c r="CM16" s="2">
        <f>CL16+預測IC!CM16</f>
        <v>1.9202595092340982</v>
      </c>
      <c r="CN16" s="2">
        <f>CM16+預測IC!CN16</f>
        <v>2.1249954773387869</v>
      </c>
      <c r="CO16" s="2">
        <f>CN16+預測IC!CO16</f>
        <v>2.2571246579477902</v>
      </c>
      <c r="CP16" s="2">
        <f>CO16+預測IC!CP16</f>
        <v>2.2248787996852415</v>
      </c>
      <c r="CQ16" s="2">
        <f>CP16+預測IC!CQ16</f>
        <v>2.3170962422677408</v>
      </c>
      <c r="CR16" s="2">
        <f>CQ16+預測IC!CR16</f>
        <v>2.2950038628899132</v>
      </c>
      <c r="CS16" s="2">
        <f>CR16+預測IC!CS16</f>
        <v>2.2632484009407747</v>
      </c>
      <c r="CT16" s="2">
        <f>CS16+預測IC!CT16</f>
        <v>2.2867390823245244</v>
      </c>
      <c r="CU16" s="2">
        <f>CT16+預測IC!CU16</f>
        <v>2.3509216834778144</v>
      </c>
      <c r="CV16" s="2">
        <f>CU16+預測IC!CV16</f>
        <v>2.3422533007957234</v>
      </c>
      <c r="CW16" s="2">
        <f>CV16+預測IC!CW16</f>
        <v>2.4195771717640389</v>
      </c>
      <c r="CX16" s="2">
        <f>CW16+預測IC!CX16</f>
        <v>2.4747487919172411</v>
      </c>
      <c r="CY16" s="2">
        <f>CX16+預測IC!CY16</f>
        <v>2.4586880943374574</v>
      </c>
      <c r="CZ16" s="2">
        <f>CY16+預測IC!CZ16</f>
        <v>2.4836368334185797</v>
      </c>
      <c r="DA16" s="2">
        <f>CZ16+預測IC!DA16</f>
        <v>2.4398007262621078</v>
      </c>
      <c r="DB16" s="2">
        <f>DA16+預測IC!DB16</f>
        <v>2.4807899524064778</v>
      </c>
      <c r="DC16" s="2">
        <f>DB16+預測IC!DC16</f>
        <v>2.4838854613863139</v>
      </c>
      <c r="DD16" s="2">
        <f>DC16+預測IC!DD16</f>
        <v>2.2945465360401354</v>
      </c>
      <c r="DE16" s="2">
        <f>DD16+預測IC!DE16</f>
        <v>2.3491668709430429</v>
      </c>
      <c r="DF16" s="2">
        <f>DE16+預測IC!DF16</f>
        <v>2.216284621158612</v>
      </c>
      <c r="DG16" s="2">
        <f>DF16+預測IC!DG16</f>
        <v>2.1686411319131289</v>
      </c>
      <c r="DH16" s="2">
        <f>DG16+預測IC!DH16</f>
        <v>2.2111743762020128</v>
      </c>
      <c r="DI16" s="2">
        <f>DH16+預測IC!DI16</f>
        <v>2.1755043288306872</v>
      </c>
      <c r="DJ16" s="2">
        <f>DI16+預測IC!DJ16</f>
        <v>2.2143000149954482</v>
      </c>
      <c r="DK16" s="2">
        <f>DJ16+預測IC!DK16</f>
        <v>2.1679248722472457</v>
      </c>
      <c r="DL16" s="2">
        <f>DK16+預測IC!DL16</f>
        <v>2.1684239189704941</v>
      </c>
      <c r="DM16" s="2">
        <f>DL16+預測IC!DM16</f>
        <v>2.1387116905014971</v>
      </c>
      <c r="DN16" s="2">
        <f>DM16+預測IC!DN16</f>
        <v>2.0082570114081735</v>
      </c>
      <c r="DO16" s="2">
        <f>DN16+預測IC!DO16</f>
        <v>2.1308254443195835</v>
      </c>
      <c r="DP16" s="2">
        <f>DO16+預測IC!DP16</f>
        <v>2.1486983628109493</v>
      </c>
      <c r="DQ16" s="2">
        <f>DP16+預測IC!DQ16</f>
        <v>2.1181862640328735</v>
      </c>
      <c r="DR16" s="2">
        <f>DQ16+預測IC!DR16</f>
        <v>2.1034130890901501</v>
      </c>
      <c r="DS16" s="2">
        <f>DR16+預測IC!DS16</f>
        <v>1.9973969894901351</v>
      </c>
      <c r="DT16" s="2">
        <f>DS16+預測IC!DT16</f>
        <v>2.0478314272120191</v>
      </c>
      <c r="DU16" s="2">
        <f>DT16+預測IC!DU16</f>
        <v>1.9633382029275475</v>
      </c>
      <c r="DV16" s="2">
        <f>DU16+預測IC!DV16</f>
        <v>2.0828215490748416</v>
      </c>
      <c r="DW16" s="2">
        <f>DV16+預測IC!DW16</f>
        <v>2.0683018352440086</v>
      </c>
      <c r="DX16" s="2">
        <f>DW16+預測IC!DX16</f>
        <v>2.0401788148826152</v>
      </c>
      <c r="DY16" s="2">
        <f>DX16+預測IC!DY16</f>
        <v>2.1304439807296069</v>
      </c>
      <c r="DZ16" s="2">
        <f>DY16+預測IC!DZ16</f>
        <v>2.1303725641289057</v>
      </c>
      <c r="EA16" s="2">
        <f>DZ16+預測IC!EA16</f>
        <v>2.122844200782577</v>
      </c>
      <c r="EB16" s="2">
        <f>EA16+預測IC!EB16</f>
        <v>2.0633403949740785</v>
      </c>
      <c r="EC16" s="2">
        <f>EB16+預測IC!EC16</f>
        <v>2.0889787739851466</v>
      </c>
      <c r="ED16" s="2">
        <f>EC16+預測IC!ED16</f>
        <v>1.935968661840062</v>
      </c>
      <c r="EE16" s="2">
        <f>ED16+預測IC!EE16</f>
        <v>1.9412923420698547</v>
      </c>
      <c r="EF16" s="2">
        <f>EE16+預測IC!EF16</f>
        <v>1.994241849599772</v>
      </c>
      <c r="EG16" s="2">
        <f>EF16+預測IC!EG16</f>
        <v>1.9891274689864495</v>
      </c>
      <c r="EH16" s="2">
        <f>EG16+預測IC!EH16</f>
        <v>1.981110921716754</v>
      </c>
      <c r="EI16" s="2">
        <f>EH16+預測IC!EI16</f>
        <v>1.9213711854318973</v>
      </c>
      <c r="EJ16" s="2">
        <f>EI16+預測IC!EJ16</f>
        <v>1.8065241685797544</v>
      </c>
      <c r="EK16" s="2">
        <f>EJ16+預測IC!EK16</f>
        <v>1.7379585709495102</v>
      </c>
      <c r="EL16" s="2">
        <f>EK16+預測IC!EL16</f>
        <v>1.6663854643646956</v>
      </c>
    </row>
    <row r="17" spans="1:142" x14ac:dyDescent="0.3">
      <c r="A17" s="19">
        <v>130</v>
      </c>
      <c r="B17" s="19">
        <f t="shared" si="10"/>
        <v>8</v>
      </c>
      <c r="C17" s="2">
        <v>-0.10848541786298629</v>
      </c>
      <c r="D17" s="2">
        <f>C17+預測IC!D17</f>
        <v>8.8184433014875996E-2</v>
      </c>
      <c r="E17" s="2">
        <f>D17+預測IC!E17</f>
        <v>8.0116134415086526E-2</v>
      </c>
      <c r="F17" s="2">
        <f>E17+預測IC!F17</f>
        <v>-4.4974204441685567E-2</v>
      </c>
      <c r="G17" s="2">
        <f>F17+預測IC!G17</f>
        <v>-0.19257959873204536</v>
      </c>
      <c r="H17" s="2">
        <f>G17+預測IC!H17</f>
        <v>-9.4883477105033878E-2</v>
      </c>
      <c r="I17" s="2">
        <f>H17+預測IC!I17</f>
        <v>-4.244906310877241E-2</v>
      </c>
      <c r="J17" s="2">
        <f>I17+預測IC!J17</f>
        <v>5.6816536561581511E-2</v>
      </c>
      <c r="K17" s="2">
        <f>J17+預測IC!K17</f>
        <v>6.4384769594559271E-2</v>
      </c>
      <c r="L17" s="2">
        <f>K17+預測IC!L17</f>
        <v>2.2061152645416443E-2</v>
      </c>
      <c r="M17" s="2">
        <f>L17+預測IC!M17</f>
        <v>6.0028835251016516E-2</v>
      </c>
      <c r="N17" s="2">
        <f>M17+預測IC!N17</f>
        <v>-1.4218677846269553E-2</v>
      </c>
      <c r="O17" s="2">
        <f>N17+預測IC!O17</f>
        <v>7.1232887493135645E-4</v>
      </c>
      <c r="P17" s="2">
        <f>O17+預測IC!P17</f>
        <v>0.12323560974538966</v>
      </c>
      <c r="Q17" s="2">
        <f>P17+預測IC!Q17</f>
        <v>9.8013706966117706E-2</v>
      </c>
      <c r="R17" s="2">
        <f>Q17+預測IC!R17</f>
        <v>0.16910251192870535</v>
      </c>
      <c r="S17" s="2">
        <f>R17+預測IC!S17</f>
        <v>0.10083508707465952</v>
      </c>
      <c r="T17" s="2">
        <f>S17+預測IC!T17</f>
        <v>0.11724557174283985</v>
      </c>
      <c r="U17" s="2">
        <f>T17+預測IC!U17</f>
        <v>8.5741532437079576E-3</v>
      </c>
      <c r="V17" s="2">
        <f>U17+預測IC!V17</f>
        <v>1.340228453706447E-2</v>
      </c>
      <c r="W17" s="2">
        <f>V17+預測IC!W17</f>
        <v>0.13500996636453466</v>
      </c>
      <c r="X17" s="2">
        <f>W17+預測IC!X17</f>
        <v>0.2729160676295922</v>
      </c>
      <c r="Y17" s="2">
        <f>X17+預測IC!Y17</f>
        <v>0.26116992438951325</v>
      </c>
      <c r="Z17" s="2">
        <f>Y17+預測IC!Z17</f>
        <v>0.29965043575509426</v>
      </c>
      <c r="AA17" s="2">
        <f>Z17+預測IC!AA17</f>
        <v>0.23046146394064893</v>
      </c>
      <c r="AB17" s="2">
        <f>AA17+預測IC!AB17</f>
        <v>0.31185806041008901</v>
      </c>
      <c r="AC17" s="2">
        <f>AB17+預測IC!AC17</f>
        <v>0.34916451728721021</v>
      </c>
      <c r="AD17" s="2">
        <f>AC17+預測IC!AD17</f>
        <v>0.3597975771824361</v>
      </c>
      <c r="AE17" s="2">
        <f>AD17+預測IC!AE17</f>
        <v>0.38550305926752521</v>
      </c>
      <c r="AF17" s="2">
        <f>AE17+預測IC!AF17</f>
        <v>0.36716687262948161</v>
      </c>
      <c r="AG17" s="2">
        <f>AF17+預測IC!AG17</f>
        <v>0.40230399962774144</v>
      </c>
      <c r="AH17" s="2">
        <f>AG17+預測IC!AH17</f>
        <v>0.43444926291595815</v>
      </c>
      <c r="AI17" s="2">
        <f>AH17+預測IC!AI17</f>
        <v>0.47850200743051957</v>
      </c>
      <c r="AJ17" s="2">
        <f>AI17+預測IC!AJ17</f>
        <v>0.49297536092966632</v>
      </c>
      <c r="AK17" s="2">
        <f>AJ17+預測IC!AK17</f>
        <v>0.50792336260582926</v>
      </c>
      <c r="AL17" s="2">
        <f>AK17+預測IC!AL17</f>
        <v>0.45304963540752086</v>
      </c>
      <c r="AM17" s="2">
        <f>AL17+預測IC!AM17</f>
        <v>0.50681832969770679</v>
      </c>
      <c r="AN17" s="2">
        <f>AM17+預測IC!AN17</f>
        <v>0.6408409097292157</v>
      </c>
      <c r="AO17" s="2">
        <f>AN17+預測IC!AO17</f>
        <v>0.69004334481356411</v>
      </c>
      <c r="AP17" s="2">
        <f>AO17+預測IC!AP17</f>
        <v>0.67270236158013352</v>
      </c>
      <c r="AQ17" s="2">
        <f>AP17+預測IC!AQ17</f>
        <v>0.64449390707256171</v>
      </c>
      <c r="AR17" s="2">
        <f>AQ17+預測IC!AR17</f>
        <v>0.62962651467331088</v>
      </c>
      <c r="AS17" s="2">
        <f>AR17+預測IC!AS17</f>
        <v>0.78104756996904812</v>
      </c>
      <c r="AT17" s="2">
        <f>AS17+預測IC!AT17</f>
        <v>0.75824849737759081</v>
      </c>
      <c r="AU17" s="2">
        <f>AT17+預測IC!AU17</f>
        <v>0.89090732321310973</v>
      </c>
      <c r="AV17" s="2">
        <f>AU17+預測IC!AV17</f>
        <v>0.9530961910934852</v>
      </c>
      <c r="AW17" s="2">
        <f>AV17+預測IC!AW17</f>
        <v>1.0101830230010618</v>
      </c>
      <c r="AX17" s="2">
        <f>AW17+預測IC!AX17</f>
        <v>1.0447566247001476</v>
      </c>
      <c r="AY17" s="2">
        <f>AX17+預測IC!AY17</f>
        <v>1.1313572495674635</v>
      </c>
      <c r="AZ17" s="2">
        <f>AY17+預測IC!AZ17</f>
        <v>1.193213738812233</v>
      </c>
      <c r="BA17" s="2">
        <f>AZ17+預測IC!BA17</f>
        <v>1.1851375482414115</v>
      </c>
      <c r="BB17" s="2">
        <f>BA17+預測IC!BB17</f>
        <v>1.3279787028524042</v>
      </c>
      <c r="BC17" s="2">
        <f>BB17+預測IC!BC17</f>
        <v>1.3762344959092585</v>
      </c>
      <c r="BD17" s="2">
        <f>BC17+預測IC!BD17</f>
        <v>1.3380022322685587</v>
      </c>
      <c r="BE17" s="2">
        <f>BD17+預測IC!BE17</f>
        <v>1.283917930029423</v>
      </c>
      <c r="BF17" s="2">
        <f>BE17+預測IC!BF17</f>
        <v>1.2877304699859258</v>
      </c>
      <c r="BG17" s="2">
        <f>BF17+預測IC!BG17</f>
        <v>1.210265075642126</v>
      </c>
      <c r="BH17" s="2">
        <f>BG17+預測IC!BH17</f>
        <v>1.2553547729764867</v>
      </c>
      <c r="BI17" s="2">
        <f>BH17+預測IC!BI17</f>
        <v>1.1851479514503236</v>
      </c>
      <c r="BJ17" s="2">
        <f>BI17+預測IC!BJ17</f>
        <v>1.2185938526511699</v>
      </c>
      <c r="BK17" s="2">
        <f>BJ17+預測IC!BK17</f>
        <v>1.1952368087611733</v>
      </c>
      <c r="BL17" s="2">
        <f>BK17+預測IC!BL17</f>
        <v>1.1356883637314996</v>
      </c>
      <c r="BM17" s="2">
        <f>BL17+預測IC!BM17</f>
        <v>1.13382772826057</v>
      </c>
      <c r="BN17" s="2">
        <f>BM17+預測IC!BN17</f>
        <v>1.220712879474789</v>
      </c>
      <c r="BO17" s="2">
        <f>BN17+預測IC!BO17</f>
        <v>1.202605397819448</v>
      </c>
      <c r="BP17" s="2">
        <f>BO17+預測IC!BP17</f>
        <v>1.3191832670678114</v>
      </c>
      <c r="BQ17" s="2">
        <f>BP17+預測IC!BQ17</f>
        <v>1.2980963257181084</v>
      </c>
      <c r="BR17" s="2">
        <f>BQ17+預測IC!BR17</f>
        <v>1.3371407496563932</v>
      </c>
      <c r="BS17" s="2">
        <f>BR17+預測IC!BS17</f>
        <v>1.3302112841414782</v>
      </c>
      <c r="BT17" s="2">
        <f>BS17+預測IC!BT17</f>
        <v>1.2795357524121056</v>
      </c>
      <c r="BU17" s="2">
        <f>BT17+預測IC!BU17</f>
        <v>1.2145000202259684</v>
      </c>
      <c r="BV17" s="2">
        <f>BU17+預測IC!BV17</f>
        <v>1.2792047082440661</v>
      </c>
      <c r="BW17" s="2">
        <f>BV17+預測IC!BW17</f>
        <v>1.3400599494297627</v>
      </c>
      <c r="BX17" s="2">
        <f>BW17+預測IC!BX17</f>
        <v>1.3378750427825561</v>
      </c>
      <c r="BY17" s="2">
        <f>BX17+預測IC!BY17</f>
        <v>1.5168326687029978</v>
      </c>
      <c r="BZ17" s="2">
        <f>BY17+預測IC!BZ17</f>
        <v>1.6350433774460325</v>
      </c>
      <c r="CA17" s="2">
        <f>BZ17+預測IC!CA17</f>
        <v>1.6458298577058412</v>
      </c>
      <c r="CB17" s="2">
        <f>CA17+預測IC!CB17</f>
        <v>1.6778172497331041</v>
      </c>
      <c r="CC17" s="2">
        <f>CB17+預測IC!CC17</f>
        <v>1.6913911214507906</v>
      </c>
      <c r="CD17" s="2">
        <f>CC17+預測IC!CD17</f>
        <v>1.7378788494868529</v>
      </c>
      <c r="CE17" s="2">
        <f>CD17+預測IC!CE17</f>
        <v>1.8348525751141387</v>
      </c>
      <c r="CF17" s="2">
        <f>CE17+預測IC!CF17</f>
        <v>1.8759827478415652</v>
      </c>
      <c r="CG17" s="2">
        <f>CF17+預測IC!CG17</f>
        <v>1.9844108687574395</v>
      </c>
      <c r="CH17" s="2">
        <f>CG17+預測IC!CH17</f>
        <v>1.8929204336533296</v>
      </c>
      <c r="CI17" s="2">
        <f>CH17+預測IC!CI17</f>
        <v>1.9091055260907535</v>
      </c>
      <c r="CJ17" s="2">
        <f>CI17+預測IC!CJ17</f>
        <v>1.9290081931650012</v>
      </c>
      <c r="CK17" s="2">
        <f>CJ17+預測IC!CK17</f>
        <v>1.95221945471675</v>
      </c>
      <c r="CL17" s="2">
        <f>CK17+預測IC!CL17</f>
        <v>1.8946311742051822</v>
      </c>
      <c r="CM17" s="2">
        <f>CL17+預測IC!CM17</f>
        <v>1.8669423551846271</v>
      </c>
      <c r="CN17" s="2">
        <f>CM17+預測IC!CN17</f>
        <v>2.1051897576989806</v>
      </c>
      <c r="CO17" s="2">
        <f>CN17+預測IC!CO17</f>
        <v>2.2683163322304374</v>
      </c>
      <c r="CP17" s="2">
        <f>CO17+預測IC!CP17</f>
        <v>2.2301899479736229</v>
      </c>
      <c r="CQ17" s="2">
        <f>CP17+預測IC!CQ17</f>
        <v>2.3226134506396221</v>
      </c>
      <c r="CR17" s="2">
        <f>CQ17+預測IC!CR17</f>
        <v>2.3422037275392444</v>
      </c>
      <c r="CS17" s="2">
        <f>CR17+預測IC!CS17</f>
        <v>2.3048437529312458</v>
      </c>
      <c r="CT17" s="2">
        <f>CS17+預測IC!CT17</f>
        <v>2.3298040251464709</v>
      </c>
      <c r="CU17" s="2">
        <f>CT17+預測IC!CU17</f>
        <v>2.3689382728744053</v>
      </c>
      <c r="CV17" s="2">
        <f>CU17+預測IC!CV17</f>
        <v>2.3584026190364993</v>
      </c>
      <c r="CW17" s="2">
        <f>CV17+預測IC!CW17</f>
        <v>2.4160020060807388</v>
      </c>
      <c r="CX17" s="2">
        <f>CW17+預測IC!CX17</f>
        <v>2.4173450303390651</v>
      </c>
      <c r="CY17" s="2">
        <f>CX17+預測IC!CY17</f>
        <v>2.3946897702633692</v>
      </c>
      <c r="CZ17" s="2">
        <f>CY17+預測IC!CZ17</f>
        <v>2.3968717484255944</v>
      </c>
      <c r="DA17" s="2">
        <f>CZ17+預測IC!DA17</f>
        <v>2.3511432457435224</v>
      </c>
      <c r="DB17" s="2">
        <f>DA17+預測IC!DB17</f>
        <v>2.3919101075086884</v>
      </c>
      <c r="DC17" s="2">
        <f>DB17+預測IC!DC17</f>
        <v>2.3933511099620812</v>
      </c>
      <c r="DD17" s="2">
        <f>DC17+預測IC!DD17</f>
        <v>2.1726429683061781</v>
      </c>
      <c r="DE17" s="2">
        <f>DD17+預測IC!DE17</f>
        <v>2.1550899211228698</v>
      </c>
      <c r="DF17" s="2">
        <f>DE17+預測IC!DF17</f>
        <v>2.0044566115353919</v>
      </c>
      <c r="DG17" s="2">
        <f>DF17+預測IC!DG17</f>
        <v>1.9481646578573972</v>
      </c>
      <c r="DH17" s="2">
        <f>DG17+預測IC!DH17</f>
        <v>1.9974447210446906</v>
      </c>
      <c r="DI17" s="2">
        <f>DH17+預測IC!DI17</f>
        <v>1.9539181171049922</v>
      </c>
      <c r="DJ17" s="2">
        <f>DI17+預測IC!DJ17</f>
        <v>2.0009674078476434</v>
      </c>
      <c r="DK17" s="2">
        <f>DJ17+預測IC!DK17</f>
        <v>2.000635118747363</v>
      </c>
      <c r="DL17" s="2">
        <f>DK17+預測IC!DL17</f>
        <v>1.9947931023234116</v>
      </c>
      <c r="DM17" s="2">
        <f>DL17+預測IC!DM17</f>
        <v>1.9647290064153489</v>
      </c>
      <c r="DN17" s="2">
        <f>DM17+預測IC!DN17</f>
        <v>1.8605148460698779</v>
      </c>
      <c r="DO17" s="2">
        <f>DN17+預測IC!DO17</f>
        <v>1.9881690902542717</v>
      </c>
      <c r="DP17" s="2">
        <f>DO17+預測IC!DP17</f>
        <v>2.0148261581062497</v>
      </c>
      <c r="DQ17" s="2">
        <f>DP17+預測IC!DQ17</f>
        <v>1.9681677743964645</v>
      </c>
      <c r="DR17" s="2">
        <f>DQ17+預測IC!DR17</f>
        <v>1.9370382663281269</v>
      </c>
      <c r="DS17" s="2">
        <f>DR17+預測IC!DS17</f>
        <v>1.8152105612980904</v>
      </c>
      <c r="DT17" s="2">
        <f>DS17+預測IC!DT17</f>
        <v>1.82460219062733</v>
      </c>
      <c r="DU17" s="2">
        <f>DT17+預測IC!DU17</f>
        <v>1.7317161327075687</v>
      </c>
      <c r="DV17" s="2">
        <f>DU17+預測IC!DV17</f>
        <v>1.8452166508425132</v>
      </c>
      <c r="DW17" s="2">
        <f>DV17+預測IC!DW17</f>
        <v>1.81685734171497</v>
      </c>
      <c r="DX17" s="2">
        <f>DW17+預測IC!DX17</f>
        <v>1.7688841533531379</v>
      </c>
      <c r="DY17" s="2">
        <f>DX17+預測IC!DY17</f>
        <v>1.8546758097678715</v>
      </c>
      <c r="DZ17" s="2">
        <f>DY17+預測IC!DZ17</f>
        <v>1.8555282178841221</v>
      </c>
      <c r="EA17" s="2">
        <f>DZ17+預測IC!EA17</f>
        <v>1.8616661785420601</v>
      </c>
      <c r="EB17" s="2">
        <f>EA17+預測IC!EB17</f>
        <v>1.786702363991765</v>
      </c>
      <c r="EC17" s="2">
        <f>EB17+預測IC!EC17</f>
        <v>1.8095408235896568</v>
      </c>
      <c r="ED17" s="2">
        <f>EC17+預測IC!ED17</f>
        <v>1.6497202059798777</v>
      </c>
      <c r="EE17" s="2">
        <f>ED17+預測IC!EE17</f>
        <v>1.6546580615675475</v>
      </c>
      <c r="EF17" s="2">
        <f>EE17+預測IC!EF17</f>
        <v>1.7178826986724505</v>
      </c>
      <c r="EG17" s="2">
        <f>EF17+預測IC!EG17</f>
        <v>1.7182212527131031</v>
      </c>
      <c r="EH17" s="2">
        <f>EG17+預測IC!EH17</f>
        <v>1.7018562515953635</v>
      </c>
      <c r="EI17" s="2">
        <f>EH17+預測IC!EI17</f>
        <v>1.6276003835886241</v>
      </c>
      <c r="EJ17" s="2">
        <f>EI17+預測IC!EJ17</f>
        <v>1.505375056489004</v>
      </c>
      <c r="EK17" s="2">
        <f>EJ17+預測IC!EK17</f>
        <v>1.4671870409282437</v>
      </c>
      <c r="EL17" s="2">
        <f>EK17+預測IC!EL17</f>
        <v>1.3914798686265892</v>
      </c>
    </row>
    <row r="18" spans="1:142" x14ac:dyDescent="0.3">
      <c r="A18" s="19">
        <v>150</v>
      </c>
      <c r="B18" s="19">
        <f t="shared" si="10"/>
        <v>7</v>
      </c>
      <c r="C18" s="2">
        <v>-5.264358642546442E-2</v>
      </c>
      <c r="D18" s="2">
        <f>C18+預測IC!D18</f>
        <v>0.16400448088256447</v>
      </c>
      <c r="E18" s="2">
        <f>D18+預測IC!E18</f>
        <v>0.10622607723781577</v>
      </c>
      <c r="F18" s="2">
        <f>E18+預測IC!F18</f>
        <v>-3.2000519163170427E-2</v>
      </c>
      <c r="G18" s="2">
        <f>F18+預測IC!G18</f>
        <v>-0.18113672817290272</v>
      </c>
      <c r="H18" s="2">
        <f>G18+預測IC!H18</f>
        <v>-7.8906108540036213E-2</v>
      </c>
      <c r="I18" s="2">
        <f>H18+預測IC!I18</f>
        <v>-1.2191977475378632E-2</v>
      </c>
      <c r="J18" s="2">
        <f>I18+預測IC!J18</f>
        <v>0.10725331781480377</v>
      </c>
      <c r="K18" s="2">
        <f>J18+預測IC!K18</f>
        <v>0.12810796110609091</v>
      </c>
      <c r="L18" s="2">
        <f>K18+預測IC!L18</f>
        <v>9.8315323757357839E-2</v>
      </c>
      <c r="M18" s="2">
        <f>L18+預測IC!M18</f>
        <v>0.14070179478507711</v>
      </c>
      <c r="N18" s="2">
        <f>M18+預測IC!N18</f>
        <v>-5.4181740194658989E-3</v>
      </c>
      <c r="O18" s="2">
        <f>N18+預測IC!O18</f>
        <v>-4.040372460310885E-2</v>
      </c>
      <c r="P18" s="2">
        <f>O18+預測IC!P18</f>
        <v>4.2505142756165577E-2</v>
      </c>
      <c r="Q18" s="2">
        <f>P18+預測IC!Q18</f>
        <v>1.1973426831907587E-2</v>
      </c>
      <c r="R18" s="2">
        <f>Q18+預測IC!R18</f>
        <v>0.11277906729832679</v>
      </c>
      <c r="S18" s="2">
        <f>R18+預測IC!S18</f>
        <v>6.5613425526992036E-2</v>
      </c>
      <c r="T18" s="2">
        <f>S18+預測IC!T18</f>
        <v>3.0299175593352379E-2</v>
      </c>
      <c r="U18" s="2">
        <f>T18+預測IC!U18</f>
        <v>-6.8610897427763246E-2</v>
      </c>
      <c r="V18" s="2">
        <f>U18+預測IC!V18</f>
        <v>-8.1757802119277287E-2</v>
      </c>
      <c r="W18" s="2">
        <f>V18+預測IC!W18</f>
        <v>4.1545098461665514E-2</v>
      </c>
      <c r="X18" s="2">
        <f>W18+預測IC!X18</f>
        <v>0.1704817759697827</v>
      </c>
      <c r="Y18" s="2">
        <f>X18+預測IC!Y18</f>
        <v>0.15280051676493292</v>
      </c>
      <c r="Z18" s="2">
        <f>Y18+預測IC!Z18</f>
        <v>0.19457976583897982</v>
      </c>
      <c r="AA18" s="2">
        <f>Z18+預測IC!AA18</f>
        <v>0.12113357158330879</v>
      </c>
      <c r="AB18" s="2">
        <f>AA18+預測IC!AB18</f>
        <v>0.20698673187652689</v>
      </c>
      <c r="AC18" s="2">
        <f>AB18+預測IC!AC18</f>
        <v>0.224534816940413</v>
      </c>
      <c r="AD18" s="2">
        <f>AC18+預測IC!AD18</f>
        <v>0.24574347795244339</v>
      </c>
      <c r="AE18" s="2">
        <f>AD18+預測IC!AE18</f>
        <v>0.2548525164446247</v>
      </c>
      <c r="AF18" s="2">
        <f>AE18+預測IC!AF18</f>
        <v>0.23315264305592787</v>
      </c>
      <c r="AG18" s="2">
        <f>AF18+預測IC!AG18</f>
        <v>0.27647798265693302</v>
      </c>
      <c r="AH18" s="2">
        <f>AG18+預測IC!AH18</f>
        <v>0.26575082725750004</v>
      </c>
      <c r="AI18" s="2">
        <f>AH18+預測IC!AI18</f>
        <v>0.28567431535202714</v>
      </c>
      <c r="AJ18" s="2">
        <f>AI18+預測IC!AJ18</f>
        <v>0.32680397005518819</v>
      </c>
      <c r="AK18" s="2">
        <f>AJ18+預測IC!AK18</f>
        <v>0.33436843602261324</v>
      </c>
      <c r="AL18" s="2">
        <f>AK18+預測IC!AL18</f>
        <v>0.28388898411986219</v>
      </c>
      <c r="AM18" s="2">
        <f>AL18+預測IC!AM18</f>
        <v>0.34090429693784102</v>
      </c>
      <c r="AN18" s="2">
        <f>AM18+預測IC!AN18</f>
        <v>0.49073390966166419</v>
      </c>
      <c r="AO18" s="2">
        <f>AN18+預測IC!AO18</f>
        <v>0.52729172039539352</v>
      </c>
      <c r="AP18" s="2">
        <f>AO18+預測IC!AP18</f>
        <v>0.51658862840513264</v>
      </c>
      <c r="AQ18" s="2">
        <f>AP18+預測IC!AQ18</f>
        <v>0.49473907205376</v>
      </c>
      <c r="AR18" s="2">
        <f>AQ18+預測IC!AR18</f>
        <v>0.4792461020887484</v>
      </c>
      <c r="AS18" s="2">
        <f>AR18+預測IC!AS18</f>
        <v>0.65030997406693258</v>
      </c>
      <c r="AT18" s="2">
        <f>AS18+預測IC!AT18</f>
        <v>0.64324027524804084</v>
      </c>
      <c r="AU18" s="2">
        <f>AT18+預測IC!AU18</f>
        <v>0.77224453954352956</v>
      </c>
      <c r="AV18" s="2">
        <f>AU18+預測IC!AV18</f>
        <v>0.84626897965114567</v>
      </c>
      <c r="AW18" s="2">
        <f>AV18+預測IC!AW18</f>
        <v>0.91452332507614331</v>
      </c>
      <c r="AX18" s="2">
        <f>AW18+預測IC!AX18</f>
        <v>0.96159493874819146</v>
      </c>
      <c r="AY18" s="2">
        <f>AX18+預測IC!AY18</f>
        <v>1.0528968752889996</v>
      </c>
      <c r="AZ18" s="2">
        <f>AY18+預測IC!AZ18</f>
        <v>1.1311957030140989</v>
      </c>
      <c r="BA18" s="2">
        <f>AZ18+預測IC!BA18</f>
        <v>1.1415253550679985</v>
      </c>
      <c r="BB18" s="2">
        <f>BA18+預測IC!BB18</f>
        <v>1.3023837250824073</v>
      </c>
      <c r="BC18" s="2">
        <f>BB18+預測IC!BC18</f>
        <v>1.3473784606763519</v>
      </c>
      <c r="BD18" s="2">
        <f>BC18+預測IC!BD18</f>
        <v>1.3180050726217476</v>
      </c>
      <c r="BE18" s="2">
        <f>BD18+預測IC!BE18</f>
        <v>1.2572772837088453</v>
      </c>
      <c r="BF18" s="2">
        <f>BE18+預測IC!BF18</f>
        <v>1.2532942168648353</v>
      </c>
      <c r="BG18" s="2">
        <f>BF18+預測IC!BG18</f>
        <v>1.1833612649517797</v>
      </c>
      <c r="BH18" s="2">
        <f>BG18+預測IC!BH18</f>
        <v>1.1714120037132905</v>
      </c>
      <c r="BI18" s="2">
        <f>BH18+預測IC!BI18</f>
        <v>1.0591892504384495</v>
      </c>
      <c r="BJ18" s="2">
        <f>BI18+預測IC!BJ18</f>
        <v>1.0886466012551128</v>
      </c>
      <c r="BK18" s="2">
        <f>BJ18+預測IC!BK18</f>
        <v>1.0423340469211713</v>
      </c>
      <c r="BL18" s="2">
        <f>BK18+預測IC!BL18</f>
        <v>0.9801195254291305</v>
      </c>
      <c r="BM18" s="2">
        <f>BL18+預測IC!BM18</f>
        <v>0.95066883387165391</v>
      </c>
      <c r="BN18" s="2">
        <f>BM18+預測IC!BN18</f>
        <v>1.0480034101331466</v>
      </c>
      <c r="BO18" s="2">
        <f>BN18+預測IC!BO18</f>
        <v>1.0381493831440263</v>
      </c>
      <c r="BP18" s="2">
        <f>BO18+預測IC!BP18</f>
        <v>1.1558691321402956</v>
      </c>
      <c r="BQ18" s="2">
        <f>BP18+預測IC!BQ18</f>
        <v>1.1285015236092315</v>
      </c>
      <c r="BR18" s="2">
        <f>BQ18+預測IC!BR18</f>
        <v>1.1631587422885963</v>
      </c>
      <c r="BS18" s="2">
        <f>BR18+預測IC!BS18</f>
        <v>1.1425656861025506</v>
      </c>
      <c r="BT18" s="2">
        <f>BS18+預測IC!BT18</f>
        <v>1.1207900804268143</v>
      </c>
      <c r="BU18" s="2">
        <f>BT18+預測IC!BU18</f>
        <v>1.0535591786395784</v>
      </c>
      <c r="BV18" s="2">
        <f>BU18+預測IC!BV18</f>
        <v>1.1115529137042488</v>
      </c>
      <c r="BW18" s="2">
        <f>BV18+預測IC!BW18</f>
        <v>1.2252459566012304</v>
      </c>
      <c r="BX18" s="2">
        <f>BW18+預測IC!BX18</f>
        <v>1.226451478551345</v>
      </c>
      <c r="BY18" s="2">
        <f>BX18+預測IC!BY18</f>
        <v>1.3973193093786005</v>
      </c>
      <c r="BZ18" s="2">
        <f>BY18+預測IC!BZ18</f>
        <v>1.4752317465672651</v>
      </c>
      <c r="CA18" s="2">
        <f>BZ18+預測IC!CA18</f>
        <v>1.4708723714783398</v>
      </c>
      <c r="CB18" s="2">
        <f>CA18+預測IC!CB18</f>
        <v>1.542660379500592</v>
      </c>
      <c r="CC18" s="2">
        <f>CB18+預測IC!CC18</f>
        <v>1.5117019978467119</v>
      </c>
      <c r="CD18" s="2">
        <f>CC18+預測IC!CD18</f>
        <v>1.5608505449921879</v>
      </c>
      <c r="CE18" s="2">
        <f>CD18+預測IC!CE18</f>
        <v>1.6620884086227672</v>
      </c>
      <c r="CF18" s="2">
        <f>CE18+預測IC!CF18</f>
        <v>1.7052761722638703</v>
      </c>
      <c r="CG18" s="2">
        <f>CF18+預測IC!CG18</f>
        <v>1.8071372881406584</v>
      </c>
      <c r="CH18" s="2">
        <f>CG18+預測IC!CH18</f>
        <v>1.7189132471787409</v>
      </c>
      <c r="CI18" s="2">
        <f>CH18+預測IC!CI18</f>
        <v>1.7359704355316161</v>
      </c>
      <c r="CJ18" s="2">
        <f>CI18+預測IC!CJ18</f>
        <v>1.7567544448318613</v>
      </c>
      <c r="CK18" s="2">
        <f>CJ18+預測IC!CK18</f>
        <v>1.7806460962256769</v>
      </c>
      <c r="CL18" s="2">
        <f>CK18+預測IC!CL18</f>
        <v>1.6794717478921035</v>
      </c>
      <c r="CM18" s="2">
        <f>CL18+預測IC!CM18</f>
        <v>1.6473809119333922</v>
      </c>
      <c r="CN18" s="2">
        <f>CM18+預測IC!CN18</f>
        <v>1.9254121992984312</v>
      </c>
      <c r="CO18" s="2">
        <f>CN18+預測IC!CO18</f>
        <v>2.096579143727539</v>
      </c>
      <c r="CP18" s="2">
        <f>CO18+預測IC!CP18</f>
        <v>2.0740883197841065</v>
      </c>
      <c r="CQ18" s="2">
        <f>CP18+預測IC!CQ18</f>
        <v>2.184029509603179</v>
      </c>
      <c r="CR18" s="2">
        <f>CQ18+預測IC!CR18</f>
        <v>2.2179311320887365</v>
      </c>
      <c r="CS18" s="2">
        <f>CR18+預測IC!CS18</f>
        <v>2.1626601687730651</v>
      </c>
      <c r="CT18" s="2">
        <f>CS18+預測IC!CT18</f>
        <v>2.1744113451268672</v>
      </c>
      <c r="CU18" s="2">
        <f>CT18+預測IC!CU18</f>
        <v>2.1967873535027689</v>
      </c>
      <c r="CV18" s="2">
        <f>CU18+預測IC!CV18</f>
        <v>2.2065548968026638</v>
      </c>
      <c r="CW18" s="2">
        <f>CV18+預測IC!CW18</f>
        <v>2.2702411412447034</v>
      </c>
      <c r="CX18" s="2">
        <f>CW18+預測IC!CX18</f>
        <v>2.252961687945799</v>
      </c>
      <c r="CY18" s="2">
        <f>CX18+預測IC!CY18</f>
        <v>2.2427937494855135</v>
      </c>
      <c r="CZ18" s="2">
        <f>CY18+預測IC!CZ18</f>
        <v>2.2480731894005888</v>
      </c>
      <c r="DA18" s="2">
        <f>CZ18+預測IC!DA18</f>
        <v>2.203769230282818</v>
      </c>
      <c r="DB18" s="2">
        <f>DA18+預測IC!DB18</f>
        <v>2.2517226566608528</v>
      </c>
      <c r="DC18" s="2">
        <f>DB18+預測IC!DC18</f>
        <v>2.2510178216502239</v>
      </c>
      <c r="DD18" s="2">
        <f>DC18+預測IC!DD18</f>
        <v>1.9754211643853896</v>
      </c>
      <c r="DE18" s="2">
        <f>DD18+預測IC!DE18</f>
        <v>1.9580506456926225</v>
      </c>
      <c r="DF18" s="2">
        <f>DE18+預測IC!DF18</f>
        <v>1.7970641090428225</v>
      </c>
      <c r="DG18" s="2">
        <f>DF18+預測IC!DG18</f>
        <v>1.732096933829705</v>
      </c>
      <c r="DH18" s="2">
        <f>DG18+預測IC!DH18</f>
        <v>1.7885227228010177</v>
      </c>
      <c r="DI18" s="2">
        <f>DH18+預測IC!DI18</f>
        <v>1.7442239929917205</v>
      </c>
      <c r="DJ18" s="2">
        <f>DI18+預測IC!DJ18</f>
        <v>1.7657753583198614</v>
      </c>
      <c r="DK18" s="2">
        <f>DJ18+預測IC!DK18</f>
        <v>1.7682397837850308</v>
      </c>
      <c r="DL18" s="2">
        <f>DK18+預測IC!DL18</f>
        <v>1.8041168043227096</v>
      </c>
      <c r="DM18" s="2">
        <f>DL18+預測IC!DM18</f>
        <v>1.777611339289267</v>
      </c>
      <c r="DN18" s="2">
        <f>DM18+預測IC!DN18</f>
        <v>1.6957715592395277</v>
      </c>
      <c r="DO18" s="2">
        <f>DN18+預測IC!DO18</f>
        <v>1.8468764671959101</v>
      </c>
      <c r="DP18" s="2">
        <f>DO18+預測IC!DP18</f>
        <v>1.8848537482510039</v>
      </c>
      <c r="DQ18" s="2">
        <f>DP18+預測IC!DQ18</f>
        <v>1.8882744405275207</v>
      </c>
      <c r="DR18" s="2">
        <f>DQ18+預測IC!DR18</f>
        <v>1.843252366856468</v>
      </c>
      <c r="DS18" s="2">
        <f>DR18+預測IC!DS18</f>
        <v>1.6888438334508284</v>
      </c>
      <c r="DT18" s="2">
        <f>DS18+預測IC!DT18</f>
        <v>1.69669707368694</v>
      </c>
      <c r="DU18" s="2">
        <f>DT18+預測IC!DU18</f>
        <v>1.5969072422436275</v>
      </c>
      <c r="DV18" s="2">
        <f>DU18+預測IC!DV18</f>
        <v>1.7243335346189097</v>
      </c>
      <c r="DW18" s="2">
        <f>DV18+預測IC!DW18</f>
        <v>1.6775645336496272</v>
      </c>
      <c r="DX18" s="2">
        <f>DW18+預測IC!DX18</f>
        <v>1.620221547956022</v>
      </c>
      <c r="DY18" s="2">
        <f>DX18+預測IC!DY18</f>
        <v>1.7568403350233956</v>
      </c>
      <c r="DZ18" s="2">
        <f>DY18+預測IC!DZ18</f>
        <v>1.7639215799725092</v>
      </c>
      <c r="EA18" s="2">
        <f>DZ18+預測IC!EA18</f>
        <v>1.7461742351578606</v>
      </c>
      <c r="EB18" s="2">
        <f>EA18+預測IC!EB18</f>
        <v>1.6652465818589053</v>
      </c>
      <c r="EC18" s="2">
        <f>EB18+預測IC!EC18</f>
        <v>1.7181564643971823</v>
      </c>
      <c r="ED18" s="2">
        <f>EC18+預測IC!ED18</f>
        <v>1.5643253300697049</v>
      </c>
      <c r="EE18" s="2">
        <f>ED18+預測IC!EE18</f>
        <v>1.5661367327459259</v>
      </c>
      <c r="EF18" s="2">
        <f>EE18+預測IC!EF18</f>
        <v>1.6463888617741249</v>
      </c>
      <c r="EG18" s="2">
        <f>EF18+預測IC!EG18</f>
        <v>1.6592471611308184</v>
      </c>
      <c r="EH18" s="2">
        <f>EG18+預測IC!EH18</f>
        <v>1.6525115746231582</v>
      </c>
      <c r="EI18" s="2">
        <f>EH18+預測IC!EI18</f>
        <v>1.571251520179124</v>
      </c>
      <c r="EJ18" s="2">
        <f>EI18+預測IC!EJ18</f>
        <v>1.4305162928858783</v>
      </c>
      <c r="EK18" s="2">
        <f>EJ18+預測IC!EK18</f>
        <v>1.3751595837682082</v>
      </c>
      <c r="EL18" s="2">
        <f>EK18+預測IC!EL18</f>
        <v>1.302652607856277</v>
      </c>
    </row>
    <row r="19" spans="1:142" x14ac:dyDescent="0.3">
      <c r="A19" s="19">
        <v>180</v>
      </c>
      <c r="B19" s="19">
        <f t="shared" si="10"/>
        <v>6</v>
      </c>
      <c r="C19" s="2">
        <v>-6.3862070951592978E-2</v>
      </c>
      <c r="D19" s="2">
        <f>C19+預測IC!D19</f>
        <v>0.16957252245797583</v>
      </c>
      <c r="E19" s="2">
        <f>D19+預測IC!E19</f>
        <v>0.10314487389349325</v>
      </c>
      <c r="F19" s="2">
        <f>E19+預測IC!F19</f>
        <v>-8.2948387183867517E-3</v>
      </c>
      <c r="G19" s="2">
        <f>F19+預測IC!G19</f>
        <v>-0.14893941067616795</v>
      </c>
      <c r="H19" s="2">
        <f>G19+預測IC!H19</f>
        <v>-8.7181031132670658E-2</v>
      </c>
      <c r="I19" s="2">
        <f>H19+預測IC!I19</f>
        <v>-6.1329938735803502E-3</v>
      </c>
      <c r="J19" s="2">
        <f>I19+預測IC!J19</f>
        <v>0.14199284781007804</v>
      </c>
      <c r="K19" s="2">
        <f>J19+預測IC!K19</f>
        <v>0.17435398358581425</v>
      </c>
      <c r="L19" s="2">
        <f>K19+預測IC!L19</f>
        <v>0.17042877299705791</v>
      </c>
      <c r="M19" s="2">
        <f>L19+預測IC!M19</f>
        <v>0.24726480930911998</v>
      </c>
      <c r="N19" s="2">
        <f>M19+預測IC!N19</f>
        <v>5.7741582614074388E-2</v>
      </c>
      <c r="O19" s="2">
        <f>N19+預測IC!O19</f>
        <v>1.7217404692723301E-2</v>
      </c>
      <c r="P19" s="2">
        <f>O19+預測IC!P19</f>
        <v>0.12819817336130268</v>
      </c>
      <c r="Q19" s="2">
        <f>P19+預測IC!Q19</f>
        <v>7.7622154530260598E-2</v>
      </c>
      <c r="R19" s="2">
        <f>Q19+預測IC!R19</f>
        <v>0.18905808488864562</v>
      </c>
      <c r="S19" s="2">
        <f>R19+預測IC!S19</f>
        <v>0.16144166257122253</v>
      </c>
      <c r="T19" s="2">
        <f>S19+預測IC!T19</f>
        <v>0.12464971705860999</v>
      </c>
      <c r="U19" s="2">
        <f>T19+預測IC!U19</f>
        <v>1.7727616227512483E-2</v>
      </c>
      <c r="V19" s="2">
        <f>U19+預測IC!V19</f>
        <v>1.3727605364799278E-2</v>
      </c>
      <c r="W19" s="2">
        <f>V19+預測IC!W19</f>
        <v>0.16928169915477398</v>
      </c>
      <c r="X19" s="2">
        <f>W19+預測IC!X19</f>
        <v>0.29044799423409756</v>
      </c>
      <c r="Y19" s="2">
        <f>X19+預測IC!Y19</f>
        <v>0.28119564738823832</v>
      </c>
      <c r="Z19" s="2">
        <f>Y19+預測IC!Z19</f>
        <v>0.31639413742483807</v>
      </c>
      <c r="AA19" s="2">
        <f>Z19+預測IC!AA19</f>
        <v>0.2321974282614673</v>
      </c>
      <c r="AB19" s="2">
        <f>AA19+預測IC!AB19</f>
        <v>0.31595698902666863</v>
      </c>
      <c r="AC19" s="2">
        <f>AB19+預測IC!AC19</f>
        <v>0.3332577397841564</v>
      </c>
      <c r="AD19" s="2">
        <f>AC19+預測IC!AD19</f>
        <v>0.35424527795067828</v>
      </c>
      <c r="AE19" s="2">
        <f>AD19+預測IC!AE19</f>
        <v>0.37640500328507931</v>
      </c>
      <c r="AF19" s="2">
        <f>AE19+預測IC!AF19</f>
        <v>0.35545643072370858</v>
      </c>
      <c r="AG19" s="2">
        <f>AF19+預測IC!AG19</f>
        <v>0.3795488485746088</v>
      </c>
      <c r="AH19" s="2">
        <f>AG19+預測IC!AH19</f>
        <v>0.38181144012287971</v>
      </c>
      <c r="AI19" s="2">
        <f>AH19+預測IC!AI19</f>
        <v>0.40644730610273133</v>
      </c>
      <c r="AJ19" s="2">
        <f>AI19+預測IC!AJ19</f>
        <v>0.45898703312239819</v>
      </c>
      <c r="AK19" s="2">
        <f>AJ19+預測IC!AK19</f>
        <v>0.45958891567340704</v>
      </c>
      <c r="AL19" s="2">
        <f>AK19+預測IC!AL19</f>
        <v>0.4249856394695809</v>
      </c>
      <c r="AM19" s="2">
        <f>AL19+預測IC!AM19</f>
        <v>0.49724358608727148</v>
      </c>
      <c r="AN19" s="2">
        <f>AM19+預測IC!AN19</f>
        <v>0.65712431628687706</v>
      </c>
      <c r="AO19" s="2">
        <f>AN19+預測IC!AO19</f>
        <v>0.6965850023009037</v>
      </c>
      <c r="AP19" s="2">
        <f>AO19+預測IC!AP19</f>
        <v>0.73513429871486591</v>
      </c>
      <c r="AQ19" s="2">
        <f>AP19+預測IC!AQ19</f>
        <v>0.70228122108115887</v>
      </c>
      <c r="AR19" s="2">
        <f>AQ19+預測IC!AR19</f>
        <v>0.68370332386540777</v>
      </c>
      <c r="AS19" s="2">
        <f>AR19+預測IC!AS19</f>
        <v>0.87920744649046512</v>
      </c>
      <c r="AT19" s="2">
        <f>AS19+預測IC!AT19</f>
        <v>0.86225405176976733</v>
      </c>
      <c r="AU19" s="2">
        <f>AT19+預測IC!AU19</f>
        <v>0.95986637811451037</v>
      </c>
      <c r="AV19" s="2">
        <f>AU19+預測IC!AV19</f>
        <v>1.0411157834988918</v>
      </c>
      <c r="AW19" s="2">
        <f>AV19+預測IC!AW19</f>
        <v>1.0948547992167434</v>
      </c>
      <c r="AX19" s="2">
        <f>AW19+預測IC!AX19</f>
        <v>1.1417955652688325</v>
      </c>
      <c r="AY19" s="2">
        <f>AX19+預測IC!AY19</f>
        <v>1.2148956456231792</v>
      </c>
      <c r="AZ19" s="2">
        <f>AY19+預測IC!AZ19</f>
        <v>1.2824159395295163</v>
      </c>
      <c r="BA19" s="2">
        <f>AZ19+預測IC!BA19</f>
        <v>1.2722558063936178</v>
      </c>
      <c r="BB19" s="2">
        <f>BA19+預測IC!BB19</f>
        <v>1.4166022819313493</v>
      </c>
      <c r="BC19" s="2">
        <f>BB19+預測IC!BC19</f>
        <v>1.4734501636949529</v>
      </c>
      <c r="BD19" s="2">
        <f>BC19+預測IC!BD19</f>
        <v>1.4481866068317104</v>
      </c>
      <c r="BE19" s="2">
        <f>BD19+預測IC!BE19</f>
        <v>1.3769226908884264</v>
      </c>
      <c r="BF19" s="2">
        <f>BE19+預測IC!BF19</f>
        <v>1.3862781169961018</v>
      </c>
      <c r="BG19" s="2">
        <f>BF19+預測IC!BG19</f>
        <v>1.3239949756850573</v>
      </c>
      <c r="BH19" s="2">
        <f>BG19+預測IC!BH19</f>
        <v>1.2994686032864322</v>
      </c>
      <c r="BI19" s="2">
        <f>BH19+預測IC!BI19</f>
        <v>1.1973587626732392</v>
      </c>
      <c r="BJ19" s="2">
        <f>BI19+預測IC!BJ19</f>
        <v>1.2081265552525831</v>
      </c>
      <c r="BK19" s="2">
        <f>BJ19+預測IC!BK19</f>
        <v>1.154106563429441</v>
      </c>
      <c r="BL19" s="2">
        <f>BK19+預測IC!BL19</f>
        <v>1.0774116984956601</v>
      </c>
      <c r="BM19" s="2">
        <f>BL19+預測IC!BM19</f>
        <v>1.0195314734557781</v>
      </c>
      <c r="BN19" s="2">
        <f>BM19+預測IC!BN19</f>
        <v>1.1169804811956403</v>
      </c>
      <c r="BO19" s="2">
        <f>BN19+預測IC!BO19</f>
        <v>1.1233458183973475</v>
      </c>
      <c r="BP19" s="2">
        <f>BO19+預測IC!BP19</f>
        <v>1.2420452889360103</v>
      </c>
      <c r="BQ19" s="2">
        <f>BP19+預測IC!BQ19</f>
        <v>1.2113554703131411</v>
      </c>
      <c r="BR19" s="2">
        <f>BQ19+預測IC!BR19</f>
        <v>1.250830346448961</v>
      </c>
      <c r="BS19" s="2">
        <f>BR19+預測IC!BS19</f>
        <v>1.218612066745709</v>
      </c>
      <c r="BT19" s="2">
        <f>BS19+預測IC!BT19</f>
        <v>1.1941202376311819</v>
      </c>
      <c r="BU19" s="2">
        <f>BT19+預測IC!BU19</f>
        <v>1.0988964166606647</v>
      </c>
      <c r="BV19" s="2">
        <f>BU19+預測IC!BV19</f>
        <v>1.142404587412164</v>
      </c>
      <c r="BW19" s="2">
        <f>BV19+預測IC!BW19</f>
        <v>1.2549030827172241</v>
      </c>
      <c r="BX19" s="2">
        <f>BW19+預測IC!BX19</f>
        <v>1.2645409535973617</v>
      </c>
      <c r="BY19" s="2">
        <f>BX19+預測IC!BY19</f>
        <v>1.4293583058527477</v>
      </c>
      <c r="BZ19" s="2">
        <f>BY19+預測IC!BZ19</f>
        <v>1.4871037905916271</v>
      </c>
      <c r="CA19" s="2">
        <f>BZ19+預測IC!CA19</f>
        <v>1.4963096818109283</v>
      </c>
      <c r="CB19" s="2">
        <f>CA19+預測IC!CB19</f>
        <v>1.5573317643729674</v>
      </c>
      <c r="CC19" s="2">
        <f>CB19+預測IC!CC19</f>
        <v>1.4802044548011055</v>
      </c>
      <c r="CD19" s="2">
        <f>CC19+預測IC!CD19</f>
        <v>1.542709260029042</v>
      </c>
      <c r="CE19" s="2">
        <f>CD19+預測IC!CE19</f>
        <v>1.623818016940267</v>
      </c>
      <c r="CF19" s="2">
        <f>CE19+預測IC!CF19</f>
        <v>1.6646351240655839</v>
      </c>
      <c r="CG19" s="2">
        <f>CF19+預測IC!CG19</f>
        <v>1.8087586920818008</v>
      </c>
      <c r="CH19" s="2">
        <f>CG19+預測IC!CH19</f>
        <v>1.7861032452083747</v>
      </c>
      <c r="CI19" s="2">
        <f>CH19+預測IC!CI19</f>
        <v>1.7576061928351823</v>
      </c>
      <c r="CJ19" s="2">
        <f>CI19+預測IC!CJ19</f>
        <v>1.7881459373531645</v>
      </c>
      <c r="CK19" s="2">
        <f>CJ19+預測IC!CK19</f>
        <v>1.8175517527179139</v>
      </c>
      <c r="CL19" s="2">
        <f>CK19+預測IC!CL19</f>
        <v>1.7032208976107708</v>
      </c>
      <c r="CM19" s="2">
        <f>CL19+預測IC!CM19</f>
        <v>1.6598172569904488</v>
      </c>
      <c r="CN19" s="2">
        <f>CM19+預測IC!CN19</f>
        <v>1.9888438074677799</v>
      </c>
      <c r="CO19" s="2">
        <f>CN19+預測IC!CO19</f>
        <v>2.1323483181948824</v>
      </c>
      <c r="CP19" s="2">
        <f>CO19+預測IC!CP19</f>
        <v>2.1245190644186098</v>
      </c>
      <c r="CQ19" s="2">
        <f>CP19+預測IC!CQ19</f>
        <v>2.2551441715096119</v>
      </c>
      <c r="CR19" s="2">
        <f>CQ19+預測IC!CR19</f>
        <v>2.2989371753529566</v>
      </c>
      <c r="CS19" s="2">
        <f>CR19+預測IC!CS19</f>
        <v>2.2766033451642467</v>
      </c>
      <c r="CT19" s="2">
        <f>CS19+預測IC!CT19</f>
        <v>2.2993647881281642</v>
      </c>
      <c r="CU19" s="2">
        <f>CT19+預測IC!CU19</f>
        <v>2.2890633875951094</v>
      </c>
      <c r="CV19" s="2">
        <f>CU19+預測IC!CV19</f>
        <v>2.3023496000818895</v>
      </c>
      <c r="CW19" s="2">
        <f>CV19+預測IC!CW19</f>
        <v>2.3891003661557959</v>
      </c>
      <c r="CX19" s="2">
        <f>CW19+預測IC!CX19</f>
        <v>2.3326419783680929</v>
      </c>
      <c r="CY19" s="2">
        <f>CX19+預測IC!CY19</f>
        <v>2.327261274522137</v>
      </c>
      <c r="CZ19" s="2">
        <f>CY19+預測IC!CZ19</f>
        <v>2.3755050612284245</v>
      </c>
      <c r="DA19" s="2">
        <f>CZ19+預測IC!DA19</f>
        <v>2.3363836518374836</v>
      </c>
      <c r="DB19" s="2">
        <f>DA19+預測IC!DB19</f>
        <v>2.3820829024120003</v>
      </c>
      <c r="DC19" s="2">
        <f>DB19+預測IC!DC19</f>
        <v>2.3915508291655261</v>
      </c>
      <c r="DD19" s="2">
        <f>DC19+預測IC!DD19</f>
        <v>2.0967468829930667</v>
      </c>
      <c r="DE19" s="2">
        <f>DD19+預測IC!DE19</f>
        <v>2.0626493628009901</v>
      </c>
      <c r="DF19" s="2">
        <f>DE19+預測IC!DF19</f>
        <v>1.8696593536769712</v>
      </c>
      <c r="DG19" s="2">
        <f>DF19+預測IC!DG19</f>
        <v>1.7988249995794097</v>
      </c>
      <c r="DH19" s="2">
        <f>DG19+預測IC!DH19</f>
        <v>1.861150820539085</v>
      </c>
      <c r="DI19" s="2">
        <f>DH19+預測IC!DI19</f>
        <v>1.8013593525877951</v>
      </c>
      <c r="DJ19" s="2">
        <f>DI19+預測IC!DJ19</f>
        <v>1.8181908309051888</v>
      </c>
      <c r="DK19" s="2">
        <f>DJ19+預測IC!DK19</f>
        <v>1.8461978476666716</v>
      </c>
      <c r="DL19" s="2">
        <f>DK19+預測IC!DL19</f>
        <v>1.8862604289449847</v>
      </c>
      <c r="DM19" s="2">
        <f>DL19+預測IC!DM19</f>
        <v>1.8292894175756229</v>
      </c>
      <c r="DN19" s="2">
        <f>DM19+預測IC!DN19</f>
        <v>1.7372451884570295</v>
      </c>
      <c r="DO19" s="2">
        <f>DN19+預測IC!DO19</f>
        <v>1.7504634415727991</v>
      </c>
      <c r="DP19" s="2">
        <f>DO19+預測IC!DP19</f>
        <v>1.7905417867365647</v>
      </c>
      <c r="DQ19" s="2">
        <f>DP19+預測IC!DQ19</f>
        <v>1.7855302026623383</v>
      </c>
      <c r="DR19" s="2">
        <f>DQ19+預測IC!DR19</f>
        <v>1.767364117537521</v>
      </c>
      <c r="DS19" s="2">
        <f>DR19+預測IC!DS19</f>
        <v>1.7136115054879282</v>
      </c>
      <c r="DT19" s="2">
        <f>DS19+預測IC!DT19</f>
        <v>1.6918074109183905</v>
      </c>
      <c r="DU19" s="2">
        <f>DT19+預測IC!DU19</f>
        <v>1.5652316780484481</v>
      </c>
      <c r="DV19" s="2">
        <f>DU19+預測IC!DV19</f>
        <v>1.7067251905529031</v>
      </c>
      <c r="DW19" s="2">
        <f>DV19+預測IC!DW19</f>
        <v>1.6489397216149853</v>
      </c>
      <c r="DX19" s="2">
        <f>DW19+預測IC!DX19</f>
        <v>1.5519406723073508</v>
      </c>
      <c r="DY19" s="2">
        <f>DX19+預測IC!DY19</f>
        <v>1.7072340560264903</v>
      </c>
      <c r="DZ19" s="2">
        <f>DY19+預測IC!DZ19</f>
        <v>1.7134388392752311</v>
      </c>
      <c r="EA19" s="2">
        <f>DZ19+預測IC!EA19</f>
        <v>1.6893897680636054</v>
      </c>
      <c r="EB19" s="2">
        <f>EA19+預測IC!EB19</f>
        <v>1.5855822830469857</v>
      </c>
      <c r="EC19" s="2">
        <f>EB19+預測IC!EC19</f>
        <v>1.6468837497155604</v>
      </c>
      <c r="ED19" s="2">
        <f>EC19+預測IC!ED19</f>
        <v>1.4733879388910645</v>
      </c>
      <c r="EE19" s="2">
        <f>ED19+預測IC!EE19</f>
        <v>1.4829356916867427</v>
      </c>
      <c r="EF19" s="2">
        <f>EE19+預測IC!EF19</f>
        <v>1.5655181975401633</v>
      </c>
      <c r="EG19" s="2">
        <f>EF19+預測IC!EG19</f>
        <v>1.5478823174183347</v>
      </c>
      <c r="EH19" s="2">
        <f>EG19+預測IC!EH19</f>
        <v>1.540628245582315</v>
      </c>
      <c r="EI19" s="2">
        <f>EH19+預測IC!EI19</f>
        <v>1.464512014087797</v>
      </c>
      <c r="EJ19" s="2">
        <f>EI19+預測IC!EJ19</f>
        <v>1.3083308592157579</v>
      </c>
      <c r="EK19" s="2">
        <f>EJ19+預測IC!EK19</f>
        <v>1.2756874933921161</v>
      </c>
      <c r="EL19" s="2">
        <f>EK19+預測IC!EL19</f>
        <v>1.2134097639266237</v>
      </c>
    </row>
    <row r="20" spans="1:142" x14ac:dyDescent="0.3">
      <c r="A20" s="19">
        <v>200</v>
      </c>
      <c r="B20" s="19">
        <f t="shared" si="10"/>
        <v>5</v>
      </c>
      <c r="C20" s="2">
        <v>-7.7247532291167223E-2</v>
      </c>
      <c r="D20" s="2">
        <f>C20+預測IC!D20</f>
        <v>0.15656102647337156</v>
      </c>
      <c r="E20" s="2">
        <f>D20+預測IC!E20</f>
        <v>5.9247919909836494E-2</v>
      </c>
      <c r="F20" s="2">
        <f>E20+預測IC!F20</f>
        <v>-5.4117139255398808E-2</v>
      </c>
      <c r="G20" s="2">
        <f>F20+預測IC!G20</f>
        <v>-0.13009159388461838</v>
      </c>
      <c r="H20" s="2">
        <f>G20+預測IC!H20</f>
        <v>-8.9782345738870686E-2</v>
      </c>
      <c r="I20" s="2">
        <f>H20+預測IC!I20</f>
        <v>6.0183187844845137E-3</v>
      </c>
      <c r="J20" s="2">
        <f>I20+預測IC!J20</f>
        <v>0.11527510827355102</v>
      </c>
      <c r="K20" s="2">
        <f>J20+預測IC!K20</f>
        <v>0.14569167883575254</v>
      </c>
      <c r="L20" s="2">
        <f>K20+預測IC!L20</f>
        <v>0.10405605626012498</v>
      </c>
      <c r="M20" s="2">
        <f>L20+預測IC!M20</f>
        <v>0.19783390063445727</v>
      </c>
      <c r="N20" s="2">
        <f>M20+預測IC!N20</f>
        <v>-4.4178709440923725E-2</v>
      </c>
      <c r="O20" s="2">
        <f>N20+預測IC!O20</f>
        <v>-8.4310663873130506E-2</v>
      </c>
      <c r="P20" s="2">
        <f>O20+預測IC!P20</f>
        <v>3.48277956956803E-2</v>
      </c>
      <c r="Q20" s="2">
        <f>P20+預測IC!Q20</f>
        <v>-8.6779812643576607E-2</v>
      </c>
      <c r="R20" s="2">
        <f>Q20+預測IC!R20</f>
        <v>5.3173702153827204E-2</v>
      </c>
      <c r="S20" s="2">
        <f>R20+預測IC!S20</f>
        <v>2.6172575367077403E-2</v>
      </c>
      <c r="T20" s="2">
        <f>S20+預測IC!T20</f>
        <v>-2.3194590122764636E-2</v>
      </c>
      <c r="U20" s="2">
        <f>T20+預測IC!U20</f>
        <v>-0.12656018348621853</v>
      </c>
      <c r="V20" s="2">
        <f>U20+預測IC!V20</f>
        <v>-0.11050761991598998</v>
      </c>
      <c r="W20" s="2">
        <f>V20+預測IC!W20</f>
        <v>5.2993363342386912E-2</v>
      </c>
      <c r="X20" s="2">
        <f>W20+預測IC!X20</f>
        <v>0.13894774795109324</v>
      </c>
      <c r="Y20" s="2">
        <f>X20+預測IC!Y20</f>
        <v>0.10544239589705273</v>
      </c>
      <c r="Z20" s="2">
        <f>Y20+預測IC!Z20</f>
        <v>0.15397765719211123</v>
      </c>
      <c r="AA20" s="2">
        <f>Z20+預測IC!AA20</f>
        <v>7.3818597558416216E-2</v>
      </c>
      <c r="AB20" s="2">
        <f>AA20+預測IC!AB20</f>
        <v>0.15673851048217963</v>
      </c>
      <c r="AC20" s="2">
        <f>AB20+預測IC!AC20</f>
        <v>0.18397604427116632</v>
      </c>
      <c r="AD20" s="2">
        <f>AC20+預測IC!AD20</f>
        <v>0.17380375739469633</v>
      </c>
      <c r="AE20" s="2">
        <f>AD20+預測IC!AE20</f>
        <v>0.20726595347127083</v>
      </c>
      <c r="AF20" s="2">
        <f>AE20+預測IC!AF20</f>
        <v>0.1899521689966942</v>
      </c>
      <c r="AG20" s="2">
        <f>AF20+預測IC!AG20</f>
        <v>0.21680355565121159</v>
      </c>
      <c r="AH20" s="2">
        <f>AG20+預測IC!AH20</f>
        <v>0.19396106807853658</v>
      </c>
      <c r="AI20" s="2">
        <f>AH20+預測IC!AI20</f>
        <v>0.21380677584177057</v>
      </c>
      <c r="AJ20" s="2">
        <f>AI20+預測IC!AJ20</f>
        <v>0.2475944312858217</v>
      </c>
      <c r="AK20" s="2">
        <f>AJ20+預測IC!AK20</f>
        <v>0.24075597252841222</v>
      </c>
      <c r="AL20" s="2">
        <f>AK20+預測IC!AL20</f>
        <v>0.21356914589058784</v>
      </c>
      <c r="AM20" s="2">
        <f>AL20+預測IC!AM20</f>
        <v>0.29171517442041461</v>
      </c>
      <c r="AN20" s="2">
        <f>AM20+預測IC!AN20</f>
        <v>0.44964899699023242</v>
      </c>
      <c r="AO20" s="2">
        <f>AN20+預測IC!AO20</f>
        <v>0.47778169272654908</v>
      </c>
      <c r="AP20" s="2">
        <f>AO20+預測IC!AP20</f>
        <v>0.54706418654394195</v>
      </c>
      <c r="AQ20" s="2">
        <f>AP20+預測IC!AQ20</f>
        <v>0.54115272162566042</v>
      </c>
      <c r="AR20" s="2">
        <f>AQ20+預測IC!AR20</f>
        <v>0.54502735208061082</v>
      </c>
      <c r="AS20" s="2">
        <f>AR20+預測IC!AS20</f>
        <v>0.69162391843560911</v>
      </c>
      <c r="AT20" s="2">
        <f>AS20+預測IC!AT20</f>
        <v>0.68056496661380905</v>
      </c>
      <c r="AU20" s="2">
        <f>AT20+預測IC!AU20</f>
        <v>0.7951434972189092</v>
      </c>
      <c r="AV20" s="2">
        <f>AU20+預測IC!AV20</f>
        <v>0.88125434883103959</v>
      </c>
      <c r="AW20" s="2">
        <f>AV20+預測IC!AW20</f>
        <v>0.94698727764258883</v>
      </c>
      <c r="AX20" s="2">
        <f>AW20+預測IC!AX20</f>
        <v>0.98574237715391921</v>
      </c>
      <c r="AY20" s="2">
        <f>AX20+預測IC!AY20</f>
        <v>1.0401474069530003</v>
      </c>
      <c r="AZ20" s="2">
        <f>AY20+預測IC!AZ20</f>
        <v>1.0721223536770772</v>
      </c>
      <c r="BA20" s="2">
        <f>AZ20+預測IC!BA20</f>
        <v>1.0472587194399192</v>
      </c>
      <c r="BB20" s="2">
        <f>BA20+預測IC!BB20</f>
        <v>1.1994906692361975</v>
      </c>
      <c r="BC20" s="2">
        <f>BB20+預測IC!BC20</f>
        <v>1.2592180843836986</v>
      </c>
      <c r="BD20" s="2">
        <f>BC20+預測IC!BD20</f>
        <v>1.2530427718520294</v>
      </c>
      <c r="BE20" s="2">
        <f>BD20+預測IC!BE20</f>
        <v>1.1576210361717429</v>
      </c>
      <c r="BF20" s="2">
        <f>BE20+預測IC!BF20</f>
        <v>1.1530672773934838</v>
      </c>
      <c r="BG20" s="2">
        <f>BF20+預測IC!BG20</f>
        <v>1.0848119729850412</v>
      </c>
      <c r="BH20" s="2">
        <f>BG20+預測IC!BH20</f>
        <v>1.0696444420332749</v>
      </c>
      <c r="BI20" s="2">
        <f>BH20+預測IC!BI20</f>
        <v>0.95877314400740121</v>
      </c>
      <c r="BJ20" s="2">
        <f>BI20+預測IC!BJ20</f>
        <v>0.97007050064141098</v>
      </c>
      <c r="BK20" s="2">
        <f>BJ20+預測IC!BK20</f>
        <v>0.90943573805329214</v>
      </c>
      <c r="BL20" s="2">
        <f>BK20+預測IC!BL20</f>
        <v>0.82938414249367087</v>
      </c>
      <c r="BM20" s="2">
        <f>BL20+預測IC!BM20</f>
        <v>0.76987514120826084</v>
      </c>
      <c r="BN20" s="2">
        <f>BM20+預測IC!BN20</f>
        <v>0.8369182772299788</v>
      </c>
      <c r="BO20" s="2">
        <f>BN20+預測IC!BO20</f>
        <v>0.85279894344677809</v>
      </c>
      <c r="BP20" s="2">
        <f>BO20+預測IC!BP20</f>
        <v>1.0156409036001388</v>
      </c>
      <c r="BQ20" s="2">
        <f>BP20+預測IC!BQ20</f>
        <v>0.96735510870814678</v>
      </c>
      <c r="BR20" s="2">
        <f>BQ20+預測IC!BR20</f>
        <v>0.98213773898921763</v>
      </c>
      <c r="BS20" s="2">
        <f>BR20+預測IC!BS20</f>
        <v>0.94169664713950529</v>
      </c>
      <c r="BT20" s="2">
        <f>BS20+預測IC!BT20</f>
        <v>0.92393275851053946</v>
      </c>
      <c r="BU20" s="2">
        <f>BT20+預測IC!BU20</f>
        <v>0.83691578919922183</v>
      </c>
      <c r="BV20" s="2">
        <f>BU20+預測IC!BV20</f>
        <v>0.88252458754341234</v>
      </c>
      <c r="BW20" s="2">
        <f>BV20+預測IC!BW20</f>
        <v>1.0457573242051197</v>
      </c>
      <c r="BX20" s="2">
        <f>BW20+預測IC!BX20</f>
        <v>1.048411474392646</v>
      </c>
      <c r="BY20" s="2">
        <f>BX20+預測IC!BY20</f>
        <v>1.209616366616207</v>
      </c>
      <c r="BZ20" s="2">
        <f>BY20+預測IC!BZ20</f>
        <v>1.2729788795658847</v>
      </c>
      <c r="CA20" s="2">
        <f>BZ20+預測IC!CA20</f>
        <v>1.2832696619702759</v>
      </c>
      <c r="CB20" s="2">
        <f>CA20+預測IC!CB20</f>
        <v>1.3321903846702541</v>
      </c>
      <c r="CC20" s="2">
        <f>CB20+預測IC!CC20</f>
        <v>1.2454216293785243</v>
      </c>
      <c r="CD20" s="2">
        <f>CC20+預測IC!CD20</f>
        <v>1.294140927493155</v>
      </c>
      <c r="CE20" s="2">
        <f>CD20+預測IC!CE20</f>
        <v>1.3818627315800978</v>
      </c>
      <c r="CF20" s="2">
        <f>CE20+預測IC!CF20</f>
        <v>1.4316843301427582</v>
      </c>
      <c r="CG20" s="2">
        <f>CF20+預測IC!CG20</f>
        <v>1.6208138581002156</v>
      </c>
      <c r="CH20" s="2">
        <f>CG20+預測IC!CH20</f>
        <v>1.5771945581702667</v>
      </c>
      <c r="CI20" s="2">
        <f>CH20+預測IC!CI20</f>
        <v>1.548853117550913</v>
      </c>
      <c r="CJ20" s="2">
        <f>CI20+預測IC!CJ20</f>
        <v>1.5838678478656112</v>
      </c>
      <c r="CK20" s="2">
        <f>CJ20+預測IC!CK20</f>
        <v>1.622328212291817</v>
      </c>
      <c r="CL20" s="2">
        <f>CK20+預測IC!CL20</f>
        <v>1.4495739058375325</v>
      </c>
      <c r="CM20" s="2">
        <f>CL20+預測IC!CM20</f>
        <v>1.3939625086515768</v>
      </c>
      <c r="CN20" s="2">
        <f>CM20+預測IC!CN20</f>
        <v>1.6204293084870718</v>
      </c>
      <c r="CO20" s="2">
        <f>CN20+預測IC!CO20</f>
        <v>1.7943814573533459</v>
      </c>
      <c r="CP20" s="2">
        <f>CO20+預測IC!CP20</f>
        <v>1.788600467605937</v>
      </c>
      <c r="CQ20" s="2">
        <f>CP20+預測IC!CQ20</f>
        <v>1.9269459891418612</v>
      </c>
      <c r="CR20" s="2">
        <f>CQ20+預測IC!CR20</f>
        <v>1.9679957663117771</v>
      </c>
      <c r="CS20" s="2">
        <f>CR20+預測IC!CS20</f>
        <v>1.9445826871264003</v>
      </c>
      <c r="CT20" s="2">
        <f>CS20+預測IC!CT20</f>
        <v>1.924298234974992</v>
      </c>
      <c r="CU20" s="2">
        <f>CT20+預測IC!CU20</f>
        <v>1.9292382747449601</v>
      </c>
      <c r="CV20" s="2">
        <f>CU20+預測IC!CV20</f>
        <v>1.9519399661078687</v>
      </c>
      <c r="CW20" s="2">
        <f>CV20+預測IC!CW20</f>
        <v>2.0403982181990572</v>
      </c>
      <c r="CX20" s="2">
        <f>CW20+預測IC!CX20</f>
        <v>1.9344346130387453</v>
      </c>
      <c r="CY20" s="2">
        <f>CX20+預測IC!CY20</f>
        <v>1.9265508083190754</v>
      </c>
      <c r="CZ20" s="2">
        <f>CY20+預測IC!CZ20</f>
        <v>1.9740542470171094</v>
      </c>
      <c r="DA20" s="2">
        <f>CZ20+預測IC!DA20</f>
        <v>1.9308548765025639</v>
      </c>
      <c r="DB20" s="2">
        <f>DA20+預測IC!DB20</f>
        <v>1.9763476906150375</v>
      </c>
      <c r="DC20" s="2">
        <f>DB20+預測IC!DC20</f>
        <v>2.0125650874948762</v>
      </c>
      <c r="DD20" s="2">
        <f>DC20+預測IC!DD20</f>
        <v>1.6552523518313726</v>
      </c>
      <c r="DE20" s="2">
        <f>DD20+預測IC!DE20</f>
        <v>1.6052647589135374</v>
      </c>
      <c r="DF20" s="2">
        <f>DE20+預測IC!DF20</f>
        <v>1.368780858406595</v>
      </c>
      <c r="DG20" s="2">
        <f>DF20+預測IC!DG20</f>
        <v>1.308589179402327</v>
      </c>
      <c r="DH20" s="2">
        <f>DG20+預測IC!DH20</f>
        <v>1.3561615689296573</v>
      </c>
      <c r="DI20" s="2">
        <f>DH20+預測IC!DI20</f>
        <v>1.2843367719046486</v>
      </c>
      <c r="DJ20" s="2">
        <f>DI20+預測IC!DJ20</f>
        <v>1.3130945927919933</v>
      </c>
      <c r="DK20" s="2">
        <f>DJ20+預測IC!DK20</f>
        <v>1.3451219770043499</v>
      </c>
      <c r="DL20" s="2">
        <f>DK20+預測IC!DL20</f>
        <v>1.3771885330036182</v>
      </c>
      <c r="DM20" s="2">
        <f>DL20+預測IC!DM20</f>
        <v>1.4339448061567874</v>
      </c>
      <c r="DN20" s="2">
        <f>DM20+預測IC!DN20</f>
        <v>1.3783278396790861</v>
      </c>
      <c r="DO20" s="2">
        <f>DN20+預測IC!DO20</f>
        <v>1.3924789155463873</v>
      </c>
      <c r="DP20" s="2">
        <f>DO20+預測IC!DP20</f>
        <v>1.4417308023688078</v>
      </c>
      <c r="DQ20" s="2">
        <f>DP20+預測IC!DQ20</f>
        <v>1.4359369949005567</v>
      </c>
      <c r="DR20" s="2">
        <f>DQ20+預測IC!DR20</f>
        <v>1.4922173994361299</v>
      </c>
      <c r="DS20" s="2">
        <f>DR20+預測IC!DS20</f>
        <v>1.4247990099470957</v>
      </c>
      <c r="DT20" s="2">
        <f>DS20+預測IC!DT20</f>
        <v>1.403085682936259</v>
      </c>
      <c r="DU20" s="2">
        <f>DT20+預測IC!DU20</f>
        <v>1.2592312342203056</v>
      </c>
      <c r="DV20" s="2">
        <f>DU20+預測IC!DV20</f>
        <v>1.4164676012548254</v>
      </c>
      <c r="DW20" s="2">
        <f>DV20+預測IC!DW20</f>
        <v>1.320243575059123</v>
      </c>
      <c r="DX20" s="2">
        <f>DW20+預測IC!DX20</f>
        <v>1.2113232695974259</v>
      </c>
      <c r="DY20" s="2">
        <f>DX20+預測IC!DY20</f>
        <v>1.326102566507241</v>
      </c>
      <c r="DZ20" s="2">
        <f>DY20+預測IC!DZ20</f>
        <v>1.3402611581711026</v>
      </c>
      <c r="EA20" s="2">
        <f>DZ20+預測IC!EA20</f>
        <v>1.2994658259439487</v>
      </c>
      <c r="EB20" s="2">
        <f>EA20+預測IC!EB20</f>
        <v>1.1750254285375246</v>
      </c>
      <c r="EC20" s="2">
        <f>EB20+預測IC!EC20</f>
        <v>1.268180906830092</v>
      </c>
      <c r="ED20" s="2">
        <f>EC20+預測IC!ED20</f>
        <v>1.1106358135148853</v>
      </c>
      <c r="EE20" s="2">
        <f>ED20+預測IC!EE20</f>
        <v>1.1148048180857517</v>
      </c>
      <c r="EF20" s="2">
        <f>EE20+預測IC!EF20</f>
        <v>1.2149251169952728</v>
      </c>
      <c r="EG20" s="2">
        <f>EF20+預測IC!EG20</f>
        <v>1.1615542261862326</v>
      </c>
      <c r="EH20" s="2">
        <f>EG20+預測IC!EH20</f>
        <v>1.1463359454755586</v>
      </c>
      <c r="EI20" s="2">
        <f>EH20+預測IC!EI20</f>
        <v>1.1002974474855198</v>
      </c>
      <c r="EJ20" s="2">
        <f>EI20+預測IC!EJ20</f>
        <v>0.95775523808170859</v>
      </c>
      <c r="EK20" s="2">
        <f>EJ20+預測IC!EK20</f>
        <v>0.9386590361548629</v>
      </c>
      <c r="EL20" s="2">
        <f>EK20+預測IC!EL20</f>
        <v>0.87296418136082909</v>
      </c>
    </row>
    <row r="21" spans="1:142" x14ac:dyDescent="0.3">
      <c r="A21" s="19">
        <v>256</v>
      </c>
      <c r="B21" s="19">
        <f t="shared" si="10"/>
        <v>4</v>
      </c>
      <c r="C21" s="2">
        <v>1.190207271587417E-2</v>
      </c>
      <c r="D21" s="2">
        <f>C21+預測IC!D21</f>
        <v>0.26838146203108537</v>
      </c>
      <c r="E21" s="2">
        <f>D21+預測IC!E21</f>
        <v>0.2005016640970641</v>
      </c>
      <c r="F21" s="2">
        <f>E21+預測IC!F21</f>
        <v>4.5150624731155414E-2</v>
      </c>
      <c r="G21" s="2">
        <f>F21+預測IC!G21</f>
        <v>-4.409988250930981E-2</v>
      </c>
      <c r="H21" s="2">
        <f>G21+預測IC!H21</f>
        <v>-8.3745108747266039E-2</v>
      </c>
      <c r="I21" s="2">
        <f>H21+預測IC!I21</f>
        <v>3.6130690667340759E-2</v>
      </c>
      <c r="J21" s="2">
        <f>I21+預測IC!J21</f>
        <v>0.11086938330462068</v>
      </c>
      <c r="K21" s="2">
        <f>J21+預測IC!K21</f>
        <v>0.20022760039548904</v>
      </c>
      <c r="L21" s="2">
        <f>K21+預測IC!L21</f>
        <v>0.15775056624111228</v>
      </c>
      <c r="M21" s="2">
        <f>L21+預測IC!M21</f>
        <v>0.30234013511226376</v>
      </c>
      <c r="N21" s="2">
        <f>M21+預測IC!N21</f>
        <v>-3.7775567867359028E-2</v>
      </c>
      <c r="O21" s="2">
        <f>N21+預測IC!O21</f>
        <v>-3.6140241097343401E-2</v>
      </c>
      <c r="P21" s="2">
        <f>O21+預測IC!P21</f>
        <v>6.3433937971761653E-2</v>
      </c>
      <c r="Q21" s="2">
        <f>P21+預測IC!Q21</f>
        <v>-0.10064424576436255</v>
      </c>
      <c r="R21" s="2">
        <f>Q21+預測IC!R21</f>
        <v>7.1477195063870944E-2</v>
      </c>
      <c r="S21" s="2">
        <f>R21+預測IC!S21</f>
        <v>5.0437311710823746E-2</v>
      </c>
      <c r="T21" s="2">
        <f>S21+預測IC!T21</f>
        <v>4.5274022271838105E-2</v>
      </c>
      <c r="U21" s="2">
        <f>T21+預測IC!U21</f>
        <v>-8.5414586994134983E-2</v>
      </c>
      <c r="V21" s="2">
        <f>U21+預測IC!V21</f>
        <v>-4.1182438027476495E-2</v>
      </c>
      <c r="W21" s="2">
        <f>V21+預測IC!W21</f>
        <v>0.14452979093449253</v>
      </c>
      <c r="X21" s="2">
        <f>W21+預測IC!X21</f>
        <v>0.25207489587980214</v>
      </c>
      <c r="Y21" s="2">
        <f>X21+預測IC!Y21</f>
        <v>0.22187671435852618</v>
      </c>
      <c r="Z21" s="2">
        <f>Y21+預測IC!Z21</f>
        <v>0.29792102279117216</v>
      </c>
      <c r="AA21" s="2">
        <f>Z21+預測IC!AA21</f>
        <v>0.22804503268155851</v>
      </c>
      <c r="AB21" s="2">
        <f>AA21+預測IC!AB21</f>
        <v>0.32369222207133796</v>
      </c>
      <c r="AC21" s="2">
        <f>AB21+預測IC!AC21</f>
        <v>0.35928049173407905</v>
      </c>
      <c r="AD21" s="2">
        <f>AC21+預測IC!AD21</f>
        <v>0.35634483391879712</v>
      </c>
      <c r="AE21" s="2">
        <f>AD21+預測IC!AE21</f>
        <v>0.37671325572374192</v>
      </c>
      <c r="AF21" s="2">
        <f>AE21+預測IC!AF21</f>
        <v>0.34773202649912333</v>
      </c>
      <c r="AG21" s="2">
        <f>AF21+預測IC!AG21</f>
        <v>0.38868936454026626</v>
      </c>
      <c r="AH21" s="2">
        <f>AG21+預測IC!AH21</f>
        <v>0.3712438413970594</v>
      </c>
      <c r="AI21" s="2">
        <f>AH21+預測IC!AI21</f>
        <v>0.35043181933401651</v>
      </c>
      <c r="AJ21" s="2">
        <f>AI21+預測IC!AJ21</f>
        <v>0.32911485282523262</v>
      </c>
      <c r="AK21" s="2">
        <f>AJ21+預測IC!AK21</f>
        <v>0.34084838992870142</v>
      </c>
      <c r="AL21" s="2">
        <f>AK21+預測IC!AL21</f>
        <v>0.26710398541960501</v>
      </c>
      <c r="AM21" s="2">
        <f>AL21+預測IC!AM21</f>
        <v>0.35144779775150181</v>
      </c>
      <c r="AN21" s="2">
        <f>AM21+預測IC!AN21</f>
        <v>0.52673641804913929</v>
      </c>
      <c r="AO21" s="2">
        <f>AN21+預測IC!AO21</f>
        <v>0.56831253409088212</v>
      </c>
      <c r="AP21" s="2">
        <f>AO21+預測IC!AP21</f>
        <v>0.67012005332437063</v>
      </c>
      <c r="AQ21" s="2">
        <f>AP21+預測IC!AQ21</f>
        <v>0.66626528290042242</v>
      </c>
      <c r="AR21" s="2">
        <f>AQ21+預測IC!AR21</f>
        <v>0.67457307099994135</v>
      </c>
      <c r="AS21" s="2">
        <f>AR21+預測IC!AS21</f>
        <v>0.88029978218357519</v>
      </c>
      <c r="AT21" s="2">
        <f>AS21+預測IC!AT21</f>
        <v>0.87297438483454248</v>
      </c>
      <c r="AU21" s="2">
        <f>AT21+預測IC!AU21</f>
        <v>1.0453692826406766</v>
      </c>
      <c r="AV21" s="2">
        <f>AU21+預測IC!AV21</f>
        <v>1.1263078153287753</v>
      </c>
      <c r="AW21" s="2">
        <f>AV21+預測IC!AW21</f>
        <v>1.2369571211857913</v>
      </c>
      <c r="AX21" s="2">
        <f>AW21+預測IC!AX21</f>
        <v>1.2901329980463339</v>
      </c>
      <c r="AY21" s="2">
        <f>AX21+預測IC!AY21</f>
        <v>1.3268783792015102</v>
      </c>
      <c r="AZ21" s="2">
        <f>AY21+預測IC!AZ21</f>
        <v>1.3536184306613817</v>
      </c>
      <c r="BA21" s="2">
        <f>AZ21+預測IC!BA21</f>
        <v>1.3341314778256679</v>
      </c>
      <c r="BB21" s="2">
        <f>BA21+預測IC!BB21</f>
        <v>1.4912326303960808</v>
      </c>
      <c r="BC21" s="2">
        <f>BB21+預測IC!BC21</f>
        <v>1.5608091964222657</v>
      </c>
      <c r="BD21" s="2">
        <f>BC21+預測IC!BD21</f>
        <v>1.5435456559036504</v>
      </c>
      <c r="BE21" s="2">
        <f>BD21+預測IC!BE21</f>
        <v>1.4325781206952297</v>
      </c>
      <c r="BF21" s="2">
        <f>BE21+預測IC!BF21</f>
        <v>1.4237609749831608</v>
      </c>
      <c r="BG21" s="2">
        <f>BF21+預測IC!BG21</f>
        <v>1.3462719814329316</v>
      </c>
      <c r="BH21" s="2">
        <f>BG21+預測IC!BH21</f>
        <v>1.2306571007770319</v>
      </c>
      <c r="BI21" s="2">
        <f>BH21+預測IC!BI21</f>
        <v>1.1561743303706413</v>
      </c>
      <c r="BJ21" s="2">
        <f>BI21+預測IC!BJ21</f>
        <v>1.1569464747848901</v>
      </c>
      <c r="BK21" s="2">
        <f>BJ21+預測IC!BK21</f>
        <v>1.0941207992556861</v>
      </c>
      <c r="BL21" s="2">
        <f>BK21+預測IC!BL21</f>
        <v>1.0163657209592594</v>
      </c>
      <c r="BM21" s="2">
        <f>BL21+預測IC!BM21</f>
        <v>0.92310849324743482</v>
      </c>
      <c r="BN21" s="2">
        <f>BM21+預測IC!BN21</f>
        <v>0.93878557433736354</v>
      </c>
      <c r="BO21" s="2">
        <f>BN21+預測IC!BO21</f>
        <v>0.91297908299620334</v>
      </c>
      <c r="BP21" s="2">
        <f>BO21+預測IC!BP21</f>
        <v>0.97264333160011562</v>
      </c>
      <c r="BQ21" s="2">
        <f>BP21+預測IC!BQ21</f>
        <v>0.9532185476780799</v>
      </c>
      <c r="BR21" s="2">
        <f>BQ21+預測IC!BR21</f>
        <v>0.96248418882209519</v>
      </c>
      <c r="BS21" s="2">
        <f>BR21+預測IC!BS21</f>
        <v>0.89535825238687139</v>
      </c>
      <c r="BT21" s="2">
        <f>BS21+預測IC!BT21</f>
        <v>0.83677867437006481</v>
      </c>
      <c r="BU21" s="2">
        <f>BT21+預測IC!BU21</f>
        <v>0.74647839707542052</v>
      </c>
      <c r="BV21" s="2">
        <f>BU21+預測IC!BV21</f>
        <v>0.78307238278029734</v>
      </c>
      <c r="BW21" s="2">
        <f>BV21+預測IC!BW21</f>
        <v>1.0004406918709734</v>
      </c>
      <c r="BX21" s="2">
        <f>BW21+預測IC!BX21</f>
        <v>0.99163330912769299</v>
      </c>
      <c r="BY21" s="2">
        <f>BX21+預測IC!BY21</f>
        <v>1.2300459399074768</v>
      </c>
      <c r="BZ21" s="2">
        <f>BY21+預測IC!BZ21</f>
        <v>1.1387540844844517</v>
      </c>
      <c r="CA21" s="2">
        <f>BZ21+預測IC!CA21</f>
        <v>1.1714287049780452</v>
      </c>
      <c r="CB21" s="2">
        <f>CA21+預測IC!CB21</f>
        <v>1.2261962828517268</v>
      </c>
      <c r="CC21" s="2">
        <f>CB21+預測IC!CC21</f>
        <v>1.0835134094742802</v>
      </c>
      <c r="CD21" s="2">
        <f>CC21+預測IC!CD21</f>
        <v>1.1415474007813911</v>
      </c>
      <c r="CE21" s="2">
        <f>CD21+預測IC!CE21</f>
        <v>1.2086627976491096</v>
      </c>
      <c r="CF21" s="2">
        <f>CE21+預測IC!CF21</f>
        <v>1.2487626398547798</v>
      </c>
      <c r="CG21" s="2">
        <f>CF21+預測IC!CG21</f>
        <v>1.4630821841748471</v>
      </c>
      <c r="CH21" s="2">
        <f>CG21+預測IC!CH21</f>
        <v>1.3772058220395467</v>
      </c>
      <c r="CI21" s="2">
        <f>CH21+預測IC!CI21</f>
        <v>1.3063500516748425</v>
      </c>
      <c r="CJ21" s="2">
        <f>CI21+預測IC!CJ21</f>
        <v>1.3362661765647132</v>
      </c>
      <c r="CK21" s="2">
        <f>CJ21+預測IC!CK21</f>
        <v>1.3820517559978829</v>
      </c>
      <c r="CL21" s="2">
        <f>CK21+預測IC!CL21</f>
        <v>1.193864898914897</v>
      </c>
      <c r="CM21" s="2">
        <f>CL21+預測IC!CM21</f>
        <v>1.1227981714725566</v>
      </c>
      <c r="CN21" s="2">
        <f>CM21+預測IC!CN21</f>
        <v>1.3981621520570813</v>
      </c>
      <c r="CO21" s="2">
        <f>CN21+預測IC!CO21</f>
        <v>1.4739265121995766</v>
      </c>
      <c r="CP21" s="2">
        <f>CO21+預測IC!CP21</f>
        <v>1.4936539011701637</v>
      </c>
      <c r="CQ21" s="2">
        <f>CP21+預測IC!CQ21</f>
        <v>1.6470211566200601</v>
      </c>
      <c r="CR21" s="2">
        <f>CQ21+預測IC!CR21</f>
        <v>1.6950795360544375</v>
      </c>
      <c r="CS21" s="2">
        <f>CR21+預測IC!CS21</f>
        <v>1.6696733624772016</v>
      </c>
      <c r="CT21" s="2">
        <f>CS21+預測IC!CT21</f>
        <v>1.6428228526309101</v>
      </c>
      <c r="CU21" s="2">
        <f>CT21+預測IC!CU21</f>
        <v>1.6547454070699121</v>
      </c>
      <c r="CV21" s="2">
        <f>CU21+預測IC!CV21</f>
        <v>1.6559893444371427</v>
      </c>
      <c r="CW21" s="2">
        <f>CV21+預測IC!CW21</f>
        <v>1.7643396555358366</v>
      </c>
      <c r="CX21" s="2">
        <f>CW21+預測IC!CX21</f>
        <v>1.7338762043262568</v>
      </c>
      <c r="CY21" s="2">
        <f>CX21+預測IC!CY21</f>
        <v>1.7217726183126463</v>
      </c>
      <c r="CZ21" s="2">
        <f>CY21+預測IC!CZ21</f>
        <v>1.7275909573100925</v>
      </c>
      <c r="DA21" s="2">
        <f>CZ21+預測IC!DA21</f>
        <v>1.7048051358389131</v>
      </c>
      <c r="DB21" s="2">
        <f>DA21+預測IC!DB21</f>
        <v>1.7572663165016773</v>
      </c>
      <c r="DC21" s="2">
        <f>DB21+預測IC!DC21</f>
        <v>1.8160836061976868</v>
      </c>
      <c r="DD21" s="2">
        <f>DC21+預測IC!DD21</f>
        <v>1.3288662815897672</v>
      </c>
      <c r="DE21" s="2">
        <f>DD21+預測IC!DE21</f>
        <v>1.2554115053560209</v>
      </c>
      <c r="DF21" s="2">
        <f>DE21+預測IC!DF21</f>
        <v>0.99956137168856762</v>
      </c>
      <c r="DG21" s="2">
        <f>DF21+預測IC!DG21</f>
        <v>0.92229707124332938</v>
      </c>
      <c r="DH21" s="2">
        <f>DG21+預測IC!DH21</f>
        <v>0.97935607965889493</v>
      </c>
      <c r="DI21" s="2">
        <f>DH21+預測IC!DI21</f>
        <v>0.88928113860538094</v>
      </c>
      <c r="DJ21" s="2">
        <f>DI21+預測IC!DJ21</f>
        <v>0.93251979875499291</v>
      </c>
      <c r="DK21" s="2">
        <f>DJ21+預測IC!DK21</f>
        <v>0.91720166467679964</v>
      </c>
      <c r="DL21" s="2">
        <f>DK21+預測IC!DL21</f>
        <v>0.94999456168848517</v>
      </c>
      <c r="DM21" s="2">
        <f>DL21+預測IC!DM21</f>
        <v>0.94029412201481011</v>
      </c>
      <c r="DN21" s="2">
        <f>DM21+預測IC!DN21</f>
        <v>0.85314089323725595</v>
      </c>
      <c r="DO21" s="2">
        <f>DN21+預測IC!DO21</f>
        <v>0.91539407710096243</v>
      </c>
      <c r="DP21" s="2">
        <f>DO21+預測IC!DP21</f>
        <v>0.96421660048061664</v>
      </c>
      <c r="DQ21" s="2">
        <f>DP21+預測IC!DQ21</f>
        <v>0.9480711831744979</v>
      </c>
      <c r="DR21" s="2">
        <f>DQ21+預測IC!DR21</f>
        <v>1.0346185792855744</v>
      </c>
      <c r="DS21" s="2">
        <f>DR21+預測IC!DS21</f>
        <v>0.95498773189871289</v>
      </c>
      <c r="DT21" s="2">
        <f>DS21+預測IC!DT21</f>
        <v>0.94488773011173144</v>
      </c>
      <c r="DU21" s="2">
        <f>DT21+預測IC!DU21</f>
        <v>0.7858151590656981</v>
      </c>
      <c r="DV21" s="2">
        <f>DU21+預測IC!DV21</f>
        <v>0.96331829899449939</v>
      </c>
      <c r="DW21" s="2">
        <f>DV21+預測IC!DW21</f>
        <v>0.85841381618931978</v>
      </c>
      <c r="DX21" s="2">
        <f>DW21+預測IC!DX21</f>
        <v>0.73623967866175133</v>
      </c>
      <c r="DY21" s="2">
        <f>DX21+預測IC!DY21</f>
        <v>0.91161889281118857</v>
      </c>
      <c r="DZ21" s="2">
        <f>DY21+預測IC!DZ21</f>
        <v>0.91954473883816945</v>
      </c>
      <c r="EA21" s="2">
        <f>DZ21+預測IC!EA21</f>
        <v>0.8704745137880685</v>
      </c>
      <c r="EB21" s="2">
        <f>EA21+預測IC!EB21</f>
        <v>0.73479871624341486</v>
      </c>
      <c r="EC21" s="2">
        <f>EB21+預測IC!EC21</f>
        <v>0.81176318198175235</v>
      </c>
      <c r="ED21" s="2">
        <f>EC21+預測IC!ED21</f>
        <v>0.64325298265376918</v>
      </c>
      <c r="EE21" s="2">
        <f>ED21+預測IC!EE21</f>
        <v>0.64520898404161098</v>
      </c>
      <c r="EF21" s="2">
        <f>EE21+預測IC!EF21</f>
        <v>0.75021518511705965</v>
      </c>
      <c r="EG21" s="2">
        <f>EF21+預測IC!EG21</f>
        <v>0.73254578013970917</v>
      </c>
      <c r="EH21" s="2">
        <f>EG21+預測IC!EH21</f>
        <v>0.71257071785217718</v>
      </c>
      <c r="EI21" s="2">
        <f>EH21+預測IC!EI21</f>
        <v>0.64803357604798117</v>
      </c>
      <c r="EJ21" s="2">
        <f>EI21+預測IC!EJ21</f>
        <v>0.51619244303987633</v>
      </c>
      <c r="EK21" s="2">
        <f>EJ21+預測IC!EK21</f>
        <v>0.44838738038153975</v>
      </c>
      <c r="EL21" s="2">
        <f>EK21+預測IC!EL21</f>
        <v>0.36893329295670463</v>
      </c>
    </row>
    <row r="22" spans="1:142" x14ac:dyDescent="0.3">
      <c r="A22" s="19">
        <v>400</v>
      </c>
      <c r="B22" s="19">
        <f t="shared" si="10"/>
        <v>3</v>
      </c>
      <c r="C22" s="2">
        <v>1.083089340061978E-2</v>
      </c>
      <c r="D22" s="2">
        <f>C22+預測IC!D22</f>
        <v>0.17447035905421257</v>
      </c>
      <c r="E22" s="2">
        <f>D22+預測IC!E22</f>
        <v>8.7230269317993436E-2</v>
      </c>
      <c r="F22" s="2">
        <f>E22+預測IC!F22</f>
        <v>-0.10984770715164185</v>
      </c>
      <c r="G22" s="2">
        <f>F22+預測IC!G22</f>
        <v>-0.13316144943977665</v>
      </c>
      <c r="H22" s="2">
        <f>G22+預測IC!H22</f>
        <v>-0.13241023242474725</v>
      </c>
      <c r="I22" s="2">
        <f>H22+預測IC!I22</f>
        <v>-1.6583220171462465E-3</v>
      </c>
      <c r="J22" s="2">
        <f>I22+預測IC!J22</f>
        <v>0.16196743529699045</v>
      </c>
      <c r="K22" s="2">
        <f>J22+預測IC!K22</f>
        <v>0.1976802112914281</v>
      </c>
      <c r="L22" s="2">
        <f>K22+預測IC!L22</f>
        <v>0.14424636299200833</v>
      </c>
      <c r="M22" s="2">
        <f>L22+預測IC!M22</f>
        <v>0.43146089987694414</v>
      </c>
      <c r="N22" s="2">
        <f>M22+預測IC!N22</f>
        <v>0.54242463398445429</v>
      </c>
      <c r="O22" s="2">
        <f>N22+預測IC!O22</f>
        <v>0.56678336454170408</v>
      </c>
      <c r="P22" s="2">
        <f>O22+預測IC!P22</f>
        <v>0.6880634134588598</v>
      </c>
      <c r="Q22" s="2">
        <f>P22+預測IC!Q22</f>
        <v>0.43779927794497592</v>
      </c>
      <c r="R22" s="2">
        <f>Q22+預測IC!R22</f>
        <v>0.43621682472882028</v>
      </c>
      <c r="S22" s="2">
        <f>R22+預測IC!S22</f>
        <v>0.43742150718356465</v>
      </c>
      <c r="T22" s="2">
        <f>S22+預測IC!T22</f>
        <v>0.45610505673425777</v>
      </c>
      <c r="U22" s="2">
        <f>T22+預測IC!U22</f>
        <v>0.33767293069878906</v>
      </c>
      <c r="V22" s="2">
        <f>U22+預測IC!V22</f>
        <v>0.40048004772161483</v>
      </c>
      <c r="W22" s="2">
        <f>V22+預測IC!W22</f>
        <v>0.61091714254797358</v>
      </c>
      <c r="X22" s="2">
        <f>W22+預測IC!X22</f>
        <v>0.70707775345740587</v>
      </c>
      <c r="Y22" s="2">
        <f>X22+預測IC!Y22</f>
        <v>0.62864572519384809</v>
      </c>
      <c r="Z22" s="2">
        <f>Y22+預測IC!Z22</f>
        <v>0.70766021402882506</v>
      </c>
      <c r="AA22" s="2">
        <f>Z22+預測IC!AA22</f>
        <v>0.61355264124593689</v>
      </c>
      <c r="AB22" s="2">
        <f>AA22+預測IC!AB22</f>
        <v>0.67608552717792325</v>
      </c>
      <c r="AC22" s="2">
        <f>AB22+預測IC!AC22</f>
        <v>0.7204645801652888</v>
      </c>
      <c r="AD22" s="2">
        <f>AC22+預測IC!AD22</f>
        <v>0.73092075766434739</v>
      </c>
      <c r="AE22" s="2">
        <f>AD22+預測IC!AE22</f>
        <v>0.70143136969222264</v>
      </c>
      <c r="AF22" s="2">
        <f>AE22+預測IC!AF22</f>
        <v>0.6874385389017682</v>
      </c>
      <c r="AG22" s="2">
        <f>AF22+預測IC!AG22</f>
        <v>0.68486235562139031</v>
      </c>
      <c r="AH22" s="2">
        <f>AG22+預測IC!AH22</f>
        <v>0.64831459787594459</v>
      </c>
      <c r="AI22" s="2">
        <f>AH22+預測IC!AI22</f>
        <v>0.60469644117618282</v>
      </c>
      <c r="AJ22" s="2">
        <f>AI22+預測IC!AJ22</f>
        <v>0.57525112029396475</v>
      </c>
      <c r="AK22" s="2">
        <f>AJ22+預測IC!AK22</f>
        <v>0.55020491814964068</v>
      </c>
      <c r="AL22" s="2">
        <f>AK22+預測IC!AL22</f>
        <v>0.45622745425124211</v>
      </c>
      <c r="AM22" s="2">
        <f>AL22+預測IC!AM22</f>
        <v>0.56819908224350035</v>
      </c>
      <c r="AN22" s="2">
        <f>AM22+預測IC!AN22</f>
        <v>0.77332300215977179</v>
      </c>
      <c r="AO22" s="2">
        <f>AN22+預測IC!AO22</f>
        <v>0.83429811729410897</v>
      </c>
      <c r="AP22" s="2">
        <f>AO22+預測IC!AP22</f>
        <v>0.95118839616690876</v>
      </c>
      <c r="AQ22" s="2">
        <f>AP22+預測IC!AQ22</f>
        <v>0.9240746183894113</v>
      </c>
      <c r="AR22" s="2">
        <f>AQ22+預測IC!AR22</f>
        <v>0.95340918211394921</v>
      </c>
      <c r="AS22" s="2">
        <f>AR22+預測IC!AS22</f>
        <v>1.1349925670856362</v>
      </c>
      <c r="AT22" s="2">
        <f>AS22+預測IC!AT22</f>
        <v>1.1198315096698452</v>
      </c>
      <c r="AU22" s="2">
        <f>AT22+預測IC!AU22</f>
        <v>1.2097910335150375</v>
      </c>
      <c r="AV22" s="2">
        <f>AU22+預測IC!AV22</f>
        <v>1.2361315433028472</v>
      </c>
      <c r="AW22" s="2">
        <f>AV22+預測IC!AW22</f>
        <v>1.3818802385126163</v>
      </c>
      <c r="AX22" s="2">
        <f>AW22+預測IC!AX22</f>
        <v>1.4489826960830499</v>
      </c>
      <c r="AY22" s="2">
        <f>AX22+預測IC!AY22</f>
        <v>1.433075349246548</v>
      </c>
      <c r="AZ22" s="2">
        <f>AY22+預測IC!AZ22</f>
        <v>1.4664710560464687</v>
      </c>
      <c r="BA22" s="2">
        <f>AZ22+預測IC!BA22</f>
        <v>1.4336675364397562</v>
      </c>
      <c r="BB22" s="2">
        <f>BA22+預測IC!BB22</f>
        <v>1.6124612318000171</v>
      </c>
      <c r="BC22" s="2">
        <f>BB22+預測IC!BC22</f>
        <v>1.5757895881840014</v>
      </c>
      <c r="BD22" s="2">
        <f>BC22+預測IC!BD22</f>
        <v>1.5555176258246546</v>
      </c>
      <c r="BE22" s="2">
        <f>BD22+預測IC!BE22</f>
        <v>1.3961834156568078</v>
      </c>
      <c r="BF22" s="2">
        <f>BE22+預測IC!BF22</f>
        <v>1.3592098487464077</v>
      </c>
      <c r="BG22" s="2">
        <f>BF22+預測IC!BG22</f>
        <v>1.286015299333797</v>
      </c>
      <c r="BH22" s="2">
        <f>BG22+預測IC!BH22</f>
        <v>1.1972793935045827</v>
      </c>
      <c r="BI22" s="2">
        <f>BH22+預測IC!BI22</f>
        <v>1.1307455728720912</v>
      </c>
      <c r="BJ22" s="2">
        <f>BI22+預測IC!BJ22</f>
        <v>1.1449869614597046</v>
      </c>
      <c r="BK22" s="2">
        <f>BJ22+預測IC!BK22</f>
        <v>1.1106462653264804</v>
      </c>
      <c r="BL22" s="2">
        <f>BK22+預測IC!BL22</f>
        <v>1.0244346808860039</v>
      </c>
      <c r="BM22" s="2">
        <f>BL22+預測IC!BM22</f>
        <v>0.83441512900562675</v>
      </c>
      <c r="BN22" s="2">
        <f>BM22+預測IC!BN22</f>
        <v>0.84822137085908345</v>
      </c>
      <c r="BO22" s="2">
        <f>BN22+預測IC!BO22</f>
        <v>0.80797695561779725</v>
      </c>
      <c r="BP22" s="2">
        <f>BO22+預測IC!BP22</f>
        <v>0.87761440352624198</v>
      </c>
      <c r="BQ22" s="2">
        <f>BP22+預測IC!BQ22</f>
        <v>0.86242764894579238</v>
      </c>
      <c r="BR22" s="2">
        <f>BQ22+預測IC!BR22</f>
        <v>0.89990065634096905</v>
      </c>
      <c r="BS22" s="2">
        <f>BR22+預測IC!BS22</f>
        <v>0.79810399909865759</v>
      </c>
      <c r="BT22" s="2">
        <f>BS22+預測IC!BT22</f>
        <v>0.73653281098551482</v>
      </c>
      <c r="BU22" s="2">
        <f>BT22+預測IC!BU22</f>
        <v>0.66036670463130265</v>
      </c>
      <c r="BV22" s="2">
        <f>BU22+預測IC!BV22</f>
        <v>0.69589990425100279</v>
      </c>
      <c r="BW22" s="2">
        <f>BV22+預測IC!BW22</f>
        <v>0.91064412904726633</v>
      </c>
      <c r="BX22" s="2">
        <f>BW22+預測IC!BX22</f>
        <v>0.92311790977177088</v>
      </c>
      <c r="BY22" s="2">
        <f>BX22+預測IC!BY22</f>
        <v>1.1817530081336112</v>
      </c>
      <c r="BZ22" s="2">
        <f>BY22+預測IC!BZ22</f>
        <v>0.96434896579100138</v>
      </c>
      <c r="CA22" s="2">
        <f>BZ22+預測IC!CA22</f>
        <v>1.0610507710211545</v>
      </c>
      <c r="CB22" s="2">
        <f>CA22+預測IC!CB22</f>
        <v>1.0601865142364131</v>
      </c>
      <c r="CC22" s="2">
        <f>CB22+預測IC!CC22</f>
        <v>0.87931644355307137</v>
      </c>
      <c r="CD22" s="2">
        <f>CC22+預測IC!CD22</f>
        <v>0.90418701306264815</v>
      </c>
      <c r="CE22" s="2">
        <f>CD22+預測IC!CE22</f>
        <v>0.94248959284047062</v>
      </c>
      <c r="CF22" s="2">
        <f>CE22+預測IC!CF22</f>
        <v>0.96829547835199814</v>
      </c>
      <c r="CG22" s="2">
        <f>CF22+預測IC!CG22</f>
        <v>1.1367739422236467</v>
      </c>
      <c r="CH22" s="2">
        <f>CG22+預測IC!CH22</f>
        <v>1.1808967119225016</v>
      </c>
      <c r="CI22" s="2">
        <f>CH22+預測IC!CI22</f>
        <v>1.1312351327093295</v>
      </c>
      <c r="CJ22" s="2">
        <f>CI22+預測IC!CJ22</f>
        <v>1.1709483728215522</v>
      </c>
      <c r="CK22" s="2">
        <f>CJ22+預測IC!CK22</f>
        <v>1.2073784959512703</v>
      </c>
      <c r="CL22" s="2">
        <f>CK22+預測IC!CL22</f>
        <v>1.0579691395717008</v>
      </c>
      <c r="CM22" s="2">
        <f>CL22+預測IC!CM22</f>
        <v>1.0408959039015644</v>
      </c>
      <c r="CN22" s="2">
        <f>CM22+預測IC!CN22</f>
        <v>1.1788351855004109</v>
      </c>
      <c r="CO22" s="2">
        <f>CN22+預測IC!CO22</f>
        <v>1.2539640443711226</v>
      </c>
      <c r="CP22" s="2">
        <f>CO22+預測IC!CP22</f>
        <v>1.2789035405798683</v>
      </c>
      <c r="CQ22" s="2">
        <f>CP22+預測IC!CQ22</f>
        <v>1.4627954894279986</v>
      </c>
      <c r="CR22" s="2">
        <f>CQ22+預測IC!CR22</f>
        <v>1.4819004709048749</v>
      </c>
      <c r="CS22" s="2">
        <f>CR22+預測IC!CS22</f>
        <v>1.4594005182494096</v>
      </c>
      <c r="CT22" s="2">
        <f>CS22+預測IC!CT22</f>
        <v>1.4082445414702214</v>
      </c>
      <c r="CU22" s="2">
        <f>CT22+預測IC!CU22</f>
        <v>1.3877782574534334</v>
      </c>
      <c r="CV22" s="2">
        <f>CU22+預測IC!CV22</f>
        <v>1.3650742574708608</v>
      </c>
      <c r="CW22" s="2">
        <f>CV22+預測IC!CW22</f>
        <v>1.4992644554369852</v>
      </c>
      <c r="CX22" s="2">
        <f>CW22+預測IC!CX22</f>
        <v>1.4449271629930427</v>
      </c>
      <c r="CY22" s="2">
        <f>CX22+預測IC!CY22</f>
        <v>1.4108368797769852</v>
      </c>
      <c r="CZ22" s="2">
        <f>CY22+預測IC!CZ22</f>
        <v>1.3359023085055508</v>
      </c>
      <c r="DA22" s="2">
        <f>CZ22+預測IC!DA22</f>
        <v>1.2723154967487924</v>
      </c>
      <c r="DB22" s="2">
        <f>DA22+預測IC!DB22</f>
        <v>1.3454332148345431</v>
      </c>
      <c r="DC22" s="2">
        <f>DB22+預測IC!DC22</f>
        <v>1.4039922353618071</v>
      </c>
      <c r="DD22" s="2">
        <f>DC22+預測IC!DD22</f>
        <v>0.70157643578729378</v>
      </c>
      <c r="DE22" s="2">
        <f>DD22+預測IC!DE22</f>
        <v>0.60283007514854936</v>
      </c>
      <c r="DF22" s="2">
        <f>DE22+預測IC!DF22</f>
        <v>0.26836585673342017</v>
      </c>
      <c r="DG22" s="2">
        <f>DF22+預測IC!DG22</f>
        <v>0.20464961215191402</v>
      </c>
      <c r="DH22" s="2">
        <f>DG22+預測IC!DH22</f>
        <v>0.275246773032432</v>
      </c>
      <c r="DI22" s="2">
        <f>DH22+預測IC!DI22</f>
        <v>0.17572327501379126</v>
      </c>
      <c r="DJ22" s="2">
        <f>DI22+預測IC!DJ22</f>
        <v>0.24936392529697998</v>
      </c>
      <c r="DK22" s="2">
        <f>DJ22+預測IC!DK22</f>
        <v>0.22777627821279953</v>
      </c>
      <c r="DL22" s="2">
        <f>DK22+預測IC!DL22</f>
        <v>0.242630188128762</v>
      </c>
      <c r="DM22" s="2">
        <f>DL22+預測IC!DM22</f>
        <v>0.22097742020396224</v>
      </c>
      <c r="DN22" s="2">
        <f>DM22+預測IC!DN22</f>
        <v>0.16702048504490091</v>
      </c>
      <c r="DO22" s="2">
        <f>DN22+預測IC!DO22</f>
        <v>0.23521228133053104</v>
      </c>
      <c r="DP22" s="2">
        <f>DO22+預測IC!DP22</f>
        <v>0.25859563149426718</v>
      </c>
      <c r="DQ22" s="2">
        <f>DP22+預測IC!DQ22</f>
        <v>0.21240345629290669</v>
      </c>
      <c r="DR22" s="2">
        <f>DQ22+預測IC!DR22</f>
        <v>0.31545870113240748</v>
      </c>
      <c r="DS22" s="2">
        <f>DR22+預測IC!DS22</f>
        <v>0.18262976140586168</v>
      </c>
      <c r="DT22" s="2">
        <f>DS22+預測IC!DT22</f>
        <v>0.17494882138616841</v>
      </c>
      <c r="DU22" s="2">
        <f>DT22+預測IC!DU22</f>
        <v>8.1750549718006785E-2</v>
      </c>
      <c r="DV22" s="2">
        <f>DU22+預測IC!DV22</f>
        <v>0.29140527099191299</v>
      </c>
      <c r="DW22" s="2">
        <f>DV22+預測IC!DW22</f>
        <v>0.15288911072748518</v>
      </c>
      <c r="DX22" s="2">
        <f>DW22+預測IC!DX22</f>
        <v>2.9420039549042085E-2</v>
      </c>
      <c r="DY22" s="2">
        <f>DX22+預測IC!DY22</f>
        <v>0.28605021417894572</v>
      </c>
      <c r="DZ22" s="2">
        <f>DY22+預測IC!DZ22</f>
        <v>0.31078855191736793</v>
      </c>
      <c r="EA22" s="2">
        <f>DZ22+預測IC!EA22</f>
        <v>0.2464627003388514</v>
      </c>
      <c r="EB22" s="2">
        <f>EA22+預測IC!EB22</f>
        <v>0.11357878801582369</v>
      </c>
      <c r="EC22" s="2">
        <f>EB22+預測IC!EC22</f>
        <v>0.22037748441009589</v>
      </c>
      <c r="ED22" s="2">
        <f>EC22+預測IC!ED22</f>
        <v>9.6311013015708186E-2</v>
      </c>
      <c r="EE22" s="2">
        <f>ED22+預測IC!EE22</f>
        <v>9.8541119701531593E-2</v>
      </c>
      <c r="EF22" s="2">
        <f>EE22+預測IC!EF22</f>
        <v>0.20819496332188708</v>
      </c>
      <c r="EG22" s="2">
        <f>EF22+預測IC!EG22</f>
        <v>0.16117366168205713</v>
      </c>
      <c r="EH22" s="2">
        <f>EG22+預測IC!EH22</f>
        <v>0.19000392248817755</v>
      </c>
      <c r="EI22" s="2">
        <f>EH22+預測IC!EI22</f>
        <v>0.13957471850076134</v>
      </c>
      <c r="EJ22" s="2">
        <f>EI22+預測IC!EJ22</f>
        <v>3.4496378127415531E-2</v>
      </c>
      <c r="EK22" s="2">
        <f>EJ22+預測IC!EK22</f>
        <v>4.1571514120404357E-2</v>
      </c>
      <c r="EL22" s="2">
        <f>EK22+預測IC!EL22</f>
        <v>-8.1962913175631244E-2</v>
      </c>
    </row>
    <row r="23" spans="1:142" x14ac:dyDescent="0.3">
      <c r="A23" s="19">
        <v>512</v>
      </c>
      <c r="B23" s="19">
        <f t="shared" si="10"/>
        <v>2</v>
      </c>
      <c r="C23" s="2">
        <v>3.1325684581971477E-2</v>
      </c>
      <c r="D23" s="2">
        <f>C23+預測IC!D23</f>
        <v>0.19361452961984488</v>
      </c>
      <c r="E23" s="2">
        <f>D23+預測IC!E23</f>
        <v>0.12943975068327271</v>
      </c>
      <c r="F23" s="2">
        <f>E23+預測IC!F23</f>
        <v>-6.2477010067909594E-2</v>
      </c>
      <c r="G23" s="2">
        <f>F23+預測IC!G23</f>
        <v>1.8235176020108462E-2</v>
      </c>
      <c r="H23" s="2">
        <f>G23+預測IC!H23</f>
        <v>4.6705178623793892E-5</v>
      </c>
      <c r="I23" s="2">
        <f>H23+預測IC!I23</f>
        <v>0.13604445635464188</v>
      </c>
      <c r="J23" s="2">
        <f>I23+預測IC!J23</f>
        <v>0.21501242569382639</v>
      </c>
      <c r="K23" s="2">
        <f>J23+預測IC!K23</f>
        <v>0.26902272420822027</v>
      </c>
      <c r="L23" s="2">
        <f>K23+預測IC!L23</f>
        <v>0.17886223900329851</v>
      </c>
      <c r="M23" s="2">
        <f>L23+預測IC!M23</f>
        <v>0.63990494813711085</v>
      </c>
      <c r="N23" s="2">
        <f>M23+預測IC!N23</f>
        <v>0.74623749119343663</v>
      </c>
      <c r="O23" s="2">
        <f>N23+預測IC!O23</f>
        <v>0.78050205043806153</v>
      </c>
      <c r="P23" s="2">
        <f>O23+預測IC!P23</f>
        <v>0.95538000820114677</v>
      </c>
      <c r="Q23" s="2">
        <f>P23+預測IC!Q23</f>
        <v>1.1203336391178256</v>
      </c>
      <c r="R23" s="2">
        <f>Q23+預測IC!R23</f>
        <v>1.1328043520598847</v>
      </c>
      <c r="S23" s="2">
        <f>R23+預測IC!S23</f>
        <v>1.1216509945022544</v>
      </c>
      <c r="T23" s="2">
        <f>S23+預測IC!T23</f>
        <v>1.0750243440096852</v>
      </c>
      <c r="U23" s="2">
        <f>T23+預測IC!U23</f>
        <v>0.89471661787984424</v>
      </c>
      <c r="V23" s="2">
        <f>U23+預測IC!V23</f>
        <v>0.96664298119060721</v>
      </c>
      <c r="W23" s="2">
        <f>V23+預測IC!W23</f>
        <v>1.283449371924285</v>
      </c>
      <c r="X23" s="2">
        <f>W23+預測IC!X23</f>
        <v>1.3915232990736039</v>
      </c>
      <c r="Y23" s="2">
        <f>X23+預測IC!Y23</f>
        <v>1.3435048433412671</v>
      </c>
      <c r="Z23" s="2">
        <f>Y23+預測IC!Z23</f>
        <v>1.4171936837797741</v>
      </c>
      <c r="AA23" s="2">
        <f>Z23+預測IC!AA23</f>
        <v>1.3204201938649649</v>
      </c>
      <c r="AB23" s="2">
        <f>AA23+預測IC!AB23</f>
        <v>1.3362458307055765</v>
      </c>
      <c r="AC23" s="2">
        <f>AB23+預測IC!AC23</f>
        <v>1.2758867910572491</v>
      </c>
      <c r="AD23" s="2">
        <f>AC23+預測IC!AD23</f>
        <v>1.3201687770198762</v>
      </c>
      <c r="AE23" s="2">
        <f>AD23+預測IC!AE23</f>
        <v>1.090472303633695</v>
      </c>
      <c r="AF23" s="2">
        <f>AE23+預測IC!AF23</f>
        <v>1.083616924426726</v>
      </c>
      <c r="AG23" s="2">
        <f>AF23+預測IC!AG23</f>
        <v>0.99309331297266801</v>
      </c>
      <c r="AH23" s="2">
        <f>AG23+預測IC!AH23</f>
        <v>0.96473300253834859</v>
      </c>
      <c r="AI23" s="2">
        <f>AH23+預測IC!AI23</f>
        <v>0.8055830705917939</v>
      </c>
      <c r="AJ23" s="2">
        <f>AI23+預測IC!AJ23</f>
        <v>0.78786380678877899</v>
      </c>
      <c r="AK23" s="2">
        <f>AJ23+預測IC!AK23</f>
        <v>0.73288142645924181</v>
      </c>
      <c r="AL23" s="2">
        <f>AK23+預測IC!AL23</f>
        <v>0.61497407165912676</v>
      </c>
      <c r="AM23" s="2">
        <f>AL23+預測IC!AM23</f>
        <v>0.67275362850059151</v>
      </c>
      <c r="AN23" s="2">
        <f>AM23+預測IC!AN23</f>
        <v>0.88625867295274663</v>
      </c>
      <c r="AO23" s="2">
        <f>AN23+預測IC!AO23</f>
        <v>0.88862039177438468</v>
      </c>
      <c r="AP23" s="2">
        <f>AO23+預測IC!AP23</f>
        <v>1.0538867641078769</v>
      </c>
      <c r="AQ23" s="2">
        <f>AP23+預測IC!AQ23</f>
        <v>0.99688150122015817</v>
      </c>
      <c r="AR23" s="2">
        <f>AQ23+預測IC!AR23</f>
        <v>1.0151817575769826</v>
      </c>
      <c r="AS23" s="2">
        <f>AR23+預測IC!AS23</f>
        <v>1.1000500516586893</v>
      </c>
      <c r="AT23" s="2">
        <f>AS23+預測IC!AT23</f>
        <v>1.101170189500364</v>
      </c>
      <c r="AU23" s="2">
        <f>AT23+預測IC!AU23</f>
        <v>1.1973923103130171</v>
      </c>
      <c r="AV23" s="2">
        <f>AU23+預測IC!AV23</f>
        <v>1.1140054401255435</v>
      </c>
      <c r="AW23" s="2">
        <f>AV23+預測IC!AW23</f>
        <v>1.2125858678329338</v>
      </c>
      <c r="AX23" s="2">
        <f>AW23+預測IC!AX23</f>
        <v>1.3478514039136444</v>
      </c>
      <c r="AY23" s="2">
        <f>AX23+預測IC!AY23</f>
        <v>1.600511287280554</v>
      </c>
      <c r="AZ23" s="2">
        <f>AY23+預測IC!AZ23</f>
        <v>1.6325251407846137</v>
      </c>
      <c r="BA23" s="2">
        <f>AZ23+預測IC!BA23</f>
        <v>1.5956087755668211</v>
      </c>
      <c r="BB23" s="2">
        <f>BA23+預測IC!BB23</f>
        <v>1.9781699820207321</v>
      </c>
      <c r="BC23" s="2">
        <f>BB23+預測IC!BC23</f>
        <v>1.9652957762567984</v>
      </c>
      <c r="BD23" s="2">
        <f>BC23+預測IC!BD23</f>
        <v>1.9739841944062304</v>
      </c>
      <c r="BE23" s="2">
        <f>BD23+預測IC!BE23</f>
        <v>1.8344288891494249</v>
      </c>
      <c r="BF23" s="2">
        <f>BE23+預測IC!BF23</f>
        <v>1.8108087132795563</v>
      </c>
      <c r="BG23" s="2">
        <f>BF23+預測IC!BG23</f>
        <v>1.7247201594184651</v>
      </c>
      <c r="BH23" s="2">
        <f>BG23+預測IC!BH23</f>
        <v>1.6218166169581349</v>
      </c>
      <c r="BI23" s="2">
        <f>BH23+預測IC!BI23</f>
        <v>1.5285655971461802</v>
      </c>
      <c r="BJ23" s="2">
        <f>BI23+預測IC!BJ23</f>
        <v>1.4324600353094765</v>
      </c>
      <c r="BK23" s="2">
        <f>BJ23+預測IC!BK23</f>
        <v>1.4230735563116845</v>
      </c>
      <c r="BL23" s="2">
        <f>BK23+預測IC!BL23</f>
        <v>1.3069035663309798</v>
      </c>
      <c r="BM23" s="2">
        <f>BL23+預測IC!BM23</f>
        <v>1.4931535678577967</v>
      </c>
      <c r="BN23" s="2">
        <f>BM23+預測IC!BN23</f>
        <v>1.5121593514771747</v>
      </c>
      <c r="BO23" s="2">
        <f>BN23+預測IC!BO23</f>
        <v>1.5604506444276456</v>
      </c>
      <c r="BP23" s="2">
        <f>BO23+預測IC!BP23</f>
        <v>1.5830777672762977</v>
      </c>
      <c r="BQ23" s="2">
        <f>BP23+預測IC!BQ23</f>
        <v>1.5825542467764182</v>
      </c>
      <c r="BR23" s="2">
        <f>BQ23+預測IC!BR23</f>
        <v>1.6046688464616767</v>
      </c>
      <c r="BS23" s="2">
        <f>BR23+預測IC!BS23</f>
        <v>1.5304648608281195</v>
      </c>
      <c r="BT23" s="2">
        <f>BS23+預測IC!BT23</f>
        <v>1.5217763557147306</v>
      </c>
      <c r="BU23" s="2">
        <f>BT23+預測IC!BU23</f>
        <v>1.344939748516061</v>
      </c>
      <c r="BV23" s="2">
        <f>BU23+預測IC!BV23</f>
        <v>1.3727976704704465</v>
      </c>
      <c r="BW23" s="2">
        <f>BV23+預測IC!BW23</f>
        <v>1.5587260828346861</v>
      </c>
      <c r="BX23" s="2">
        <f>BW23+預測IC!BX23</f>
        <v>1.5592720709582877</v>
      </c>
      <c r="BY23" s="2">
        <f>BX23+預測IC!BY23</f>
        <v>1.8048365555859451</v>
      </c>
      <c r="BZ23" s="2">
        <f>BY23+預測IC!BZ23</f>
        <v>1.3537876538147513</v>
      </c>
      <c r="CA23" s="2">
        <f>BZ23+預測IC!CA23</f>
        <v>1.4135159009878915</v>
      </c>
      <c r="CB23" s="2">
        <f>CA23+預測IC!CB23</f>
        <v>1.4552378094739464</v>
      </c>
      <c r="CC23" s="2">
        <f>CB23+預測IC!CC23</f>
        <v>1.159470355113615</v>
      </c>
      <c r="CD23" s="2">
        <f>CC23+預測IC!CD23</f>
        <v>1.1652256787861537</v>
      </c>
      <c r="CE23" s="2">
        <f>CD23+預測IC!CE23</f>
        <v>1.1834496186247978</v>
      </c>
      <c r="CF23" s="2">
        <f>CE23+預測IC!CF23</f>
        <v>1.2033468419315207</v>
      </c>
      <c r="CG23" s="2">
        <f>CF23+預測IC!CG23</f>
        <v>1.3858703078678183</v>
      </c>
      <c r="CH23" s="2">
        <f>CG23+預測IC!CH23</f>
        <v>1.3270789391356599</v>
      </c>
      <c r="CI23" s="2">
        <f>CH23+預測IC!CI23</f>
        <v>1.1534995125817193</v>
      </c>
      <c r="CJ23" s="2">
        <f>CI23+預測IC!CJ23</f>
        <v>1.1911662765129671</v>
      </c>
      <c r="CK23" s="2">
        <f>CJ23+預測IC!CK23</f>
        <v>1.2214148895402244</v>
      </c>
      <c r="CL23" s="2">
        <f>CK23+預測IC!CL23</f>
        <v>1.150736411453595</v>
      </c>
      <c r="CM23" s="2">
        <f>CL23+預測IC!CM23</f>
        <v>1.1276203287039099</v>
      </c>
      <c r="CN23" s="2">
        <f>CM23+預測IC!CN23</f>
        <v>1.0366956165543399</v>
      </c>
      <c r="CO23" s="2">
        <f>CN23+預測IC!CO23</f>
        <v>1.1034938850955303</v>
      </c>
      <c r="CP23" s="2">
        <f>CO23+預測IC!CP23</f>
        <v>1.0991320203423411</v>
      </c>
      <c r="CQ23" s="2">
        <f>CP23+預測IC!CQ23</f>
        <v>1.428639651234306</v>
      </c>
      <c r="CR23" s="2">
        <f>CQ23+預測IC!CR23</f>
        <v>1.4522617134299158</v>
      </c>
      <c r="CS23" s="2">
        <f>CR23+預測IC!CS23</f>
        <v>1.3905016653076423</v>
      </c>
      <c r="CT23" s="2">
        <f>CS23+預測IC!CT23</f>
        <v>1.3172952661635786</v>
      </c>
      <c r="CU23" s="2">
        <f>CT23+預測IC!CU23</f>
        <v>1.2802276392567773</v>
      </c>
      <c r="CV23" s="2">
        <f>CU23+預測IC!CV23</f>
        <v>1.2367333263865712</v>
      </c>
      <c r="CW23" s="2">
        <f>CV23+預測IC!CW23</f>
        <v>1.3579736188881719</v>
      </c>
      <c r="CX23" s="2">
        <f>CW23+預測IC!CX23</f>
        <v>1.2635850001571567</v>
      </c>
      <c r="CY23" s="2">
        <f>CX23+預測IC!CY23</f>
        <v>1.1961071420835518</v>
      </c>
      <c r="CZ23" s="2">
        <f>CY23+預測IC!CZ23</f>
        <v>1.1410027557844964</v>
      </c>
      <c r="DA23" s="2">
        <f>CZ23+預測IC!DA23</f>
        <v>1.0951339555711115</v>
      </c>
      <c r="DB23" s="2">
        <f>DA23+預測IC!DB23</f>
        <v>1.1664458917180442</v>
      </c>
      <c r="DC23" s="2">
        <f>DB23+預測IC!DC23</f>
        <v>1.1827998974614045</v>
      </c>
      <c r="DD23" s="2">
        <f>DC23+預測IC!DD23</f>
        <v>1.2800118105918157</v>
      </c>
      <c r="DE23" s="2">
        <f>DD23+預測IC!DE23</f>
        <v>1.2015039940876648</v>
      </c>
      <c r="DF23" s="2">
        <f>DE23+預測IC!DF23</f>
        <v>0.92251308910645591</v>
      </c>
      <c r="DG23" s="2">
        <f>DF23+預測IC!DG23</f>
        <v>0.82446079039113851</v>
      </c>
      <c r="DH23" s="2">
        <f>DG23+預測IC!DH23</f>
        <v>0.91217074135888809</v>
      </c>
      <c r="DI23" s="2">
        <f>DH23+預測IC!DI23</f>
        <v>0.79380024834789675</v>
      </c>
      <c r="DJ23" s="2">
        <f>DI23+預測IC!DJ23</f>
        <v>0.90084601345074145</v>
      </c>
      <c r="DK23" s="2">
        <f>DJ23+預測IC!DK23</f>
        <v>0.96487656221468043</v>
      </c>
      <c r="DL23" s="2">
        <f>DK23+預測IC!DL23</f>
        <v>0.95004717072909162</v>
      </c>
      <c r="DM23" s="2">
        <f>DL23+預測IC!DM23</f>
        <v>0.92423683731716244</v>
      </c>
      <c r="DN23" s="2">
        <f>DM23+預測IC!DN23</f>
        <v>0.89565803288598667</v>
      </c>
      <c r="DO23" s="2">
        <f>DN23+預測IC!DO23</f>
        <v>0.98458410819348319</v>
      </c>
      <c r="DP23" s="2">
        <f>DO23+預測IC!DP23</f>
        <v>1.0903656865623217</v>
      </c>
      <c r="DQ23" s="2">
        <f>DP23+預測IC!DQ23</f>
        <v>1.0644341622613065</v>
      </c>
      <c r="DR23" s="2">
        <f>DQ23+預測IC!DR23</f>
        <v>1.2125175840239877</v>
      </c>
      <c r="DS23" s="2">
        <f>DR23+預測IC!DS23</f>
        <v>1.1038037724401535</v>
      </c>
      <c r="DT23" s="2">
        <f>DS23+預測IC!DT23</f>
        <v>1.0495533117715408</v>
      </c>
      <c r="DU23" s="2">
        <f>DT23+預測IC!DU23</f>
        <v>0.96412250433753111</v>
      </c>
      <c r="DV23" s="2">
        <f>DU23+預測IC!DV23</f>
        <v>1.0823337555560351</v>
      </c>
      <c r="DW23" s="2">
        <f>DV23+預測IC!DW23</f>
        <v>1.2095046743572322</v>
      </c>
      <c r="DX23" s="2">
        <f>DW23+預測IC!DX23</f>
        <v>0.99026650015142703</v>
      </c>
      <c r="DY23" s="2">
        <f>DX23+預測IC!DY23</f>
        <v>1.2087023343670555</v>
      </c>
      <c r="DZ23" s="2">
        <f>DY23+預測IC!DZ23</f>
        <v>1.1724206181429939</v>
      </c>
      <c r="EA23" s="2">
        <f>DZ23+預測IC!EA23</f>
        <v>1.0435629231294363</v>
      </c>
      <c r="EB23" s="2">
        <f>EA23+預測IC!EB23</f>
        <v>0.92623053532447241</v>
      </c>
      <c r="EC23" s="2">
        <f>EB23+預測IC!EC23</f>
        <v>1.127355787130387</v>
      </c>
      <c r="ED23" s="2">
        <f>EC23+預測IC!ED23</f>
        <v>0.9859943613468829</v>
      </c>
      <c r="EE23" s="2">
        <f>ED23+預測IC!EE23</f>
        <v>0.95112574908697189</v>
      </c>
      <c r="EF23" s="2">
        <f>EE23+預測IC!EF23</f>
        <v>1.079444344969007</v>
      </c>
      <c r="EG23" s="2">
        <f>EF23+預測IC!EG23</f>
        <v>0.95882458735913634</v>
      </c>
      <c r="EH23" s="2">
        <f>EG23+預測IC!EH23</f>
        <v>0.97670748332724411</v>
      </c>
      <c r="EI23" s="2">
        <f>EH23+預測IC!EI23</f>
        <v>0.98430189858419415</v>
      </c>
      <c r="EJ23" s="2">
        <f>EI23+預測IC!EJ23</f>
        <v>0.89748457437951668</v>
      </c>
      <c r="EK23" s="2">
        <f>EJ23+預測IC!EK23</f>
        <v>0.92699312548004464</v>
      </c>
      <c r="EL23" s="2">
        <f>EK23+預測IC!EL23</f>
        <v>0.90209346928419676</v>
      </c>
    </row>
    <row r="24" spans="1:142" x14ac:dyDescent="0.3">
      <c r="A24" s="19">
        <v>1051</v>
      </c>
      <c r="B24" s="19">
        <f t="shared" si="10"/>
        <v>1</v>
      </c>
      <c r="C24" s="2">
        <v>2.776696731044102E-2</v>
      </c>
      <c r="D24" s="2">
        <f>C24+預測IC!D24</f>
        <v>0.2341991536477403</v>
      </c>
      <c r="E24" s="2">
        <f>D24+預測IC!E24</f>
        <v>0.22072375081199866</v>
      </c>
      <c r="F24" s="2">
        <f>E24+預測IC!F24</f>
        <v>0.23422443803090118</v>
      </c>
      <c r="G24" s="2">
        <f>F24+預測IC!G24</f>
        <v>0.20586921227577581</v>
      </c>
      <c r="H24" s="2">
        <f>G24+預測IC!H24</f>
        <v>0.15575374448229309</v>
      </c>
      <c r="I24" s="2">
        <f>H24+預測IC!I24</f>
        <v>0.25393743913333788</v>
      </c>
      <c r="J24" s="2">
        <f>I24+預測IC!J24</f>
        <v>0.35959993274906826</v>
      </c>
      <c r="K24" s="2">
        <f>J24+預測IC!K24</f>
        <v>0.31542871443593079</v>
      </c>
      <c r="L24" s="2">
        <f>K24+預測IC!L24</f>
        <v>0.19597035588812117</v>
      </c>
      <c r="M24" s="2">
        <f>L24+預測IC!M24</f>
        <v>1.1104719180004556</v>
      </c>
      <c r="N24" s="2">
        <f>M24+預測IC!N24</f>
        <v>1.0776951870101252</v>
      </c>
      <c r="O24" s="2">
        <f>N24+預測IC!O24</f>
        <v>1.0873029026003003</v>
      </c>
      <c r="P24" s="2">
        <f>O24+預測IC!P24</f>
        <v>1.0890391914646476</v>
      </c>
      <c r="Q24" s="2">
        <f>P24+預測IC!Q24</f>
        <v>1.1399750376421545</v>
      </c>
      <c r="R24" s="2">
        <f>Q24+預測IC!R24</f>
        <v>1.2875426226685327</v>
      </c>
      <c r="S24" s="2">
        <f>R24+預測IC!S24</f>
        <v>1.2432134244380026</v>
      </c>
      <c r="T24" s="2">
        <f>S24+預測IC!T24</f>
        <v>1.0731244360796826</v>
      </c>
      <c r="U24" s="2">
        <f>T24+預測IC!U24</f>
        <v>0.79475878309544012</v>
      </c>
      <c r="V24" s="2">
        <f>U24+預測IC!V24</f>
        <v>0.90354770385527017</v>
      </c>
      <c r="W24" s="2">
        <f>V24+預測IC!W24</f>
        <v>0.97528982911560669</v>
      </c>
      <c r="X24" s="2">
        <f>W24+預測IC!X24</f>
        <v>1.1088212217401292</v>
      </c>
      <c r="Y24" s="2">
        <f>X24+預測IC!Y24</f>
        <v>1.0396064252278843</v>
      </c>
      <c r="Z24" s="2">
        <f>Y24+預測IC!Z24</f>
        <v>1.0525395342399044</v>
      </c>
      <c r="AA24" s="2">
        <f>Z24+預測IC!AA24</f>
        <v>0.99694351417056415</v>
      </c>
      <c r="AB24" s="2">
        <f>AA24+預測IC!AB24</f>
        <v>1.192283136845808</v>
      </c>
      <c r="AC24" s="2">
        <f>AB24+預測IC!AC24</f>
        <v>1.1998817790240282</v>
      </c>
      <c r="AD24" s="2">
        <f>AC24+預測IC!AD24</f>
        <v>1.1759940749659923</v>
      </c>
      <c r="AE24" s="2">
        <f>AD24+預測IC!AE24</f>
        <v>0.58774505033977753</v>
      </c>
      <c r="AF24" s="2">
        <f>AE24+預測IC!AF24</f>
        <v>0.63907054456668932</v>
      </c>
      <c r="AG24" s="2">
        <f>AF24+預測IC!AG24</f>
        <v>0.4880015312768391</v>
      </c>
      <c r="AH24" s="2">
        <f>AG24+預測IC!AH24</f>
        <v>0.40511387147107147</v>
      </c>
      <c r="AI24" s="2">
        <f>AH24+預測IC!AI24</f>
        <v>0.41292814321022164</v>
      </c>
      <c r="AJ24" s="2">
        <f>AI24+預測IC!AJ24</f>
        <v>0.33203689921084623</v>
      </c>
      <c r="AK24" s="2">
        <f>AJ24+預測IC!AK24</f>
        <v>0.29611471187841776</v>
      </c>
      <c r="AL24" s="2">
        <f>AK24+預測IC!AL24</f>
        <v>1.1661341783009371E-2</v>
      </c>
      <c r="AM24" s="2">
        <f>AL24+預測IC!AM24</f>
        <v>6.9079807134136105E-3</v>
      </c>
      <c r="AN24" s="2">
        <f>AM24+預測IC!AN24</f>
        <v>0.14196403205115962</v>
      </c>
      <c r="AO24" s="2">
        <f>AN24+預測IC!AO24</f>
        <v>0.15729839605126614</v>
      </c>
      <c r="AP24" s="2">
        <f>AO24+預測IC!AP24</f>
        <v>0.32178508520918647</v>
      </c>
      <c r="AQ24" s="2">
        <f>AP24+預測IC!AQ24</f>
        <v>0.29218669038446438</v>
      </c>
      <c r="AR24" s="2">
        <f>AQ24+預測IC!AR24</f>
        <v>0.30899443647068403</v>
      </c>
      <c r="AS24" s="2">
        <f>AR24+預測IC!AS24</f>
        <v>0.34055248673650168</v>
      </c>
      <c r="AT24" s="2">
        <f>AS24+預測IC!AT24</f>
        <v>0.27036292457503641</v>
      </c>
      <c r="AU24" s="2">
        <f>AT24+預測IC!AU24</f>
        <v>0.22091464916105527</v>
      </c>
      <c r="AV24" s="2">
        <f>AU24+預測IC!AV24</f>
        <v>0.13376269697415938</v>
      </c>
      <c r="AW24" s="2">
        <f>AV24+預測IC!AW24</f>
        <v>0.21127668255346116</v>
      </c>
      <c r="AX24" s="2">
        <f>AW24+預測IC!AX24</f>
        <v>0.18339284439331657</v>
      </c>
      <c r="AY24" s="2">
        <f>AX24+預測IC!AY24</f>
        <v>0.62686628612981576</v>
      </c>
      <c r="AZ24" s="2">
        <f>AY24+預測IC!AZ24</f>
        <v>0.62423930175219633</v>
      </c>
      <c r="BA24" s="2">
        <f>AZ24+預測IC!BA24</f>
        <v>0.58764741719468816</v>
      </c>
      <c r="BB24" s="2">
        <f>BA24+預測IC!BB24</f>
        <v>1.298057963889748</v>
      </c>
      <c r="BC24" s="2">
        <f>BB24+預測IC!BC24</f>
        <v>1.3937329269492384</v>
      </c>
      <c r="BD24" s="2">
        <f>BC24+預測IC!BD24</f>
        <v>1.3751018928623746</v>
      </c>
      <c r="BE24" s="2">
        <f>BD24+預測IC!BE24</f>
        <v>1.1522893595771198</v>
      </c>
      <c r="BF24" s="2">
        <f>BE24+預測IC!BF24</f>
        <v>1.0218465556776932</v>
      </c>
      <c r="BG24" s="2">
        <f>BF24+預測IC!BG24</f>
        <v>0.84522301999837635</v>
      </c>
      <c r="BH24" s="2">
        <f>BG24+預測IC!BH24</f>
        <v>0.62519094414636878</v>
      </c>
      <c r="BI24" s="2">
        <f>BH24+預測IC!BI24</f>
        <v>0.33042501680618286</v>
      </c>
      <c r="BJ24" s="2">
        <f>BI24+預測IC!BJ24</f>
        <v>0.28366325089814365</v>
      </c>
      <c r="BK24" s="2">
        <f>BJ24+預測IC!BK24</f>
        <v>0.24529752765945464</v>
      </c>
      <c r="BL24" s="2">
        <f>BK24+預測IC!BL24</f>
        <v>0.13648721239669365</v>
      </c>
      <c r="BM24" s="2">
        <f>BL24+預測IC!BM24</f>
        <v>0.13021910519488944</v>
      </c>
      <c r="BN24" s="2">
        <f>BM24+預測IC!BN24</f>
        <v>0.1881686465517203</v>
      </c>
      <c r="BO24" s="2">
        <f>BN24+預測IC!BO24</f>
        <v>0.18254422499325379</v>
      </c>
      <c r="BP24" s="2">
        <f>BO24+預測IC!BP24</f>
        <v>0.29262087491387956</v>
      </c>
      <c r="BQ24" s="2">
        <f>BP24+預測IC!BQ24</f>
        <v>0.17879338539463696</v>
      </c>
      <c r="BR24" s="2">
        <f>BQ24+預測IC!BR24</f>
        <v>0.1630224492016418</v>
      </c>
      <c r="BS24" s="2">
        <f>BR24+預測IC!BS24</f>
        <v>3.5455966469675998E-2</v>
      </c>
      <c r="BT24" s="2">
        <f>BS24+預測IC!BT24</f>
        <v>-3.61891305981622E-2</v>
      </c>
      <c r="BU24" s="2">
        <f>BT24+預測IC!BU24</f>
        <v>-6.7416280107380613E-2</v>
      </c>
      <c r="BV24" s="2">
        <f>BU24+預測IC!BV24</f>
        <v>-0.10121365969067128</v>
      </c>
      <c r="BW24" s="2">
        <f>BV24+預測IC!BW24</f>
        <v>0.23960875518753119</v>
      </c>
      <c r="BX24" s="2">
        <f>BW24+預測IC!BX24</f>
        <v>0.18914842748343882</v>
      </c>
      <c r="BY24" s="2">
        <f>BX24+預測IC!BY24</f>
        <v>0.52159272019195657</v>
      </c>
      <c r="BZ24" s="2">
        <f>BY24+預測IC!BZ24</f>
        <v>0.28695236714955008</v>
      </c>
      <c r="CA24" s="2">
        <f>BZ24+預測IC!CA24</f>
        <v>0.31185219287205518</v>
      </c>
      <c r="CB24" s="2">
        <f>CA24+預測IC!CB24</f>
        <v>0.4757705896902531</v>
      </c>
      <c r="CC24" s="2">
        <f>CB24+預測IC!CC24</f>
        <v>8.0416225071299197E-2</v>
      </c>
      <c r="CD24" s="2">
        <f>CC24+預測IC!CD24</f>
        <v>-6.3108463883637195E-2</v>
      </c>
      <c r="CE24" s="2">
        <f>CD24+預測IC!CE24</f>
        <v>-5.7116901513470347E-2</v>
      </c>
      <c r="CF24" s="2">
        <f>CE24+預測IC!CF24</f>
        <v>-5.7794300603456895E-2</v>
      </c>
      <c r="CG24" s="2">
        <f>CF24+預測IC!CG24</f>
        <v>0.16128376955753931</v>
      </c>
      <c r="CH24" s="2">
        <f>CG24+預測IC!CH24</f>
        <v>0.26218661667576609</v>
      </c>
      <c r="CI24" s="2">
        <f>CH24+預測IC!CI24</f>
        <v>6.6755574462391803E-2</v>
      </c>
      <c r="CJ24" s="2">
        <f>CI24+預測IC!CJ24</f>
        <v>0.12818363715261899</v>
      </c>
      <c r="CK24" s="2">
        <f>CJ24+預測IC!CK24</f>
        <v>0.21018858707930849</v>
      </c>
      <c r="CL24" s="2">
        <f>CK24+預測IC!CL24</f>
        <v>0.1685800167450324</v>
      </c>
      <c r="CM24" s="2">
        <f>CL24+預測IC!CM24</f>
        <v>8.1733862344621988E-2</v>
      </c>
      <c r="CN24" s="2">
        <f>CM24+預測IC!CN24</f>
        <v>2.6055960253194843E-3</v>
      </c>
      <c r="CO24" s="2">
        <f>CN24+預測IC!CO24</f>
        <v>-4.4722450234387583E-2</v>
      </c>
      <c r="CP24" s="2">
        <f>CO24+預測IC!CP24</f>
        <v>-0.14627318144909149</v>
      </c>
      <c r="CQ24" s="2">
        <f>CP24+預測IC!CQ24</f>
        <v>-3.0292185405358885E-2</v>
      </c>
      <c r="CR24" s="2">
        <f>CQ24+預測IC!CR24</f>
        <v>1.7065905593767978E-2</v>
      </c>
      <c r="CS24" s="2">
        <f>CR24+預測IC!CS24</f>
        <v>-8.0001860076898516E-3</v>
      </c>
      <c r="CT24" s="2">
        <f>CS24+預測IC!CT24</f>
        <v>-2.7405595702142373E-2</v>
      </c>
      <c r="CU24" s="2">
        <f>CT24+預測IC!CU24</f>
        <v>-0.106651928068935</v>
      </c>
      <c r="CV24" s="2">
        <f>CU24+預測IC!CV24</f>
        <v>-0.2723896002416632</v>
      </c>
      <c r="CW24" s="2">
        <f>CV24+預測IC!CW24</f>
        <v>-0.25485014579638371</v>
      </c>
      <c r="CX24" s="2">
        <f>CW24+預測IC!CX24</f>
        <v>-0.55876005810594997</v>
      </c>
      <c r="CY24" s="2">
        <f>CX24+預測IC!CY24</f>
        <v>-0.64584432404929126</v>
      </c>
      <c r="CZ24" s="2">
        <f>CY24+預測IC!CZ24</f>
        <v>-0.73152695035818671</v>
      </c>
      <c r="DA24" s="2">
        <f>CZ24+預測IC!DA24</f>
        <v>-0.78883886320836805</v>
      </c>
      <c r="DB24" s="2">
        <f>DA24+預測IC!DB24</f>
        <v>-0.65545847897888887</v>
      </c>
      <c r="DC24" s="2">
        <f>DB24+預測IC!DC24</f>
        <v>-0.47786807290738953</v>
      </c>
      <c r="DD24" s="2">
        <f>DC24+預測IC!DD24</f>
        <v>-0.40934121632193099</v>
      </c>
      <c r="DE24" s="2">
        <f>DD24+預測IC!DE24</f>
        <v>-0.45733804447196708</v>
      </c>
      <c r="DF24" s="2">
        <f>DE24+預測IC!DF24</f>
        <v>-0.57224351605108581</v>
      </c>
      <c r="DG24" s="2">
        <f>DF24+預測IC!DG24</f>
        <v>-0.7868503260945372</v>
      </c>
      <c r="DH24" s="2">
        <f>DG24+預測IC!DH24</f>
        <v>-0.67024214861127795</v>
      </c>
      <c r="DI24" s="2">
        <f>DH24+預測IC!DI24</f>
        <v>-0.80500510540857806</v>
      </c>
      <c r="DJ24" s="2">
        <f>DI24+預測IC!DJ24</f>
        <v>-0.77240790520901703</v>
      </c>
      <c r="DK24" s="2">
        <f>DJ24+預測IC!DK24</f>
        <v>-0.60794931773954675</v>
      </c>
      <c r="DL24" s="2">
        <f>DK24+預測IC!DL24</f>
        <v>-0.55614213036315341</v>
      </c>
      <c r="DM24" s="2">
        <f>DL24+預測IC!DM24</f>
        <v>-0.53990434319493141</v>
      </c>
      <c r="DN24" s="2">
        <f>DM24+預測IC!DN24</f>
        <v>-0.49281940042412897</v>
      </c>
      <c r="DO24" s="2">
        <f>DN24+預測IC!DO24</f>
        <v>-0.37387995868297547</v>
      </c>
      <c r="DP24" s="2">
        <f>DO24+預測IC!DP24</f>
        <v>-0.40154744734813214</v>
      </c>
      <c r="DQ24" s="2">
        <f>DP24+預測IC!DQ24</f>
        <v>-0.44611604144803418</v>
      </c>
      <c r="DR24" s="2">
        <f>DQ24+預測IC!DR24</f>
        <v>-0.39382496061115624</v>
      </c>
      <c r="DS24" s="2">
        <f>DR24+預測IC!DS24</f>
        <v>-0.41568580023484925</v>
      </c>
      <c r="DT24" s="2">
        <f>DS24+預測IC!DT24</f>
        <v>-0.37798510025315318</v>
      </c>
      <c r="DU24" s="2">
        <f>DT24+預測IC!DU24</f>
        <v>-0.50172879214410271</v>
      </c>
      <c r="DV24" s="2">
        <f>DU24+預測IC!DV24</f>
        <v>-0.46834845283983778</v>
      </c>
      <c r="DW24" s="2">
        <f>DV24+預測IC!DW24</f>
        <v>-0.88635948956220156</v>
      </c>
      <c r="DX24" s="2">
        <f>DW24+預測IC!DX24</f>
        <v>-0.9718671305997848</v>
      </c>
      <c r="DY24" s="2">
        <f>DX24+預測IC!DY24</f>
        <v>-1.0002421100266243</v>
      </c>
      <c r="DZ24" s="2">
        <f>DY24+預測IC!DZ24</f>
        <v>-1.0344778369491616</v>
      </c>
      <c r="EA24" s="2">
        <f>DZ24+預測IC!EA24</f>
        <v>-1.0294629292444626</v>
      </c>
      <c r="EB24" s="2">
        <f>EA24+預測IC!EB24</f>
        <v>-1.1386917016172688</v>
      </c>
      <c r="EC24" s="2">
        <f>EB24+預測IC!EC24</f>
        <v>-0.810810302564962</v>
      </c>
      <c r="ED24" s="2">
        <f>EC24+預測IC!ED24</f>
        <v>-0.97852673713155558</v>
      </c>
      <c r="EE24" s="2">
        <f>ED24+預測IC!EE24</f>
        <v>-0.95463797917782056</v>
      </c>
      <c r="EF24" s="2">
        <f>EE24+預測IC!EF24</f>
        <v>-0.81624660378945257</v>
      </c>
      <c r="EG24" s="2">
        <f>EF24+預測IC!EG24</f>
        <v>-0.85668757334796308</v>
      </c>
      <c r="EH24" s="2">
        <f>EG24+預測IC!EH24</f>
        <v>-0.85788294143949895</v>
      </c>
      <c r="EI24" s="2">
        <f>EH24+預測IC!EI24</f>
        <v>-0.86577728110847252</v>
      </c>
      <c r="EJ24" s="2">
        <f>EI24+預測IC!EJ24</f>
        <v>-1.0140815769217617</v>
      </c>
      <c r="EK24" s="2">
        <f>EJ24+預測IC!EK24</f>
        <v>-0.99458949646623207</v>
      </c>
      <c r="EL24" s="2">
        <f>EK24+預測IC!EL24</f>
        <v>-1.0519741802471845</v>
      </c>
    </row>
    <row r="25" spans="1:142" x14ac:dyDescent="0.3">
      <c r="A25" s="19" t="s">
        <v>154</v>
      </c>
      <c r="B25" s="19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topLeftCell="A8" workbookViewId="0">
      <selection activeCell="E22" sqref="E22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7" width="16.19921875" style="12" customWidth="1"/>
    <col min="8" max="16384" width="16.19921875" style="12"/>
  </cols>
  <sheetData>
    <row r="1" spans="1:142" x14ac:dyDescent="0.55000000000000004">
      <c r="A1" s="11" t="s">
        <v>254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3">
        <v>6.12049400806427E-2</v>
      </c>
      <c r="D3" s="13">
        <v>7.2511330246925354E-2</v>
      </c>
      <c r="E3" s="13">
        <v>-1.9275229424238201E-3</v>
      </c>
      <c r="F3" s="13">
        <v>6.0068525373935699E-2</v>
      </c>
      <c r="G3" s="13">
        <v>5.4933164268732071E-2</v>
      </c>
      <c r="H3" s="13">
        <v>3.9693295955657959E-2</v>
      </c>
      <c r="I3" s="13">
        <v>4.1277538985013962E-2</v>
      </c>
      <c r="J3" s="13">
        <v>4.0029242634773247E-2</v>
      </c>
      <c r="K3" s="13">
        <v>-1.884257048368454E-2</v>
      </c>
      <c r="L3" s="13">
        <v>7.7602483332157135E-2</v>
      </c>
      <c r="M3" s="13">
        <v>4.2970236390829093E-2</v>
      </c>
      <c r="N3" s="13">
        <v>5.1299545913934708E-2</v>
      </c>
      <c r="O3" s="13">
        <v>6.7217230796813965E-2</v>
      </c>
      <c r="P3" s="13">
        <v>-1.9206620752811428E-2</v>
      </c>
      <c r="Q3" s="13">
        <v>3.6692902445793152E-2</v>
      </c>
      <c r="R3" s="13">
        <v>5.7352703064680099E-2</v>
      </c>
      <c r="S3" s="13">
        <v>5.824115127325058E-2</v>
      </c>
      <c r="T3" s="13">
        <v>5.7737637311220169E-2</v>
      </c>
      <c r="U3" s="13">
        <v>8.7644942104816437E-2</v>
      </c>
      <c r="V3" s="13">
        <v>5.71180060505867E-2</v>
      </c>
      <c r="W3" s="13">
        <v>5.8588448911905289E-2</v>
      </c>
      <c r="X3" s="13">
        <v>5.677197128534317E-2</v>
      </c>
      <c r="Y3" s="13">
        <v>5.9611771255731583E-2</v>
      </c>
      <c r="Z3" s="13">
        <v>5.6625247001647949E-2</v>
      </c>
      <c r="AA3" s="13">
        <v>5.8075748383998871E-2</v>
      </c>
      <c r="AB3" s="13">
        <v>5.8921128511428833E-2</v>
      </c>
      <c r="AC3" s="13">
        <v>5.7191025465726852E-2</v>
      </c>
      <c r="AD3" s="13">
        <v>4.8412855714559562E-2</v>
      </c>
      <c r="AE3" s="13">
        <v>4.5246422290802002E-2</v>
      </c>
      <c r="AF3" s="13">
        <v>3.9521925151348107E-2</v>
      </c>
      <c r="AG3" s="13">
        <v>5.5390156805515289E-2</v>
      </c>
      <c r="AH3" s="13">
        <v>1.4683824963867659E-2</v>
      </c>
      <c r="AI3" s="13">
        <v>3.7803374230861657E-2</v>
      </c>
      <c r="AJ3" s="13">
        <v>3.8440905511379242E-2</v>
      </c>
      <c r="AK3" s="13">
        <v>4.3643329292535782E-2</v>
      </c>
      <c r="AL3" s="13">
        <v>5.5902425199747093E-2</v>
      </c>
      <c r="AM3" s="13">
        <v>4.4350031763315201E-2</v>
      </c>
      <c r="AN3" s="13">
        <v>5.7365026324987411E-2</v>
      </c>
      <c r="AO3" s="13">
        <v>5.0584495067596442E-2</v>
      </c>
      <c r="AP3" s="13">
        <v>3.6188744008541107E-2</v>
      </c>
      <c r="AQ3" s="13">
        <v>5.1331903785467148E-2</v>
      </c>
      <c r="AR3" s="13">
        <v>5.3158313035964973E-2</v>
      </c>
      <c r="AS3" s="13">
        <v>5.3955111652612693E-2</v>
      </c>
      <c r="AT3" s="13">
        <v>4.2485147714614868E-2</v>
      </c>
      <c r="AU3" s="13">
        <v>3.8132380694150918E-2</v>
      </c>
      <c r="AV3" s="13">
        <v>5.8870542794466019E-2</v>
      </c>
      <c r="AW3" s="13">
        <v>4.7994006425142288E-2</v>
      </c>
      <c r="AX3" s="13">
        <v>8.6182266473770142E-2</v>
      </c>
      <c r="AY3" s="13">
        <v>8.3852857351303101E-3</v>
      </c>
      <c r="AZ3" s="13">
        <v>4.4009331613779068E-2</v>
      </c>
      <c r="BA3" s="13">
        <v>4.9207791686058037E-2</v>
      </c>
      <c r="BB3" s="13">
        <v>7.653963565826416E-2</v>
      </c>
      <c r="BC3" s="13">
        <v>5.167977511882782E-2</v>
      </c>
      <c r="BD3" s="13">
        <v>5.0100985914468772E-2</v>
      </c>
      <c r="BE3" s="13">
        <v>5.2923846989870071E-2</v>
      </c>
      <c r="BF3" s="13">
        <v>5.2925221621990197E-2</v>
      </c>
      <c r="BG3" s="13">
        <v>-2.4431157857179642E-2</v>
      </c>
      <c r="BH3" s="13">
        <v>4.4987935572862632E-2</v>
      </c>
      <c r="BI3" s="13">
        <v>-5.5818486958742142E-2</v>
      </c>
      <c r="BJ3" s="13">
        <v>-1.4962164685130119E-2</v>
      </c>
      <c r="BK3" s="13">
        <v>5.2559554576873779E-2</v>
      </c>
      <c r="BL3" s="13">
        <v>-1.9598362967371941E-2</v>
      </c>
      <c r="BM3" s="13">
        <v>5.2786063402891159E-2</v>
      </c>
      <c r="BN3" s="13">
        <v>5.6244544684886932E-2</v>
      </c>
      <c r="BO3" s="13">
        <v>5.7009022682905197E-2</v>
      </c>
      <c r="BP3" s="13">
        <v>5.9325642883777618E-2</v>
      </c>
      <c r="BQ3" s="13">
        <v>5.38657046854496E-2</v>
      </c>
      <c r="BR3" s="13">
        <v>4.6412393450737E-2</v>
      </c>
      <c r="BS3" s="13">
        <v>5.4341584444046021E-2</v>
      </c>
      <c r="BT3" s="13">
        <v>6.0930393636226647E-2</v>
      </c>
      <c r="BU3" s="13">
        <v>5.4812837392091751E-2</v>
      </c>
      <c r="BV3" s="13">
        <v>5.2568450570106513E-2</v>
      </c>
      <c r="BW3" s="13">
        <v>3.7255365401506417E-2</v>
      </c>
      <c r="BX3" s="13">
        <v>5.682339146733284E-2</v>
      </c>
      <c r="BY3" s="13">
        <v>-2.3215686902403831E-2</v>
      </c>
      <c r="BZ3" s="13">
        <v>5.4056894034147263E-2</v>
      </c>
      <c r="CA3" s="13">
        <v>5.063512921333313E-2</v>
      </c>
      <c r="CB3" s="13">
        <v>4.6568762511014938E-2</v>
      </c>
      <c r="CC3" s="13">
        <v>5.2197903394699097E-2</v>
      </c>
      <c r="CD3" s="13">
        <v>4.967692494392395E-2</v>
      </c>
      <c r="CE3" s="13">
        <v>4.7654405236244202E-2</v>
      </c>
      <c r="CF3" s="13">
        <v>5.0498437136411667E-2</v>
      </c>
      <c r="CG3" s="13">
        <v>4.6334125101566308E-2</v>
      </c>
      <c r="CH3" s="13">
        <v>-5.2071664482355118E-2</v>
      </c>
      <c r="CI3" s="13">
        <v>3.2746680080890662E-2</v>
      </c>
      <c r="CJ3" s="13">
        <v>6.2081679701805108E-2</v>
      </c>
      <c r="CK3" s="13">
        <v>5.1945634186267853E-2</v>
      </c>
      <c r="CL3" s="13">
        <v>5.1343429833650589E-2</v>
      </c>
      <c r="CM3" s="13">
        <v>4.9791298806667328E-2</v>
      </c>
      <c r="CN3" s="13">
        <v>-5.1051981747150421E-2</v>
      </c>
      <c r="CO3" s="13">
        <v>4.8443220555782318E-2</v>
      </c>
      <c r="CP3" s="13">
        <v>3.831993043422699E-2</v>
      </c>
      <c r="CQ3" s="13">
        <v>4.6025007963180542E-2</v>
      </c>
      <c r="CR3" s="13">
        <v>4.8954267054796219E-2</v>
      </c>
      <c r="CS3" s="13">
        <v>4.7766562551259988E-2</v>
      </c>
      <c r="CT3" s="13">
        <v>2.650626003742218E-2</v>
      </c>
      <c r="CU3" s="13">
        <v>4.5024186372756958E-2</v>
      </c>
      <c r="CV3" s="13">
        <v>5.1086608320474618E-2</v>
      </c>
      <c r="CW3" s="13">
        <v>4.582851380109787E-2</v>
      </c>
      <c r="CX3" s="13">
        <v>5.2254576236009598E-2</v>
      </c>
      <c r="CY3" s="13">
        <v>5.200684443116188E-2</v>
      </c>
      <c r="CZ3" s="13">
        <v>4.3027881532907493E-2</v>
      </c>
      <c r="DA3" s="13">
        <v>4.4491849839687347E-2</v>
      </c>
      <c r="DB3" s="13">
        <v>5.3787026554346078E-2</v>
      </c>
      <c r="DC3" s="13">
        <v>5.2698738873004913E-2</v>
      </c>
      <c r="DD3" s="13">
        <v>3.576786071062088E-2</v>
      </c>
      <c r="DE3" s="13">
        <v>5.2665602415800088E-2</v>
      </c>
      <c r="DF3" s="13">
        <v>4.5536983758211143E-2</v>
      </c>
      <c r="DG3" s="13">
        <v>3.4475583583116531E-2</v>
      </c>
      <c r="DH3" s="13">
        <v>4.8142813146114349E-2</v>
      </c>
      <c r="DI3" s="13">
        <v>4.9271531403064728E-2</v>
      </c>
      <c r="DJ3" s="13">
        <v>5.2601665258407593E-2</v>
      </c>
      <c r="DK3" s="13">
        <v>6.7928150296211243E-2</v>
      </c>
      <c r="DL3" s="13">
        <v>-5.9254914522171021E-3</v>
      </c>
      <c r="DM3" s="13">
        <v>4.8600025475025177E-2</v>
      </c>
      <c r="DN3" s="13">
        <v>4.6405158936977393E-2</v>
      </c>
      <c r="DO3" s="13">
        <v>-2.6236224919557571E-2</v>
      </c>
      <c r="DP3" s="13">
        <v>4.7461628913879388E-2</v>
      </c>
      <c r="DQ3" s="13">
        <v>3.6974836140871048E-2</v>
      </c>
      <c r="DR3" s="13">
        <v>4.2524911463260651E-2</v>
      </c>
      <c r="DS3" s="13">
        <v>4.7911066561937332E-2</v>
      </c>
      <c r="DT3" s="13">
        <v>2.2824956104159359E-2</v>
      </c>
      <c r="DU3" s="13">
        <v>5.4288685321807861E-2</v>
      </c>
      <c r="DV3" s="13">
        <v>4.625309631228447E-2</v>
      </c>
      <c r="DW3" s="13">
        <v>4.7988094389438629E-2</v>
      </c>
      <c r="DX3" s="13">
        <v>4.7624159604310989E-2</v>
      </c>
      <c r="DY3" s="13">
        <v>-6.7029789090156555E-2</v>
      </c>
      <c r="DZ3" s="13">
        <v>3.5397574305534363E-2</v>
      </c>
      <c r="EA3" s="13">
        <v>4.962235689163208E-2</v>
      </c>
      <c r="EB3" s="13">
        <v>1.5088049694895741E-2</v>
      </c>
      <c r="EC3" s="13">
        <v>3.6462400108575821E-2</v>
      </c>
      <c r="ED3" s="13">
        <v>6.3536964356899261E-2</v>
      </c>
      <c r="EE3" s="13">
        <v>4.7288980334997177E-2</v>
      </c>
      <c r="EF3" s="13">
        <v>4.9761466681957238E-2</v>
      </c>
      <c r="EG3" s="13">
        <v>4.3250363320112228E-2</v>
      </c>
      <c r="EH3" s="13">
        <v>1.8230888992547989E-2</v>
      </c>
      <c r="EI3" s="13">
        <v>5.3057532757520683E-2</v>
      </c>
      <c r="EJ3" s="13">
        <v>4.9299325793981552E-2</v>
      </c>
      <c r="EK3" s="13">
        <v>4.9753554165363312E-2</v>
      </c>
      <c r="EL3" s="13">
        <v>4.7524686902761459E-2</v>
      </c>
    </row>
    <row r="4" spans="1:142" x14ac:dyDescent="0.55000000000000004">
      <c r="B4" s="11" t="s">
        <v>144</v>
      </c>
      <c r="C4" s="13">
        <v>-3.0663138255476952E-2</v>
      </c>
      <c r="D4" s="13">
        <v>-5.034250020980835E-2</v>
      </c>
      <c r="E4" s="13">
        <v>-3.9785187691450119E-2</v>
      </c>
      <c r="F4" s="13">
        <v>-3.6133710294961929E-2</v>
      </c>
      <c r="G4" s="13">
        <v>4.467344656586647E-2</v>
      </c>
      <c r="H4" s="13">
        <v>-0.1628625690937042</v>
      </c>
      <c r="I4" s="13">
        <v>-4.0721379220485687E-2</v>
      </c>
      <c r="J4" s="13">
        <v>3.0216570943593979E-2</v>
      </c>
      <c r="K4" s="13">
        <v>-3.253590315580368E-2</v>
      </c>
      <c r="L4" s="13">
        <v>-3.943561390042305E-2</v>
      </c>
      <c r="M4" s="13">
        <v>-3.666292130947113E-2</v>
      </c>
      <c r="N4" s="13">
        <v>4.0030878037214279E-2</v>
      </c>
      <c r="O4" s="13">
        <v>4.1884001344442368E-2</v>
      </c>
      <c r="P4" s="13">
        <v>-4.0444657206535339E-2</v>
      </c>
      <c r="Q4" s="13">
        <v>1.857642829418182E-2</v>
      </c>
      <c r="R4" s="13">
        <v>-2.829065173864365E-2</v>
      </c>
      <c r="S4" s="13">
        <v>-3.5978645086288452E-2</v>
      </c>
      <c r="T4" s="13">
        <v>2.9547009617090229E-2</v>
      </c>
      <c r="U4" s="13">
        <v>3.2607868313789368E-2</v>
      </c>
      <c r="V4" s="13">
        <v>-3.6388922482728958E-2</v>
      </c>
      <c r="W4" s="13">
        <v>-4.2822007089853287E-2</v>
      </c>
      <c r="X4" s="13">
        <v>-3.6966376006603241E-2</v>
      </c>
      <c r="Y4" s="13">
        <v>-3.3312540501356118E-2</v>
      </c>
      <c r="Z4" s="13">
        <v>-3.001893125474453E-2</v>
      </c>
      <c r="AA4" s="13">
        <v>-3.2679852098226547E-2</v>
      </c>
      <c r="AB4" s="13">
        <v>2.5544572621583939E-2</v>
      </c>
      <c r="AC4" s="13">
        <v>-3.0559385195374489E-2</v>
      </c>
      <c r="AD4" s="13">
        <v>-3.4821953624486923E-2</v>
      </c>
      <c r="AE4" s="13">
        <v>6.712651252746582E-2</v>
      </c>
      <c r="AF4" s="13">
        <v>-3.094292618334293E-2</v>
      </c>
      <c r="AG4" s="13">
        <v>-4.2559638619422913E-2</v>
      </c>
      <c r="AH4" s="13">
        <v>-1.8579920753836628E-2</v>
      </c>
      <c r="AI4" s="13">
        <v>2.7163092046976089E-2</v>
      </c>
      <c r="AJ4" s="13">
        <v>1.4020096510648729E-2</v>
      </c>
      <c r="AK4" s="13">
        <v>-3.4004654735326767E-2</v>
      </c>
      <c r="AL4" s="13">
        <v>2.862254902720451E-2</v>
      </c>
      <c r="AM4" s="13">
        <v>-3.4602928906679153E-2</v>
      </c>
      <c r="AN4" s="13">
        <v>-2.4779008701443669E-2</v>
      </c>
      <c r="AO4" s="13">
        <v>-5.1725324243307107E-2</v>
      </c>
      <c r="AP4" s="13">
        <v>6.6316254436969757E-2</v>
      </c>
      <c r="AQ4" s="13">
        <v>-3.3196955919265747E-2</v>
      </c>
      <c r="AR4" s="13">
        <v>-2.6140265166759491E-2</v>
      </c>
      <c r="AS4" s="13">
        <v>1.07799400575459E-3</v>
      </c>
      <c r="AT4" s="13">
        <v>-2.851795963943005E-2</v>
      </c>
      <c r="AU4" s="13">
        <v>-4.8994671553373337E-2</v>
      </c>
      <c r="AV4" s="13">
        <v>3.2629318535327911E-2</v>
      </c>
      <c r="AW4" s="13">
        <v>-2.106872946023941E-2</v>
      </c>
      <c r="AX4" s="13">
        <v>-5.0037145614624023E-2</v>
      </c>
      <c r="AY4" s="13">
        <v>3.8394477218389511E-2</v>
      </c>
      <c r="AZ4" s="13">
        <v>-4.6988997608423233E-2</v>
      </c>
      <c r="BA4" s="13">
        <v>2.716952562332153E-2</v>
      </c>
      <c r="BB4" s="13">
        <v>-3.3924028277397163E-2</v>
      </c>
      <c r="BC4" s="13">
        <v>-2.8171896934509281E-2</v>
      </c>
      <c r="BD4" s="13">
        <v>7.9279758036136627E-2</v>
      </c>
      <c r="BE4" s="13">
        <v>-6.5230011940002441E-2</v>
      </c>
      <c r="BF4" s="13">
        <v>-3.2597191631793983E-2</v>
      </c>
      <c r="BG4" s="13">
        <v>-6.3128843903541565E-2</v>
      </c>
      <c r="BH4" s="13">
        <v>-4.8509896732866764E-3</v>
      </c>
      <c r="BI4" s="13">
        <v>-3.461967408657074E-2</v>
      </c>
      <c r="BJ4" s="13">
        <v>-4.3740075081586838E-2</v>
      </c>
      <c r="BK4" s="13">
        <v>-1.662034075707197E-3</v>
      </c>
      <c r="BL4" s="13">
        <v>5.6854188442230216E-3</v>
      </c>
      <c r="BM4" s="13">
        <v>4.5709989964962013E-2</v>
      </c>
      <c r="BN4" s="13">
        <v>3.3833611756563187E-2</v>
      </c>
      <c r="BO4" s="13">
        <v>-9.0293154120445251E-2</v>
      </c>
      <c r="BP4" s="13">
        <v>3.6973550915718079E-2</v>
      </c>
      <c r="BQ4" s="13">
        <v>3.5409048199653632E-2</v>
      </c>
      <c r="BR4" s="13">
        <v>-5.8591317385435097E-2</v>
      </c>
      <c r="BS4" s="13">
        <v>4.0612448006868362E-2</v>
      </c>
      <c r="BT4" s="13">
        <v>-2.6653701439499859E-2</v>
      </c>
      <c r="BU4" s="13">
        <v>-4.852568730711937E-2</v>
      </c>
      <c r="BV4" s="13">
        <v>-3.6710593849420547E-2</v>
      </c>
      <c r="BW4" s="13">
        <v>-2.6956351473927501E-2</v>
      </c>
      <c r="BX4" s="13">
        <v>-2.2222328931093219E-2</v>
      </c>
      <c r="BY4" s="13">
        <v>5.5634047836065292E-2</v>
      </c>
      <c r="BZ4" s="13">
        <v>3.1823184341192252E-2</v>
      </c>
      <c r="CA4" s="13">
        <v>3.3842761069536209E-2</v>
      </c>
      <c r="CB4" s="13">
        <v>-4.9766700714826577E-2</v>
      </c>
      <c r="CC4" s="13">
        <v>-3.0912276357412342E-2</v>
      </c>
      <c r="CD4" s="13">
        <v>3.2408569008111947E-2</v>
      </c>
      <c r="CE4" s="13">
        <v>-3.9579436182975769E-2</v>
      </c>
      <c r="CF4" s="13">
        <v>-1.251911278814077E-2</v>
      </c>
      <c r="CG4" s="13">
        <v>-3.2040257006883621E-2</v>
      </c>
      <c r="CH4" s="13">
        <v>9.6894605085253716E-3</v>
      </c>
      <c r="CI4" s="13">
        <v>-4.0054671466350562E-2</v>
      </c>
      <c r="CJ4" s="13">
        <v>-3.8043182343244553E-2</v>
      </c>
      <c r="CK4" s="13">
        <v>-1.224210113286972E-2</v>
      </c>
      <c r="CL4" s="13">
        <v>5.391576886177063E-2</v>
      </c>
      <c r="CM4" s="13">
        <v>-9.7341146320104599E-3</v>
      </c>
      <c r="CN4" s="13">
        <v>3.1725849956274033E-2</v>
      </c>
      <c r="CO4" s="13">
        <v>-6.1310693621635437E-2</v>
      </c>
      <c r="CP4" s="13">
        <v>-3.172619640827179E-2</v>
      </c>
      <c r="CQ4" s="13">
        <v>-6.4088389277458191E-2</v>
      </c>
      <c r="CR4" s="13">
        <v>5.1752254366874688E-2</v>
      </c>
      <c r="CS4" s="13">
        <v>-4.6389646828174591E-2</v>
      </c>
      <c r="CT4" s="13">
        <v>-2.5805598124861721E-2</v>
      </c>
      <c r="CU4" s="13">
        <v>-3.8406036794185638E-2</v>
      </c>
      <c r="CV4" s="13">
        <v>4.8397261649370187E-2</v>
      </c>
      <c r="CW4" s="13">
        <v>-5.0927214324474328E-2</v>
      </c>
      <c r="CX4" s="13">
        <v>4.8858575522899628E-2</v>
      </c>
      <c r="CY4" s="13">
        <v>-2.9716761782765388E-2</v>
      </c>
      <c r="CZ4" s="13">
        <v>3.2698560506105423E-2</v>
      </c>
      <c r="DA4" s="13">
        <v>-3.1618602573871613E-2</v>
      </c>
      <c r="DB4" s="13">
        <v>-3.5143610090017319E-2</v>
      </c>
      <c r="DC4" s="13">
        <v>-4.14128378033638E-2</v>
      </c>
      <c r="DD4" s="13">
        <v>1.5055138617753981E-2</v>
      </c>
      <c r="DE4" s="13">
        <v>-4.9718223512172699E-2</v>
      </c>
      <c r="DF4" s="13">
        <v>0.1166923344135284</v>
      </c>
      <c r="DG4" s="13">
        <v>-1.690609194338322E-2</v>
      </c>
      <c r="DH4" s="13">
        <v>-3.8817554712295532E-2</v>
      </c>
      <c r="DI4" s="13">
        <v>-4.0171805769205093E-2</v>
      </c>
      <c r="DJ4" s="13">
        <v>-3.1981322914361947E-2</v>
      </c>
      <c r="DK4" s="13">
        <v>-3.1998563557863242E-2</v>
      </c>
      <c r="DL4" s="13">
        <v>-6.0599394142627723E-2</v>
      </c>
      <c r="DM4" s="13">
        <v>-2.796678431332111E-2</v>
      </c>
      <c r="DN4" s="13">
        <v>4.3845832347869873E-2</v>
      </c>
      <c r="DO4" s="13">
        <v>-3.7243012338876717E-2</v>
      </c>
      <c r="DP4" s="13">
        <v>-2.7684574946761131E-2</v>
      </c>
      <c r="DQ4" s="13">
        <v>3.3728264272212982E-2</v>
      </c>
      <c r="DR4" s="13">
        <v>4.1185859590768807E-2</v>
      </c>
      <c r="DS4" s="13">
        <v>1.235201675444841E-2</v>
      </c>
      <c r="DT4" s="13">
        <v>-4.7935560345649719E-2</v>
      </c>
      <c r="DU4" s="13">
        <v>-3.8289569318294532E-2</v>
      </c>
      <c r="DV4" s="13">
        <v>-2.212706953287125E-2</v>
      </c>
      <c r="DW4" s="13">
        <v>3.067734465003014E-2</v>
      </c>
      <c r="DX4" s="13">
        <v>5.0036542117595673E-2</v>
      </c>
      <c r="DY4" s="13">
        <v>-3.6927513778209693E-2</v>
      </c>
      <c r="DZ4" s="13">
        <v>-2.276518568396568E-2</v>
      </c>
      <c r="EA4" s="13">
        <v>-3.0415996443480249E-3</v>
      </c>
      <c r="EB4" s="13">
        <v>-2.8134334832429889E-2</v>
      </c>
      <c r="EC4" s="13">
        <v>3.842022642493248E-2</v>
      </c>
      <c r="ED4" s="13">
        <v>-2.6526790112257E-2</v>
      </c>
      <c r="EE4" s="13">
        <v>-2.6496067643165588E-2</v>
      </c>
      <c r="EF4" s="13">
        <v>-4.9025822430849082E-2</v>
      </c>
      <c r="EG4" s="13">
        <v>3.9000969380140298E-2</v>
      </c>
      <c r="EH4" s="13">
        <v>-4.1339848190546043E-2</v>
      </c>
      <c r="EI4" s="13">
        <v>-3.1872410327196121E-2</v>
      </c>
      <c r="EJ4" s="13">
        <v>-5.2841221913695344E-3</v>
      </c>
      <c r="EK4" s="13">
        <v>-5.0885953009128571E-2</v>
      </c>
      <c r="EL4" s="13">
        <v>-2.6955738663673401E-2</v>
      </c>
    </row>
    <row r="5" spans="1:142" x14ac:dyDescent="0.55000000000000004">
      <c r="B5" s="14" t="s">
        <v>145</v>
      </c>
      <c r="C5" s="13">
        <v>3.6289624404162169E-4</v>
      </c>
      <c r="D5" s="13">
        <v>-4.7030290588736534E-3</v>
      </c>
      <c r="E5" s="13">
        <v>3.9310019463300698E-2</v>
      </c>
      <c r="F5" s="13">
        <v>-2.5351378135383129E-3</v>
      </c>
      <c r="G5" s="13">
        <v>-8.9769922196865082E-3</v>
      </c>
      <c r="H5" s="13">
        <v>-4.0814103558659554E-3</v>
      </c>
      <c r="I5" s="13">
        <v>-2.2879412397742271E-2</v>
      </c>
      <c r="J5" s="13">
        <v>-5.5557778105139732E-3</v>
      </c>
      <c r="K5" s="13">
        <v>-3.2011959701776498E-2</v>
      </c>
      <c r="L5" s="13">
        <v>-1.318412367254496E-2</v>
      </c>
      <c r="M5" s="13">
        <v>-4.5432569459080696E-3</v>
      </c>
      <c r="N5" s="13">
        <v>-4.1294649243354797E-2</v>
      </c>
      <c r="O5" s="13">
        <v>-4.1241466999053962E-2</v>
      </c>
      <c r="P5" s="13">
        <v>-7.3996227001771331E-4</v>
      </c>
      <c r="Q5" s="13">
        <v>5.5957110598683357E-3</v>
      </c>
      <c r="R5" s="13">
        <v>5.7745538651943207E-4</v>
      </c>
      <c r="S5" s="13">
        <v>3.6454323679208762E-2</v>
      </c>
      <c r="T5" s="13">
        <v>5.9111282229423523E-2</v>
      </c>
      <c r="U5" s="13">
        <v>-6.631969939917326E-3</v>
      </c>
      <c r="V5" s="13">
        <v>3.140028333291411E-3</v>
      </c>
      <c r="W5" s="13">
        <v>4.2909816838800907E-3</v>
      </c>
      <c r="X5" s="13">
        <v>9.7454310161992908E-4</v>
      </c>
      <c r="Y5" s="13">
        <v>-5.0387335941195488E-3</v>
      </c>
      <c r="Z5" s="13">
        <v>1.1117637623101471E-3</v>
      </c>
      <c r="AA5" s="13">
        <v>8.0119017511606216E-3</v>
      </c>
      <c r="AB5" s="13">
        <v>-5.6261434219777584E-3</v>
      </c>
      <c r="AC5" s="13">
        <v>-1.187489461153746E-2</v>
      </c>
      <c r="AD5" s="13">
        <v>-3.4900698810815811E-2</v>
      </c>
      <c r="AE5" s="13">
        <v>0.1127459183335304</v>
      </c>
      <c r="AF5" s="13">
        <v>4.2073335498571403E-2</v>
      </c>
      <c r="AG5" s="13">
        <v>-3.4655437339097261E-3</v>
      </c>
      <c r="AH5" s="13">
        <v>-1.322280615568161E-3</v>
      </c>
      <c r="AI5" s="13">
        <v>-5.5107235675677657E-4</v>
      </c>
      <c r="AJ5" s="13">
        <v>2.1587325260043141E-2</v>
      </c>
      <c r="AK5" s="13">
        <v>-1.009204611182213E-2</v>
      </c>
      <c r="AL5" s="13">
        <v>3.0231490731239319E-2</v>
      </c>
      <c r="AM5" s="13">
        <v>-3.376553300768137E-3</v>
      </c>
      <c r="AN5" s="13">
        <v>2.2095214808359739E-4</v>
      </c>
      <c r="AO5" s="13">
        <v>4.6456549316644669E-3</v>
      </c>
      <c r="AP5" s="13">
        <v>-1.433362369425595E-3</v>
      </c>
      <c r="AQ5" s="13">
        <v>5.6547252461314201E-4</v>
      </c>
      <c r="AR5" s="13">
        <v>8.8455207878723741E-4</v>
      </c>
      <c r="AS5" s="13">
        <v>-7.5138173997402191E-3</v>
      </c>
      <c r="AT5" s="13">
        <v>3.9739634841680527E-2</v>
      </c>
      <c r="AU5" s="13">
        <v>-4.4755846261978149E-2</v>
      </c>
      <c r="AV5" s="13">
        <v>1.531134266406298E-2</v>
      </c>
      <c r="AW5" s="13">
        <v>-7.7996831387281418E-3</v>
      </c>
      <c r="AX5" s="13">
        <v>-6.6344905644655228E-3</v>
      </c>
      <c r="AY5" s="13">
        <v>-5.8644581586122513E-3</v>
      </c>
      <c r="AZ5" s="13">
        <v>1.6232047230005261E-2</v>
      </c>
      <c r="BA5" s="13">
        <v>3.7022528704255819E-3</v>
      </c>
      <c r="BB5" s="13">
        <v>-4.0927533060312271E-2</v>
      </c>
      <c r="BC5" s="13">
        <v>5.2334512583911419E-3</v>
      </c>
      <c r="BD5" s="13">
        <v>-1.16312550380826E-2</v>
      </c>
      <c r="BE5" s="13">
        <v>2.2965032607316971E-2</v>
      </c>
      <c r="BF5" s="13">
        <v>6.3186627812683582E-3</v>
      </c>
      <c r="BG5" s="13">
        <v>-3.5152919590473179E-3</v>
      </c>
      <c r="BH5" s="13">
        <v>-1.207283115945756E-3</v>
      </c>
      <c r="BI5" s="13">
        <v>3.6210671532899141E-3</v>
      </c>
      <c r="BJ5" s="13">
        <v>4.7536559402942657E-2</v>
      </c>
      <c r="BK5" s="13">
        <v>-3.1086509115993981E-3</v>
      </c>
      <c r="BL5" s="13">
        <v>1.071612164378166E-2</v>
      </c>
      <c r="BM5" s="13">
        <v>1.187751535326242E-3</v>
      </c>
      <c r="BN5" s="13">
        <v>1.7234014347195629E-2</v>
      </c>
      <c r="BO5" s="13">
        <v>-4.7961845993995673E-2</v>
      </c>
      <c r="BP5" s="13">
        <v>3.9902324788272381E-3</v>
      </c>
      <c r="BQ5" s="13">
        <v>-4.4092379510402679E-2</v>
      </c>
      <c r="BR5" s="13">
        <v>6.221311166882515E-3</v>
      </c>
      <c r="BS5" s="13">
        <v>2.4535989388823509E-2</v>
      </c>
      <c r="BT5" s="13">
        <v>4.5816980302333832E-2</v>
      </c>
      <c r="BU5" s="13">
        <v>6.3894698396325111E-3</v>
      </c>
      <c r="BV5" s="13">
        <v>-3.2226834446191788E-2</v>
      </c>
      <c r="BW5" s="13">
        <v>-4.5471269637346268E-2</v>
      </c>
      <c r="BX5" s="13">
        <v>-2.8136062901467081E-3</v>
      </c>
      <c r="BY5" s="13">
        <v>1.4142453670501711E-2</v>
      </c>
      <c r="BZ5" s="13">
        <v>9.5615731552243233E-3</v>
      </c>
      <c r="CA5" s="13">
        <v>-1.1941260658204561E-2</v>
      </c>
      <c r="CB5" s="13">
        <v>-4.052068293094635E-2</v>
      </c>
      <c r="CC5" s="13">
        <v>-2.7640594635158782E-3</v>
      </c>
      <c r="CD5" s="13">
        <v>-5.609588697552681E-4</v>
      </c>
      <c r="CE5" s="13">
        <v>9.2240404337644577E-3</v>
      </c>
      <c r="CF5" s="13">
        <v>2.2036917507648468E-3</v>
      </c>
      <c r="CG5" s="13">
        <v>-0.13772884011268621</v>
      </c>
      <c r="CH5" s="13">
        <v>2.2008614614605899E-3</v>
      </c>
      <c r="CI5" s="13">
        <v>-9.7536045359447598E-4</v>
      </c>
      <c r="CJ5" s="13">
        <v>1.973877660930157E-4</v>
      </c>
      <c r="CK5" s="13">
        <v>-1.8111476674675939E-4</v>
      </c>
      <c r="CL5" s="13">
        <v>-7.6191104017198086E-4</v>
      </c>
      <c r="CM5" s="13">
        <v>9.0873483568429947E-3</v>
      </c>
      <c r="CN5" s="13">
        <v>3.9870841428637496E-3</v>
      </c>
      <c r="CO5" s="13">
        <v>7.4081374332308769E-3</v>
      </c>
      <c r="CP5" s="13">
        <v>1.7250750679522751E-3</v>
      </c>
      <c r="CQ5" s="13">
        <v>1.0243877768516541E-2</v>
      </c>
      <c r="CR5" s="13">
        <v>6.2684942968189716E-3</v>
      </c>
      <c r="CS5" s="13">
        <v>8.0491055268794298E-4</v>
      </c>
      <c r="CT5" s="13">
        <v>4.5435507781803608E-3</v>
      </c>
      <c r="CU5" s="13">
        <v>1.528298482298851E-3</v>
      </c>
      <c r="CV5" s="13">
        <v>4.1806655935943127E-3</v>
      </c>
      <c r="CW5" s="13">
        <v>1.556450151838362E-3</v>
      </c>
      <c r="CX5" s="13">
        <v>3.210121532902122E-3</v>
      </c>
      <c r="CY5" s="13">
        <v>2.679457189515233E-3</v>
      </c>
      <c r="CZ5" s="13">
        <v>3.764988854527473E-3</v>
      </c>
      <c r="DA5" s="13">
        <v>3.5784679930657148E-3</v>
      </c>
      <c r="DB5" s="13">
        <v>1.9439185271039609E-3</v>
      </c>
      <c r="DC5" s="13">
        <v>1.0020709596574311E-3</v>
      </c>
      <c r="DD5" s="13">
        <v>9.9925734102725983E-3</v>
      </c>
      <c r="DE5" s="13">
        <v>2.5877245934680099E-4</v>
      </c>
      <c r="DF5" s="13">
        <v>-1.7707206308841709E-2</v>
      </c>
      <c r="DG5" s="13">
        <v>-4.9888982903212309E-4</v>
      </c>
      <c r="DH5" s="13">
        <v>-1.3163026887923479E-3</v>
      </c>
      <c r="DI5" s="13">
        <v>-1.4552123844623569E-2</v>
      </c>
      <c r="DJ5" s="13">
        <v>9.9625419825315475E-3</v>
      </c>
      <c r="DK5" s="13">
        <v>-3.4113347064703699E-3</v>
      </c>
      <c r="DL5" s="13">
        <v>1.083631254732609E-2</v>
      </c>
      <c r="DM5" s="13">
        <v>5.2681826055049896E-3</v>
      </c>
      <c r="DN5" s="13">
        <v>-5.4682022891938686E-4</v>
      </c>
      <c r="DO5" s="13">
        <v>6.5767709165811539E-3</v>
      </c>
      <c r="DP5" s="13">
        <v>-1.6435611760243769E-3</v>
      </c>
      <c r="DQ5" s="13">
        <v>5.4094893857836723E-4</v>
      </c>
      <c r="DR5" s="13">
        <v>-3.4784905146807428E-3</v>
      </c>
      <c r="DS5" s="13">
        <v>1.484264037571847E-3</v>
      </c>
      <c r="DT5" s="13">
        <v>3.8467980921268459E-3</v>
      </c>
      <c r="DU5" s="13">
        <v>6.0129705816507339E-3</v>
      </c>
      <c r="DV5" s="13">
        <v>9.7504263976588845E-4</v>
      </c>
      <c r="DW5" s="13">
        <v>-3.9665079675614834E-3</v>
      </c>
      <c r="DX5" s="13">
        <v>-2.195812296122313E-3</v>
      </c>
      <c r="DY5" s="13">
        <v>1.573592540808022E-3</v>
      </c>
      <c r="DZ5" s="13">
        <v>2.0844347774982449E-2</v>
      </c>
      <c r="EA5" s="13">
        <v>1.522734062746167E-3</v>
      </c>
      <c r="EB5" s="13">
        <v>-1.3595668133348231E-3</v>
      </c>
      <c r="EC5" s="13">
        <v>-2.191043458878994E-4</v>
      </c>
      <c r="ED5" s="13">
        <v>-7.2382530197501183E-3</v>
      </c>
      <c r="EE5" s="13">
        <v>-1.8102847971022129E-3</v>
      </c>
      <c r="EF5" s="13">
        <v>-1.506768399849534E-3</v>
      </c>
      <c r="EG5" s="13">
        <v>4.9211690202355376E-3</v>
      </c>
      <c r="EH5" s="13">
        <v>1.368552632629871E-2</v>
      </c>
      <c r="EI5" s="13">
        <v>1.2731903698295351E-3</v>
      </c>
      <c r="EJ5" s="13">
        <v>4.1038659401237959E-4</v>
      </c>
      <c r="EK5" s="13">
        <v>1.3772393576800821E-3</v>
      </c>
      <c r="EL5" s="13">
        <v>1.5154600143432621E-2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5">
        <v>0.11254352719484539</v>
      </c>
      <c r="D9" s="15">
        <v>3.4097092674766981E-2</v>
      </c>
      <c r="E9" s="15">
        <v>-3.4092260699407372E-2</v>
      </c>
      <c r="F9" s="15">
        <v>-1.6058652052230761E-2</v>
      </c>
      <c r="G9" s="15">
        <v>-3.2385095991844209E-3</v>
      </c>
      <c r="H9" s="15">
        <v>3.7901102181058133E-2</v>
      </c>
      <c r="I9" s="15">
        <v>0.1965804247315599</v>
      </c>
      <c r="J9" s="15">
        <v>0.1237480024553423</v>
      </c>
      <c r="K9" s="15">
        <v>-3.4480581182707408E-3</v>
      </c>
      <c r="L9" s="15">
        <v>5.6295168092590213E-2</v>
      </c>
      <c r="M9" s="15">
        <v>-3.3270600801394837E-2</v>
      </c>
      <c r="N9" s="15">
        <v>0.13532465860422921</v>
      </c>
      <c r="O9" s="15">
        <v>2.9695310315939211E-2</v>
      </c>
      <c r="P9" s="15">
        <v>-7.5919535735049448E-2</v>
      </c>
      <c r="Q9" s="15">
        <v>-6.2747606103742651E-2</v>
      </c>
      <c r="R9" s="15">
        <v>3.4334773497897583E-2</v>
      </c>
      <c r="S9" s="15">
        <v>-0.11448918064350951</v>
      </c>
      <c r="T9" s="15">
        <v>-0.12841099749903981</v>
      </c>
      <c r="U9" s="15">
        <v>-1.8154029670731559E-2</v>
      </c>
      <c r="V9" s="15">
        <v>9.7284225967770491E-2</v>
      </c>
      <c r="W9" s="15">
        <v>6.4486060268650364E-2</v>
      </c>
      <c r="X9" s="15">
        <v>0.1327038041673102</v>
      </c>
      <c r="Y9" s="15">
        <v>-0.14506291258214879</v>
      </c>
      <c r="Z9" s="15">
        <v>0.15983802373895209</v>
      </c>
      <c r="AA9" s="15">
        <v>-7.943967423672775E-2</v>
      </c>
      <c r="AB9" s="15">
        <v>6.5463770993359177E-2</v>
      </c>
      <c r="AC9" s="15">
        <v>0.1084175724655288</v>
      </c>
      <c r="AD9" s="15">
        <v>3.5162093923887777E-2</v>
      </c>
      <c r="AE9" s="15">
        <v>-0.13259397376979831</v>
      </c>
      <c r="AF9" s="15">
        <v>7.9167281836763165E-2</v>
      </c>
      <c r="AG9" s="15">
        <v>0.14744720008266871</v>
      </c>
      <c r="AH9" s="15">
        <v>0.1081810761945582</v>
      </c>
      <c r="AI9" s="15">
        <v>3.1505045798710121E-2</v>
      </c>
      <c r="AJ9" s="15">
        <v>6.8324574139767447E-2</v>
      </c>
      <c r="AK9" s="15">
        <v>0.13938042010895871</v>
      </c>
      <c r="AL9" s="15">
        <v>1.592744707157312E-3</v>
      </c>
      <c r="AM9" s="15">
        <v>0.1169932331404209</v>
      </c>
      <c r="AN9" s="15">
        <v>0.18348805683608069</v>
      </c>
      <c r="AO9" s="15">
        <v>-1.362463266883975E-2</v>
      </c>
      <c r="AP9" s="15">
        <v>-0.1063675409967041</v>
      </c>
      <c r="AQ9" s="15">
        <v>-2.6929215006442419E-2</v>
      </c>
      <c r="AR9" s="15">
        <v>4.2036530640737653E-2</v>
      </c>
      <c r="AS9" s="15">
        <v>1.8696586580941189E-2</v>
      </c>
      <c r="AT9" s="15">
        <v>5.0640505974700809E-2</v>
      </c>
      <c r="AU9" s="15">
        <v>6.0413158509975098E-2</v>
      </c>
      <c r="AV9" s="15">
        <v>-4.9074616769233352E-2</v>
      </c>
      <c r="AW9" s="15">
        <v>4.1357508732538503E-2</v>
      </c>
      <c r="AX9" s="15">
        <v>0.13272310010770769</v>
      </c>
      <c r="AY9" s="15">
        <v>5.4625779598230978E-2</v>
      </c>
      <c r="AZ9" s="15">
        <v>1.5696796231307941E-2</v>
      </c>
      <c r="BA9" s="15">
        <v>1.2690345442841731E-2</v>
      </c>
      <c r="BB9" s="15">
        <v>0.1043530163836375</v>
      </c>
      <c r="BC9" s="15">
        <v>2.7796633350819049E-2</v>
      </c>
      <c r="BD9" s="15">
        <v>1.578432168905794E-2</v>
      </c>
      <c r="BE9" s="15">
        <v>5.3739937687461103E-2</v>
      </c>
      <c r="BF9" s="15">
        <v>0.15375843628247049</v>
      </c>
      <c r="BG9" s="15">
        <v>0.14726982376849199</v>
      </c>
      <c r="BH9" s="15">
        <v>5.8771534945936843E-2</v>
      </c>
      <c r="BI9" s="15">
        <v>8.9685563511176306E-2</v>
      </c>
      <c r="BJ9" s="15">
        <v>-4.1235808180358727E-2</v>
      </c>
      <c r="BK9" s="15">
        <v>-8.5734728231317864E-2</v>
      </c>
      <c r="BL9" s="15">
        <v>6.5414039984698302E-2</v>
      </c>
      <c r="BM9" s="15">
        <v>-3.1368353257727542E-2</v>
      </c>
      <c r="BN9" s="15">
        <v>3.5359621536754919E-2</v>
      </c>
      <c r="BO9" s="15">
        <v>7.7704284912140056E-2</v>
      </c>
      <c r="BP9" s="15">
        <v>-1.4539108034672661E-2</v>
      </c>
      <c r="BQ9" s="15">
        <v>5.4478664726366338E-2</v>
      </c>
      <c r="BR9" s="15">
        <v>-1.1979953341828281E-2</v>
      </c>
      <c r="BS9" s="15">
        <v>6.1686424636285153E-2</v>
      </c>
      <c r="BT9" s="15">
        <v>1.760973665085316E-2</v>
      </c>
      <c r="BU9" s="15">
        <v>1.762998043724756E-3</v>
      </c>
      <c r="BV9" s="15">
        <v>7.9901428485713702E-2</v>
      </c>
      <c r="BW9" s="15">
        <v>-2.610637658719216E-2</v>
      </c>
      <c r="BX9" s="15">
        <v>2.2152373945232812E-2</v>
      </c>
      <c r="BY9" s="15">
        <v>-7.0677724562749358E-2</v>
      </c>
      <c r="BZ9" s="15">
        <v>0.10127162087670701</v>
      </c>
      <c r="CA9" s="15">
        <v>-0.1116632811959762</v>
      </c>
      <c r="CB9" s="15">
        <v>2.134222205387841E-2</v>
      </c>
      <c r="CC9" s="15">
        <v>-4.7361278925352373E-3</v>
      </c>
      <c r="CD9" s="15">
        <v>0.1795510120924832</v>
      </c>
      <c r="CE9" s="15">
        <v>6.1307642545500363E-2</v>
      </c>
      <c r="CF9" s="15">
        <v>9.1604773996528527E-2</v>
      </c>
      <c r="CG9" s="15">
        <v>9.7692005436922261E-2</v>
      </c>
      <c r="CH9" s="15">
        <v>0.1571471245578184</v>
      </c>
      <c r="CI9" s="15">
        <v>-8.8647186187573918E-2</v>
      </c>
      <c r="CJ9" s="15">
        <v>-1.4935576134504041E-2</v>
      </c>
      <c r="CK9" s="15">
        <v>3.8208336269377141E-2</v>
      </c>
      <c r="CL9" s="15">
        <v>0.31725853511632429</v>
      </c>
      <c r="CM9" s="15">
        <v>-4.9949969650243523E-2</v>
      </c>
      <c r="CN9" s="15">
        <v>-3.8447026726622632E-2</v>
      </c>
      <c r="CO9" s="15">
        <v>7.1081192451511485E-4</v>
      </c>
      <c r="CP9" s="15">
        <v>0.14471257826235909</v>
      </c>
      <c r="CQ9" s="15">
        <v>0.149288994346539</v>
      </c>
      <c r="CR9" s="15">
        <v>-3.9801054122727553E-2</v>
      </c>
      <c r="CS9" s="15">
        <v>-4.6545918793314787E-2</v>
      </c>
      <c r="CT9" s="15">
        <v>3.4133664121905993E-2</v>
      </c>
      <c r="CU9" s="15">
        <v>0.12875405559550171</v>
      </c>
      <c r="CV9" s="15">
        <v>3.1635367740865207E-2</v>
      </c>
      <c r="CW9" s="15">
        <v>4.119456280109754E-2</v>
      </c>
      <c r="CX9" s="15">
        <v>0.16319544033423569</v>
      </c>
      <c r="CY9" s="15">
        <v>-4.3115028212617472E-2</v>
      </c>
      <c r="CZ9" s="15">
        <v>0.22006843680957469</v>
      </c>
      <c r="DA9" s="15">
        <v>-4.1423730334945293E-2</v>
      </c>
      <c r="DB9" s="15">
        <v>-1.1737974262426469E-2</v>
      </c>
      <c r="DC9" s="15">
        <v>0.107771072087255</v>
      </c>
      <c r="DD9" s="15">
        <v>6.7224013666988727E-2</v>
      </c>
      <c r="DE9" s="15">
        <v>-4.0137127901521782E-2</v>
      </c>
      <c r="DF9" s="15">
        <v>3.6396902505257532E-2</v>
      </c>
      <c r="DG9" s="15">
        <v>-9.8061050686251566E-2</v>
      </c>
      <c r="DH9" s="15">
        <v>-1.2045848270744831E-2</v>
      </c>
      <c r="DI9" s="15">
        <v>-8.9410575222380967E-2</v>
      </c>
      <c r="DJ9" s="15">
        <v>5.4992879399294842E-2</v>
      </c>
      <c r="DK9" s="15">
        <v>-5.7186588582312417E-2</v>
      </c>
      <c r="DL9" s="15">
        <v>-2.928430147507266E-2</v>
      </c>
      <c r="DM9" s="15">
        <v>-3.1402929482487282E-2</v>
      </c>
      <c r="DN9" s="15">
        <v>8.4413622954616185E-2</v>
      </c>
      <c r="DO9" s="15">
        <v>4.8170817515011732E-2</v>
      </c>
      <c r="DP9" s="15">
        <v>9.0346423093431022E-2</v>
      </c>
      <c r="DQ9" s="15">
        <v>-0.11867639315134131</v>
      </c>
      <c r="DR9" s="15">
        <v>0.1105075661161839</v>
      </c>
      <c r="DS9" s="15">
        <v>-7.3814619239169932E-2</v>
      </c>
      <c r="DT9" s="15">
        <v>-0.10633883358579729</v>
      </c>
      <c r="DU9" s="15">
        <v>9.6230219291726145E-3</v>
      </c>
      <c r="DV9" s="15">
        <v>0.14417121918934611</v>
      </c>
      <c r="DW9" s="15">
        <v>8.5312212398853907E-2</v>
      </c>
      <c r="DX9" s="15">
        <v>-0.1103801797394762</v>
      </c>
      <c r="DY9" s="15">
        <v>0.12870772422874291</v>
      </c>
      <c r="DZ9" s="15">
        <v>-5.3270106382015507E-2</v>
      </c>
      <c r="EA9" s="15">
        <v>0.17325685573389549</v>
      </c>
      <c r="EB9" s="15">
        <v>1.2264441519363289E-2</v>
      </c>
      <c r="EC9" s="15">
        <v>7.7320493094910028E-2</v>
      </c>
      <c r="ED9" s="15">
        <v>-0.16510373796664821</v>
      </c>
      <c r="EE9" s="15">
        <v>7.7592442823063296E-2</v>
      </c>
      <c r="EF9" s="15">
        <v>5.6688314750610751E-2</v>
      </c>
      <c r="EG9" s="15">
        <v>0.17571439802822439</v>
      </c>
      <c r="EH9" s="15">
        <v>-5.0736758655838161E-2</v>
      </c>
      <c r="EI9" s="15">
        <v>-3.2979674559245421E-2</v>
      </c>
      <c r="EJ9" s="15">
        <v>-0.1750733011862472</v>
      </c>
      <c r="EK9" s="15">
        <v>7.5703332933188719E-2</v>
      </c>
      <c r="EL9" s="15">
        <v>-0.1114587387579748</v>
      </c>
    </row>
    <row r="10" spans="1:142" x14ac:dyDescent="0.55000000000000004">
      <c r="B10" s="11" t="s">
        <v>144</v>
      </c>
      <c r="C10" s="15">
        <v>-0.26567505455358248</v>
      </c>
      <c r="D10" s="15">
        <v>-0.26274581990388568</v>
      </c>
      <c r="E10" s="15">
        <v>-7.8695496037138171E-2</v>
      </c>
      <c r="F10" s="15">
        <v>6.5706805469448862E-2</v>
      </c>
      <c r="G10" s="15">
        <v>-5.9999728504775772E-2</v>
      </c>
      <c r="H10" s="15">
        <v>-9.0782628560238207E-2</v>
      </c>
      <c r="I10" s="15">
        <v>-2.954345689308489E-2</v>
      </c>
      <c r="J10" s="15">
        <v>6.8756090039455112E-2</v>
      </c>
      <c r="K10" s="15">
        <v>-4.5430805070771449E-2</v>
      </c>
      <c r="L10" s="15">
        <v>9.2349485138079557E-2</v>
      </c>
      <c r="M10" s="15">
        <v>5.5332373390141881E-3</v>
      </c>
      <c r="N10" s="15">
        <v>-0.2026295564870364</v>
      </c>
      <c r="O10" s="15">
        <v>-5.5439188889443027E-2</v>
      </c>
      <c r="P10" s="15">
        <v>6.3019437760175406E-2</v>
      </c>
      <c r="Q10" s="15">
        <v>-5.112747054382899E-2</v>
      </c>
      <c r="R10" s="15">
        <v>-2.6369264474313892E-3</v>
      </c>
      <c r="S10" s="15">
        <v>0.1173704441530605</v>
      </c>
      <c r="T10" s="15">
        <v>2.8121057846255831E-2</v>
      </c>
      <c r="U10" s="15">
        <v>2.4399698358684819E-2</v>
      </c>
      <c r="V10" s="15">
        <v>2.4693188818731E-3</v>
      </c>
      <c r="W10" s="15">
        <v>-0.1293119914747935</v>
      </c>
      <c r="X10" s="15">
        <v>-7.8183591567789604E-2</v>
      </c>
      <c r="Y10" s="15">
        <v>-1.678906305548444E-2</v>
      </c>
      <c r="Z10" s="15">
        <v>-2.1755871914426388E-2</v>
      </c>
      <c r="AA10" s="15">
        <v>5.6064771790453938E-2</v>
      </c>
      <c r="AB10" s="15">
        <v>-2.615247786751675E-2</v>
      </c>
      <c r="AC10" s="15">
        <v>-7.0545450686771982E-2</v>
      </c>
      <c r="AD10" s="15">
        <v>-4.605935898063749E-2</v>
      </c>
      <c r="AE10" s="15">
        <v>0.13302405295118061</v>
      </c>
      <c r="AF10" s="15">
        <v>-8.9277753929317721E-2</v>
      </c>
      <c r="AG10" s="15">
        <v>-5.9320757676143483E-2</v>
      </c>
      <c r="AH10" s="15">
        <v>-5.524805418175012E-2</v>
      </c>
      <c r="AI10" s="15">
        <v>-3.4432890200783002E-2</v>
      </c>
      <c r="AJ10" s="15">
        <v>-1.011820247094234E-3</v>
      </c>
      <c r="AK10" s="15">
        <v>1.008019446982307E-2</v>
      </c>
      <c r="AL10" s="15">
        <v>-0.1198837103689446</v>
      </c>
      <c r="AM10" s="15">
        <v>-5.2132142811929863E-3</v>
      </c>
      <c r="AN10" s="15">
        <v>-0.1083439053885159</v>
      </c>
      <c r="AO10" s="15">
        <v>-5.8361175798082462E-2</v>
      </c>
      <c r="AP10" s="15">
        <v>1.0829655057507581E-2</v>
      </c>
      <c r="AQ10" s="15">
        <v>9.1678033193309406E-3</v>
      </c>
      <c r="AR10" s="15">
        <v>9.4714182380649631E-2</v>
      </c>
      <c r="AS10" s="15">
        <v>-2.4402385221541981E-2</v>
      </c>
      <c r="AT10" s="15">
        <v>2.0132029133382761E-3</v>
      </c>
      <c r="AU10" s="15">
        <v>-0.16715058449206099</v>
      </c>
      <c r="AV10" s="15">
        <v>3.39722622946841E-2</v>
      </c>
      <c r="AW10" s="15">
        <v>-1.6836938460434121E-2</v>
      </c>
      <c r="AX10" s="15">
        <v>-3.4706447726076131E-2</v>
      </c>
      <c r="AY10" s="15">
        <v>5.1832253085072376E-3</v>
      </c>
      <c r="AZ10" s="15">
        <v>-0.1197365697081416</v>
      </c>
      <c r="BA10" s="15">
        <v>-0.13521272855601499</v>
      </c>
      <c r="BB10" s="15">
        <v>1.6981999860284199E-2</v>
      </c>
      <c r="BC10" s="15">
        <v>2.3074367921310051E-2</v>
      </c>
      <c r="BD10" s="15">
        <v>-0.1199945402797801</v>
      </c>
      <c r="BE10" s="15">
        <v>0.1293284806358245</v>
      </c>
      <c r="BF10" s="15">
        <v>1.670991495350807E-2</v>
      </c>
      <c r="BG10" s="15">
        <v>-2.230674739417764E-2</v>
      </c>
      <c r="BH10" s="15">
        <v>3.9303080879793402E-2</v>
      </c>
      <c r="BI10" s="15">
        <v>-0.10048887626807319</v>
      </c>
      <c r="BJ10" s="15">
        <v>-0.1019902758550493</v>
      </c>
      <c r="BK10" s="15">
        <v>9.9875650710373395E-2</v>
      </c>
      <c r="BL10" s="15">
        <v>-3.2934037128584212E-2</v>
      </c>
      <c r="BM10" s="15">
        <v>2.6287500286370859E-2</v>
      </c>
      <c r="BN10" s="15">
        <v>0.10734549372172041</v>
      </c>
      <c r="BO10" s="15">
        <v>-2.560633684172503E-2</v>
      </c>
      <c r="BP10" s="15">
        <v>0.1224117716945187</v>
      </c>
      <c r="BQ10" s="15">
        <v>-4.5440179315565543E-2</v>
      </c>
      <c r="BR10" s="15">
        <v>-7.1268977479060053E-2</v>
      </c>
      <c r="BS10" s="15">
        <v>-6.8098859473969778E-2</v>
      </c>
      <c r="BT10" s="15">
        <v>9.2203281802799297E-2</v>
      </c>
      <c r="BU10" s="15">
        <v>8.2899617876138199E-2</v>
      </c>
      <c r="BV10" s="15">
        <v>-4.130112652813582E-2</v>
      </c>
      <c r="BW10" s="15">
        <v>-9.9351181954097256E-2</v>
      </c>
      <c r="BX10" s="15">
        <v>-3.8144887371555511E-2</v>
      </c>
      <c r="BY10" s="15">
        <v>0.1124874209627638</v>
      </c>
      <c r="BZ10" s="15">
        <v>-3.788028283020467E-2</v>
      </c>
      <c r="CA10" s="15">
        <v>-9.1542003092521695E-2</v>
      </c>
      <c r="CB10" s="15">
        <v>-0.1246325581241329</v>
      </c>
      <c r="CC10" s="15">
        <v>-6.1699945697747768E-2</v>
      </c>
      <c r="CD10" s="15">
        <v>-7.5868372082101454E-2</v>
      </c>
      <c r="CE10" s="15">
        <v>-0.22128938457069761</v>
      </c>
      <c r="CF10" s="15">
        <v>8.6756078182217526E-3</v>
      </c>
      <c r="CG10" s="15">
        <v>3.1786264351565383E-2</v>
      </c>
      <c r="CH10" s="15">
        <v>-3.7814115900760462E-2</v>
      </c>
      <c r="CI10" s="15">
        <v>4.9549068421342352E-2</v>
      </c>
      <c r="CJ10" s="15">
        <v>-1.042967726944298E-2</v>
      </c>
      <c r="CK10" s="15">
        <v>-8.3344347452881107E-2</v>
      </c>
      <c r="CL10" s="15">
        <v>-5.3422112199779673E-2</v>
      </c>
      <c r="CM10" s="15">
        <v>0.19037761081281751</v>
      </c>
      <c r="CN10" s="15">
        <v>5.8217828531197863E-2</v>
      </c>
      <c r="CO10" s="15">
        <v>-0.14266651702027849</v>
      </c>
      <c r="CP10" s="15">
        <v>4.1776778694119977E-2</v>
      </c>
      <c r="CQ10" s="15">
        <v>-0.16944775200646889</v>
      </c>
      <c r="CR10" s="15">
        <v>-8.4810245274174231E-2</v>
      </c>
      <c r="CS10" s="15">
        <v>-3.4770869542404131E-2</v>
      </c>
      <c r="CT10" s="15">
        <v>-0.11929694980334619</v>
      </c>
      <c r="CU10" s="15">
        <v>-1.779517889847566E-2</v>
      </c>
      <c r="CV10" s="15">
        <v>-1.483412755555793E-2</v>
      </c>
      <c r="CW10" s="15">
        <v>-4.6319066249875078E-2</v>
      </c>
      <c r="CX10" s="15">
        <v>-9.6634689890429795E-2</v>
      </c>
      <c r="CY10" s="15">
        <v>-7.883438544026268E-2</v>
      </c>
      <c r="CZ10" s="15">
        <v>-0.2125263535938974</v>
      </c>
      <c r="DA10" s="15">
        <v>-0.1136855216267028</v>
      </c>
      <c r="DB10" s="15">
        <v>-0.18310190466084611</v>
      </c>
      <c r="DC10" s="15">
        <v>-4.2499864903571542E-2</v>
      </c>
      <c r="DD10" s="15">
        <v>2.7817596126079671E-2</v>
      </c>
      <c r="DE10" s="15">
        <v>6.8607937224559601E-2</v>
      </c>
      <c r="DF10" s="15">
        <v>-0.13309486152009481</v>
      </c>
      <c r="DG10" s="15">
        <v>0.22249786674263289</v>
      </c>
      <c r="DH10" s="15">
        <v>-0.13075878208175709</v>
      </c>
      <c r="DI10" s="15">
        <v>-0.10969183429127349</v>
      </c>
      <c r="DJ10" s="15">
        <v>-0.1104737212515987</v>
      </c>
      <c r="DK10" s="15">
        <v>8.5555391670562406E-2</v>
      </c>
      <c r="DL10" s="15">
        <v>-3.7902763836408108E-2</v>
      </c>
      <c r="DM10" s="15">
        <v>8.3550634753187636E-2</v>
      </c>
      <c r="DN10" s="15">
        <v>-5.5064654277631388E-2</v>
      </c>
      <c r="DO10" s="15">
        <v>-9.1404376141589916E-2</v>
      </c>
      <c r="DP10" s="15">
        <v>-0.14635791180718299</v>
      </c>
      <c r="DQ10" s="15">
        <v>7.2584409538635583E-2</v>
      </c>
      <c r="DR10" s="15">
        <v>-3.6982983260269622E-2</v>
      </c>
      <c r="DS10" s="15">
        <v>-0.158488727508035</v>
      </c>
      <c r="DT10" s="15">
        <v>-7.6734870836893357E-2</v>
      </c>
      <c r="DU10" s="15">
        <v>0.14652329977066769</v>
      </c>
      <c r="DV10" s="15">
        <v>9.2142528558957857E-3</v>
      </c>
      <c r="DW10" s="15">
        <v>-0.12809453124946879</v>
      </c>
      <c r="DX10" s="15">
        <v>-5.7788778278884997E-2</v>
      </c>
      <c r="DY10" s="15">
        <v>-0.1035307067347504</v>
      </c>
      <c r="DZ10" s="15">
        <v>-5.3247234161851183E-2</v>
      </c>
      <c r="EA10" s="15">
        <v>-0.111011221175726</v>
      </c>
      <c r="EB10" s="15">
        <v>-5.7337041607399442E-2</v>
      </c>
      <c r="EC10" s="15">
        <v>5.3167126851357938E-2</v>
      </c>
      <c r="ED10" s="15">
        <v>5.5871006445993431E-2</v>
      </c>
      <c r="EE10" s="15">
        <v>0.15335804459764099</v>
      </c>
      <c r="EF10" s="15">
        <v>-0.1142313624752139</v>
      </c>
      <c r="EG10" s="15">
        <v>-4.400561671271231E-2</v>
      </c>
      <c r="EH10" s="15">
        <v>1.7544151566088462E-2</v>
      </c>
      <c r="EI10" s="15">
        <v>8.6430773370832076E-2</v>
      </c>
      <c r="EJ10" s="15">
        <v>0.13519054567508229</v>
      </c>
      <c r="EK10" s="15">
        <v>0.12749821521826099</v>
      </c>
      <c r="EL10" s="15">
        <v>-3.0403121056760539E-2</v>
      </c>
    </row>
    <row r="11" spans="1:142" x14ac:dyDescent="0.55000000000000004">
      <c r="B11" s="14" t="s">
        <v>145</v>
      </c>
      <c r="C11" s="15">
        <v>-2.4114962812585919E-2</v>
      </c>
      <c r="D11" s="15">
        <v>0.14010060111552411</v>
      </c>
      <c r="E11" s="15">
        <v>-5.4828677455158086E-3</v>
      </c>
      <c r="F11" s="15">
        <v>-4.8067960102790332E-2</v>
      </c>
      <c r="G11" s="15">
        <v>9.8556491354310036E-2</v>
      </c>
      <c r="H11" s="15">
        <v>4.0265398787534858E-3</v>
      </c>
      <c r="I11" s="15">
        <v>-5.4392917239937437E-2</v>
      </c>
      <c r="J11" s="15">
        <v>-7.8467922997838349E-4</v>
      </c>
      <c r="K11" s="15">
        <v>3.1985649512948161E-2</v>
      </c>
      <c r="L11" s="15">
        <v>-5.2053083064414014E-3</v>
      </c>
      <c r="M11" s="15">
        <v>8.3785174984597616E-2</v>
      </c>
      <c r="N11" s="15">
        <v>-5.6914477640470737E-2</v>
      </c>
      <c r="O11" s="15">
        <v>6.8510420248044046E-2</v>
      </c>
      <c r="P11" s="15">
        <v>2.8609346498670672E-2</v>
      </c>
      <c r="Q11" s="15">
        <v>6.6853829019368621E-2</v>
      </c>
      <c r="R11" s="15">
        <v>-2.201858603624411E-3</v>
      </c>
      <c r="S11" s="15">
        <v>0.1343008906380988</v>
      </c>
      <c r="T11" s="15">
        <v>0.1309180760976566</v>
      </c>
      <c r="U11" s="15">
        <v>1.3133991417421231E-2</v>
      </c>
      <c r="V11" s="15">
        <v>2.61831641349142E-2</v>
      </c>
      <c r="W11" s="15">
        <v>-9.4297429450524356E-2</v>
      </c>
      <c r="X11" s="15">
        <v>-0.30132339061689511</v>
      </c>
      <c r="Y11" s="15">
        <v>0.1084289471208703</v>
      </c>
      <c r="Z11" s="15">
        <v>-0.14174493457566439</v>
      </c>
      <c r="AA11" s="15">
        <v>0.1170212362473879</v>
      </c>
      <c r="AB11" s="15">
        <v>-2.2180044331716751E-2</v>
      </c>
      <c r="AC11" s="15">
        <v>-8.6460961175666734E-2</v>
      </c>
      <c r="AD11" s="15">
        <v>2.1464873900864909E-2</v>
      </c>
      <c r="AE11" s="15">
        <v>0.15421823665631779</v>
      </c>
      <c r="AF11" s="15">
        <v>-0.14648944763122149</v>
      </c>
      <c r="AG11" s="15">
        <v>-4.7015552205449541E-2</v>
      </c>
      <c r="AH11" s="15">
        <v>1.969019876271335E-2</v>
      </c>
      <c r="AI11" s="15">
        <v>3.9309116183651453E-2</v>
      </c>
      <c r="AJ11" s="15">
        <v>-2.662352474820744E-2</v>
      </c>
      <c r="AK11" s="15">
        <v>-2.5125101663330471E-2</v>
      </c>
      <c r="AL11" s="15">
        <v>-0.10344397184102611</v>
      </c>
      <c r="AM11" s="15">
        <v>6.1900719649520007E-2</v>
      </c>
      <c r="AN11" s="15">
        <v>7.6731055204870405E-2</v>
      </c>
      <c r="AO11" s="15">
        <v>9.8982722791890534E-2</v>
      </c>
      <c r="AP11" s="15">
        <v>5.4076693168316682E-2</v>
      </c>
      <c r="AQ11" s="15">
        <v>-3.0251892003178519E-2</v>
      </c>
      <c r="AR11" s="15">
        <v>4.4910599246769629E-4</v>
      </c>
      <c r="AS11" s="15">
        <v>7.0194262215074882E-2</v>
      </c>
      <c r="AT11" s="15">
        <v>0.17429282176026459</v>
      </c>
      <c r="AU11" s="15">
        <v>-8.1385665847374042E-2</v>
      </c>
      <c r="AV11" s="15">
        <v>0.15075612499263449</v>
      </c>
      <c r="AW11" s="15">
        <v>5.7401717870801443E-2</v>
      </c>
      <c r="AX11" s="15">
        <v>-0.15692285452171439</v>
      </c>
      <c r="AY11" s="15">
        <v>4.7095411994913447E-2</v>
      </c>
      <c r="AZ11" s="15">
        <v>-5.7117988229242828E-2</v>
      </c>
      <c r="BA11" s="15">
        <v>-2.2411435185763991E-2</v>
      </c>
      <c r="BB11" s="15">
        <v>-0.15274623447102989</v>
      </c>
      <c r="BC11" s="15">
        <v>2.2968193190456811E-2</v>
      </c>
      <c r="BD11" s="15">
        <v>1.041266581327727E-3</v>
      </c>
      <c r="BE11" s="15">
        <v>-0.13310702807101221</v>
      </c>
      <c r="BF11" s="15">
        <v>-0.19610968127654599</v>
      </c>
      <c r="BG11" s="15">
        <v>-0.18881309175704289</v>
      </c>
      <c r="BH11" s="15">
        <v>-0.1007170444134215</v>
      </c>
      <c r="BI11" s="15">
        <v>-0.12578121674239851</v>
      </c>
      <c r="BJ11" s="15">
        <v>-1.094669670587667E-2</v>
      </c>
      <c r="BK11" s="15">
        <v>-6.1548923063932129E-2</v>
      </c>
      <c r="BL11" s="15">
        <v>-0.15045858166371609</v>
      </c>
      <c r="BM11" s="15">
        <v>0.12760274496348589</v>
      </c>
      <c r="BN11" s="15">
        <v>-1.7866802671994149E-2</v>
      </c>
      <c r="BO11" s="15">
        <v>-2.532395528347867E-2</v>
      </c>
      <c r="BP11" s="15">
        <v>4.0051232116699122E-2</v>
      </c>
      <c r="BQ11" s="15">
        <v>-4.2262606377664567E-2</v>
      </c>
      <c r="BR11" s="15">
        <v>0.17888215044890809</v>
      </c>
      <c r="BS11" s="15">
        <v>-9.912904509256E-2</v>
      </c>
      <c r="BT11" s="15">
        <v>4.0560012135895447E-2</v>
      </c>
      <c r="BU11" s="15">
        <v>6.3241856113882139E-2</v>
      </c>
      <c r="BV11" s="15">
        <v>-9.6181908758892015E-2</v>
      </c>
      <c r="BW11" s="15">
        <v>-0.1360628544407668</v>
      </c>
      <c r="BX11" s="15">
        <v>-5.021931394244135E-3</v>
      </c>
      <c r="BY11" s="15">
        <v>0.11233989094804429</v>
      </c>
      <c r="BZ11" s="15">
        <v>3.4223088384557322E-2</v>
      </c>
      <c r="CA11" s="15">
        <v>7.0051209195934647E-2</v>
      </c>
      <c r="CB11" s="15">
        <v>2.3662882656538931E-2</v>
      </c>
      <c r="CC11" s="15">
        <v>9.3938184255933657E-2</v>
      </c>
      <c r="CD11" s="15">
        <v>-2.991396747850103E-2</v>
      </c>
      <c r="CE11" s="15">
        <v>-0.106852361052127</v>
      </c>
      <c r="CF11" s="15">
        <v>-5.8583351809868033E-2</v>
      </c>
      <c r="CG11" s="15">
        <v>-0.1185641035857604</v>
      </c>
      <c r="CH11" s="15">
        <v>-4.7815465005176118E-2</v>
      </c>
      <c r="CI11" s="15">
        <v>-6.1561116349960178E-2</v>
      </c>
      <c r="CJ11" s="15">
        <v>0.22741940960138179</v>
      </c>
      <c r="CK11" s="15">
        <v>0.13323879996032881</v>
      </c>
      <c r="CL11" s="15">
        <v>4.026151400927732E-2</v>
      </c>
      <c r="CM11" s="15">
        <v>-7.3899373789768755E-2</v>
      </c>
      <c r="CN11" s="15">
        <v>0.24689459237762651</v>
      </c>
      <c r="CO11" s="15">
        <v>-0.1044408366251643</v>
      </c>
      <c r="CP11" s="15">
        <v>-1.7008494348603791E-2</v>
      </c>
      <c r="CQ11" s="15">
        <v>-0.2084347050376574</v>
      </c>
      <c r="CR11" s="15">
        <v>-8.395398399164998E-2</v>
      </c>
      <c r="CS11" s="15">
        <v>8.6621279720092453E-2</v>
      </c>
      <c r="CT11" s="15">
        <v>-2.628500997819886E-2</v>
      </c>
      <c r="CU11" s="15">
        <v>-0.29981483838253892</v>
      </c>
      <c r="CV11" s="15">
        <v>0.24030007205262141</v>
      </c>
      <c r="CW11" s="15">
        <v>9.1579360199564808E-2</v>
      </c>
      <c r="CX11" s="15">
        <v>-9.916629584538951E-2</v>
      </c>
      <c r="CY11" s="15">
        <v>0.10766171863634889</v>
      </c>
      <c r="CZ11" s="15">
        <v>-5.4245194329240791E-2</v>
      </c>
      <c r="DA11" s="15">
        <v>8.2532189515883495E-2</v>
      </c>
      <c r="DB11" s="15">
        <v>0.1365100712702266</v>
      </c>
      <c r="DC11" s="15">
        <v>-1.3925395967882609E-2</v>
      </c>
      <c r="DD11" s="15">
        <v>-0.1397956392190878</v>
      </c>
      <c r="DE11" s="15">
        <v>-9.4114369833172007E-2</v>
      </c>
      <c r="DF11" s="15">
        <v>5.2829965902828582E-2</v>
      </c>
      <c r="DG11" s="15">
        <v>-0.1992862571378114</v>
      </c>
      <c r="DH11" s="15">
        <v>0.1021391395115681</v>
      </c>
      <c r="DI11" s="15">
        <v>3.77727977358518E-2</v>
      </c>
      <c r="DJ11" s="15">
        <v>6.5447994136232215E-2</v>
      </c>
      <c r="DK11" s="15">
        <v>5.9654622373488252E-2</v>
      </c>
      <c r="DL11" s="15">
        <v>9.5335573576001684E-2</v>
      </c>
      <c r="DM11" s="15">
        <v>4.0485912002813637E-2</v>
      </c>
      <c r="DN11" s="15">
        <v>3.4939953183281301E-3</v>
      </c>
      <c r="DO11" s="15">
        <v>-0.1061084440817472</v>
      </c>
      <c r="DP11" s="15">
        <v>-0.24479189291211051</v>
      </c>
      <c r="DQ11" s="15">
        <v>0.2138369620719559</v>
      </c>
      <c r="DR11" s="15">
        <v>1.088966551319623E-2</v>
      </c>
      <c r="DS11" s="15">
        <v>0.13411935981786449</v>
      </c>
      <c r="DT11" s="15">
        <v>0.1241719078411765</v>
      </c>
      <c r="DU11" s="15">
        <v>7.8095888662607166E-2</v>
      </c>
      <c r="DV11" s="15">
        <v>-5.3915427843282723E-2</v>
      </c>
      <c r="DW11" s="15">
        <v>-2.382825195586874E-2</v>
      </c>
      <c r="DX11" s="15">
        <v>6.6514734484512852E-2</v>
      </c>
      <c r="DY11" s="15">
        <v>1.936130695330137E-2</v>
      </c>
      <c r="DZ11" s="15">
        <v>1.8750007540164919E-2</v>
      </c>
      <c r="EA11" s="15">
        <v>-0.28354334384011443</v>
      </c>
      <c r="EB11" s="15">
        <v>-0.13389240598058849</v>
      </c>
      <c r="EC11" s="15">
        <v>-2.2714426802967012E-2</v>
      </c>
      <c r="ED11" s="15">
        <v>4.4607042157451017E-2</v>
      </c>
      <c r="EE11" s="15">
        <v>-0.12906100256586769</v>
      </c>
      <c r="EF11" s="15">
        <v>-6.5742551537967042E-2</v>
      </c>
      <c r="EG11" s="15">
        <v>-0.117222832850104</v>
      </c>
      <c r="EH11" s="15">
        <v>-2.6547499359558489E-2</v>
      </c>
      <c r="EI11" s="15">
        <v>-3.3015556157341149E-2</v>
      </c>
      <c r="EJ11" s="15">
        <v>4.5977172621091293E-2</v>
      </c>
      <c r="EK11" s="15">
        <v>-6.9235533806273369E-2</v>
      </c>
      <c r="EL11" s="15">
        <v>1.468433610599224E-2</v>
      </c>
    </row>
    <row r="13" spans="1:142" x14ac:dyDescent="0.55000000000000004">
      <c r="A13" s="12" t="s">
        <v>255</v>
      </c>
      <c r="B13" s="11" t="s">
        <v>143</v>
      </c>
      <c r="C13" s="12">
        <f t="shared" ref="C13:AH13" si="0">(C3-C9)^2</f>
        <v>2.635650526882579E-3</v>
      </c>
      <c r="D13" s="12">
        <f t="shared" si="0"/>
        <v>1.4756536482502241E-3</v>
      </c>
      <c r="E13" s="12">
        <f t="shared" si="0"/>
        <v>1.0345703549755232E-3</v>
      </c>
      <c r="F13" s="12">
        <f t="shared" si="0"/>
        <v>5.7953471428750271E-3</v>
      </c>
      <c r="G13" s="12">
        <f t="shared" si="0"/>
        <v>3.3839436405952382E-3</v>
      </c>
      <c r="H13" s="12">
        <f t="shared" si="0"/>
        <v>3.2119585257143725E-6</v>
      </c>
      <c r="I13" s="12">
        <f t="shared" si="0"/>
        <v>2.41189863212047E-2</v>
      </c>
      <c r="J13" s="12">
        <f t="shared" si="0"/>
        <v>7.0088307458941283E-3</v>
      </c>
      <c r="K13" s="12">
        <f t="shared" si="0"/>
        <v>2.3699101096887835E-4</v>
      </c>
      <c r="L13" s="12">
        <f t="shared" si="0"/>
        <v>4.5400168271828083E-4</v>
      </c>
      <c r="M13" s="12">
        <f t="shared" si="0"/>
        <v>5.8126652557711966E-3</v>
      </c>
      <c r="N13" s="12">
        <f t="shared" si="0"/>
        <v>7.0602195626166897E-3</v>
      </c>
      <c r="O13" s="12">
        <f t="shared" si="0"/>
        <v>1.4078945165730886E-3</v>
      </c>
      <c r="P13" s="12">
        <f t="shared" si="0"/>
        <v>3.2163547257825571E-3</v>
      </c>
      <c r="Q13" s="12">
        <f t="shared" si="0"/>
        <v>9.8884147405903025E-3</v>
      </c>
      <c r="R13" s="12">
        <f t="shared" si="0"/>
        <v>5.2982508154136073E-4</v>
      </c>
      <c r="S13" s="12">
        <f t="shared" si="0"/>
        <v>2.9835767564074103E-2</v>
      </c>
      <c r="T13" s="12">
        <f t="shared" si="0"/>
        <v>3.4651314241723533E-2</v>
      </c>
      <c r="U13" s="12">
        <f t="shared" si="0"/>
        <v>1.11934224287632E-2</v>
      </c>
      <c r="V13" s="12">
        <f t="shared" si="0"/>
        <v>1.6133252224355718E-3</v>
      </c>
      <c r="W13" s="12">
        <f t="shared" si="0"/>
        <v>3.4781819715208483E-5</v>
      </c>
      <c r="X13" s="12">
        <f t="shared" si="0"/>
        <v>5.7656432448149695E-3</v>
      </c>
      <c r="Y13" s="12">
        <f t="shared" si="0"/>
        <v>4.1891726204136288E-2</v>
      </c>
      <c r="Z13" s="12">
        <f t="shared" si="0"/>
        <v>1.0652877281824591E-2</v>
      </c>
      <c r="AA13" s="12">
        <f t="shared" si="0"/>
        <v>1.8910491458557055E-2</v>
      </c>
      <c r="AB13" s="12">
        <f t="shared" si="0"/>
        <v>4.2806170646359656E-5</v>
      </c>
      <c r="AC13" s="12">
        <f t="shared" si="0"/>
        <v>2.6241591175229181E-3</v>
      </c>
      <c r="AD13" s="12">
        <f t="shared" si="0"/>
        <v>1.7558268803312733E-4</v>
      </c>
      <c r="AE13" s="12">
        <f t="shared" si="0"/>
        <v>3.1627206470991182E-2</v>
      </c>
      <c r="AF13" s="12">
        <f t="shared" si="0"/>
        <v>1.5717543067137844E-3</v>
      </c>
      <c r="AG13" s="12">
        <f t="shared" si="0"/>
        <v>8.4744992169316965E-3</v>
      </c>
      <c r="AH13" s="12">
        <f t="shared" si="0"/>
        <v>8.7417359876948639E-3</v>
      </c>
      <c r="AI13" s="12">
        <f t="shared" ref="AI13:BN13" si="1">(AI3-AI9)^2</f>
        <v>3.9668941039248418E-5</v>
      </c>
      <c r="AJ13" s="12">
        <f t="shared" si="1"/>
        <v>8.9303365069131333E-4</v>
      </c>
      <c r="AK13" s="12">
        <f t="shared" si="1"/>
        <v>9.1655905579920115E-3</v>
      </c>
      <c r="AL13" s="12">
        <f t="shared" si="1"/>
        <v>2.9495413952071868E-3</v>
      </c>
      <c r="AM13" s="12">
        <f t="shared" si="1"/>
        <v>5.2770347063147314E-3</v>
      </c>
      <c r="AN13" s="12">
        <f t="shared" si="1"/>
        <v>1.5907018825302165E-2</v>
      </c>
      <c r="AO13" s="12">
        <f t="shared" si="1"/>
        <v>4.1228120846739796E-3</v>
      </c>
      <c r="AP13" s="12">
        <f t="shared" si="1"/>
        <v>2.0322294394496697E-2</v>
      </c>
      <c r="AQ13" s="12">
        <f t="shared" si="1"/>
        <v>6.1248027145613809E-3</v>
      </c>
      <c r="AR13" s="12">
        <f t="shared" si="1"/>
        <v>1.2369404364678834E-4</v>
      </c>
      <c r="AS13" s="12">
        <f t="shared" si="1"/>
        <v>1.2431635902296879E-3</v>
      </c>
      <c r="AT13" s="12">
        <f t="shared" si="1"/>
        <v>6.6509868350351974E-5</v>
      </c>
      <c r="AU13" s="12">
        <f t="shared" si="1"/>
        <v>4.9643306007812293E-4</v>
      </c>
      <c r="AV13" s="12">
        <f t="shared" si="1"/>
        <v>1.1652157473232519E-2</v>
      </c>
      <c r="AW13" s="12">
        <f t="shared" si="1"/>
        <v>4.404310162393536E-5</v>
      </c>
      <c r="AX13" s="12">
        <f t="shared" si="1"/>
        <v>2.1660491953418523E-3</v>
      </c>
      <c r="AY13" s="12">
        <f t="shared" si="1"/>
        <v>2.1381832727034506E-3</v>
      </c>
      <c r="AZ13" s="12">
        <f t="shared" si="1"/>
        <v>8.0159965978367947E-4</v>
      </c>
      <c r="BA13" s="12">
        <f t="shared" si="1"/>
        <v>1.3335238801261925E-3</v>
      </c>
      <c r="BB13" s="12">
        <f t="shared" si="1"/>
        <v>7.7358414737456937E-4</v>
      </c>
      <c r="BC13" s="12">
        <f t="shared" si="1"/>
        <v>5.7040446071080517E-4</v>
      </c>
      <c r="BD13" s="12">
        <f t="shared" si="1"/>
        <v>1.1776334435595916E-3</v>
      </c>
      <c r="BE13" s="12">
        <f t="shared" si="1"/>
        <v>6.6600402669461726E-7</v>
      </c>
      <c r="BF13" s="12">
        <f t="shared" si="1"/>
        <v>1.0167337178766497E-2</v>
      </c>
      <c r="BG13" s="12">
        <f t="shared" si="1"/>
        <v>2.9481227091219225E-2</v>
      </c>
      <c r="BH13" s="12">
        <f t="shared" si="1"/>
        <v>1.8998761167741179E-4</v>
      </c>
      <c r="BI13" s="12">
        <f t="shared" si="1"/>
        <v>2.117142870315257E-2</v>
      </c>
      <c r="BJ13" s="12">
        <f t="shared" si="1"/>
        <v>6.9030434251436852E-4</v>
      </c>
      <c r="BK13" s="12">
        <f t="shared" si="1"/>
        <v>1.9125308657432092E-2</v>
      </c>
      <c r="BL13" s="12">
        <f t="shared" si="1"/>
        <v>7.227108655685161E-3</v>
      </c>
      <c r="BM13" s="12">
        <f t="shared" si="1"/>
        <v>7.0819658434890199E-3</v>
      </c>
      <c r="BN13" s="12">
        <f t="shared" si="1"/>
        <v>4.3618001490338038E-4</v>
      </c>
      <c r="BO13" s="12">
        <f t="shared" ref="BO13:CT13" si="2">(BO3-BO9)^2</f>
        <v>4.2829387873679497E-4</v>
      </c>
      <c r="BP13" s="12">
        <f t="shared" si="2"/>
        <v>5.4560014282447012E-3</v>
      </c>
      <c r="BQ13" s="12">
        <f t="shared" si="2"/>
        <v>3.7572001176064905E-7</v>
      </c>
      <c r="BR13" s="12">
        <f t="shared" si="2"/>
        <v>3.4096661639432088E-3</v>
      </c>
      <c r="BS13" s="12">
        <f t="shared" si="2"/>
        <v>5.3946677449531376E-5</v>
      </c>
      <c r="BT13" s="12">
        <f t="shared" si="2"/>
        <v>1.8766793216443889E-3</v>
      </c>
      <c r="BU13" s="12">
        <f t="shared" si="2"/>
        <v>2.8142854548875475E-3</v>
      </c>
      <c r="BV13" s="12">
        <f t="shared" si="2"/>
        <v>7.4709168173507027E-4</v>
      </c>
      <c r="BW13" s="12">
        <f t="shared" si="2"/>
        <v>4.0147103478424088E-3</v>
      </c>
      <c r="BX13" s="12">
        <f t="shared" si="2"/>
        <v>1.2020794560177672E-3</v>
      </c>
      <c r="BY13" s="12">
        <f t="shared" si="2"/>
        <v>2.2526450188720573E-3</v>
      </c>
      <c r="BZ13" s="12">
        <f t="shared" si="2"/>
        <v>2.2292304308175314E-3</v>
      </c>
      <c r="CA13" s="12">
        <f t="shared" si="2"/>
        <v>2.63407740213886E-2</v>
      </c>
      <c r="CB13" s="12">
        <f t="shared" si="2"/>
        <v>6.3637834343554611E-4</v>
      </c>
      <c r="CC13" s="12">
        <f t="shared" si="2"/>
        <v>3.2414839186157784E-3</v>
      </c>
      <c r="CD13" s="12">
        <f t="shared" si="2"/>
        <v>1.6867278512671561E-2</v>
      </c>
      <c r="CE13" s="12">
        <f t="shared" si="2"/>
        <v>1.8641088902286441E-4</v>
      </c>
      <c r="CF13" s="12">
        <f t="shared" si="2"/>
        <v>1.6897309300574019E-3</v>
      </c>
      <c r="CG13" s="12">
        <f t="shared" si="2"/>
        <v>2.6376318725407416E-3</v>
      </c>
      <c r="CH13" s="12">
        <f t="shared" si="2"/>
        <v>4.3772501687436634E-2</v>
      </c>
      <c r="CI13" s="12">
        <f t="shared" si="2"/>
        <v>1.4736470767605861E-2</v>
      </c>
      <c r="CJ13" s="12">
        <f t="shared" si="2"/>
        <v>5.9316576965554963E-3</v>
      </c>
      <c r="CK13" s="12">
        <f t="shared" si="2"/>
        <v>1.8871335405740988E-4</v>
      </c>
      <c r="CL13" s="12">
        <f t="shared" si="2"/>
        <v>7.0710843217495434E-2</v>
      </c>
      <c r="CM13" s="12">
        <f t="shared" si="2"/>
        <v>9.9483206333935599E-3</v>
      </c>
      <c r="CN13" s="12">
        <f t="shared" si="2"/>
        <v>1.5888489106952872E-4</v>
      </c>
      <c r="CO13" s="12">
        <f t="shared" si="2"/>
        <v>2.2783828337422716E-3</v>
      </c>
      <c r="CP13" s="12">
        <f t="shared" si="2"/>
        <v>1.1319395511880942E-2</v>
      </c>
      <c r="CQ13" s="12">
        <f t="shared" si="2"/>
        <v>1.0663450883782441E-2</v>
      </c>
      <c r="CR13" s="12">
        <f t="shared" si="2"/>
        <v>7.8775070373254003E-3</v>
      </c>
      <c r="CS13" s="12">
        <f t="shared" si="2"/>
        <v>8.8948441373707648E-3</v>
      </c>
      <c r="CT13" s="12">
        <f t="shared" si="2"/>
        <v>5.8177293068000358E-5</v>
      </c>
      <c r="CU13" s="12">
        <f t="shared" ref="CU13:DZ13" si="3">(CU3-CU9)^2</f>
        <v>7.0106910000579392E-3</v>
      </c>
      <c r="CV13" s="12">
        <f t="shared" si="3"/>
        <v>3.7835076008584383E-4</v>
      </c>
      <c r="CW13" s="12">
        <f t="shared" si="3"/>
        <v>2.147350187040406E-5</v>
      </c>
      <c r="CX13" s="12">
        <f t="shared" si="3"/>
        <v>1.2307875326861072E-2</v>
      </c>
      <c r="CY13" s="12">
        <f t="shared" si="3"/>
        <v>9.0481706552593792E-3</v>
      </c>
      <c r="CZ13" s="12">
        <f t="shared" si="3"/>
        <v>3.1343358212670654E-2</v>
      </c>
      <c r="DA13" s="12">
        <f t="shared" si="3"/>
        <v>7.3814869167437283E-3</v>
      </c>
      <c r="DB13" s="12">
        <f t="shared" si="3"/>
        <v>4.2935257320380433E-3</v>
      </c>
      <c r="DC13" s="12">
        <f t="shared" si="3"/>
        <v>3.0329618856613939E-3</v>
      </c>
      <c r="DD13" s="12">
        <f t="shared" si="3"/>
        <v>9.8948955881440976E-4</v>
      </c>
      <c r="DE13" s="12">
        <f t="shared" si="3"/>
        <v>8.6123467543495705E-3</v>
      </c>
      <c r="DF13" s="12">
        <f t="shared" si="3"/>
        <v>8.3541085310594044E-5</v>
      </c>
      <c r="DG13" s="12">
        <f t="shared" si="3"/>
        <v>1.7565959423452238E-2</v>
      </c>
      <c r="DH13" s="12">
        <f t="shared" si="3"/>
        <v>3.6226749631533125E-3</v>
      </c>
      <c r="DI13" s="12">
        <f t="shared" si="3"/>
        <v>1.9232726698071488E-2</v>
      </c>
      <c r="DJ13" s="12">
        <f t="shared" si="3"/>
        <v>5.7179050675791442E-6</v>
      </c>
      <c r="DK13" s="12">
        <f t="shared" si="3"/>
        <v>1.5653697884641157E-2</v>
      </c>
      <c r="DL13" s="12">
        <f t="shared" si="3"/>
        <v>5.4563400568385728E-4</v>
      </c>
      <c r="DM13" s="12">
        <f t="shared" si="3"/>
        <v>6.4004728019337676E-3</v>
      </c>
      <c r="DN13" s="12">
        <f t="shared" si="3"/>
        <v>1.4446433369801428E-3</v>
      </c>
      <c r="DO13" s="12">
        <f t="shared" si="3"/>
        <v>5.5364079638597968E-3</v>
      </c>
      <c r="DP13" s="12">
        <f t="shared" si="3"/>
        <v>1.8391055718225057E-3</v>
      </c>
      <c r="DQ13" s="12">
        <f t="shared" si="3"/>
        <v>2.4227305180176871E-2</v>
      </c>
      <c r="DR13" s="12">
        <f t="shared" si="3"/>
        <v>4.6216413336586269E-3</v>
      </c>
      <c r="DS13" s="12">
        <f t="shared" si="3"/>
        <v>1.4817142583749887E-2</v>
      </c>
      <c r="DT13" s="12">
        <f t="shared" si="3"/>
        <v>1.6683284567071351E-2</v>
      </c>
      <c r="DU13" s="12">
        <f t="shared" si="3"/>
        <v>1.9950214863041962E-3</v>
      </c>
      <c r="DV13" s="12">
        <f t="shared" si="3"/>
        <v>9.5879587877673433E-3</v>
      </c>
      <c r="DW13" s="12">
        <f t="shared" si="3"/>
        <v>1.3930897851807578E-3</v>
      </c>
      <c r="DX13" s="12">
        <f t="shared" si="3"/>
        <v>2.4965371251466657E-2</v>
      </c>
      <c r="DY13" s="12">
        <f t="shared" si="3"/>
        <v>3.8313174120266344E-2</v>
      </c>
      <c r="DZ13" s="12">
        <f t="shared" si="3"/>
        <v>7.8619575985093056E-3</v>
      </c>
      <c r="EA13" s="12">
        <f t="shared" ref="EA13:EL13" si="4">(EA3-EA9)^2</f>
        <v>1.5285489303977632E-2</v>
      </c>
      <c r="EB13" s="12">
        <f t="shared" si="4"/>
        <v>7.9727631289336999E-6</v>
      </c>
      <c r="EC13" s="12">
        <f t="shared" si="4"/>
        <v>1.6693837624799325E-3</v>
      </c>
      <c r="ED13" s="12">
        <f t="shared" si="4"/>
        <v>5.2276570759005048E-2</v>
      </c>
      <c r="EE13" s="12">
        <f t="shared" si="4"/>
        <v>9.1829983876563044E-4</v>
      </c>
      <c r="EF13" s="12">
        <f t="shared" si="4"/>
        <v>4.7981224166208897E-5</v>
      </c>
      <c r="EG13" s="12">
        <f t="shared" si="4"/>
        <v>1.7546720491151944E-2</v>
      </c>
      <c r="EH13" s="12">
        <f t="shared" si="4"/>
        <v>4.7565364221519423E-3</v>
      </c>
      <c r="EI13" s="12">
        <f t="shared" si="4"/>
        <v>7.4024010428681911E-3</v>
      </c>
      <c r="EJ13" s="12">
        <f t="shared" si="4"/>
        <v>5.0343075738008877E-2</v>
      </c>
      <c r="EK13" s="12">
        <f t="shared" si="4"/>
        <v>6.7339101809908231E-4</v>
      </c>
      <c r="EL13" s="12">
        <f t="shared" si="4"/>
        <v>2.5275729634822851E-2</v>
      </c>
    </row>
    <row r="14" spans="1:142" x14ac:dyDescent="0.55000000000000004">
      <c r="B14" s="11" t="s">
        <v>144</v>
      </c>
      <c r="C14" s="12">
        <f t="shared" ref="C14:AH14" si="5">(C4-C10)^2</f>
        <v>5.523060080210776E-2</v>
      </c>
      <c r="D14" s="12">
        <f t="shared" si="5"/>
        <v>4.5115170217064418E-2</v>
      </c>
      <c r="E14" s="12">
        <f t="shared" si="5"/>
        <v>1.5140120955565214E-3</v>
      </c>
      <c r="F14" s="12">
        <f t="shared" si="5"/>
        <v>1.0371490651161204E-2</v>
      </c>
      <c r="G14" s="12">
        <f t="shared" si="5"/>
        <v>1.0956473579369321E-2</v>
      </c>
      <c r="H14" s="12">
        <f t="shared" si="5"/>
        <v>5.1955178273079931E-3</v>
      </c>
      <c r="I14" s="12">
        <f t="shared" si="5"/>
        <v>1.2494594755740527E-4</v>
      </c>
      <c r="J14" s="12">
        <f t="shared" si="5"/>
        <v>1.4852945321402449E-3</v>
      </c>
      <c r="K14" s="12">
        <f t="shared" si="5"/>
        <v>1.6627849539663941E-4</v>
      </c>
      <c r="L14" s="12">
        <f t="shared" si="5"/>
        <v>1.7367312328587941E-2</v>
      </c>
      <c r="M14" s="12">
        <f t="shared" si="5"/>
        <v>1.7805158046881424E-3</v>
      </c>
      <c r="N14" s="12">
        <f t="shared" si="5"/>
        <v>5.8884086483498153E-2</v>
      </c>
      <c r="O14" s="12">
        <f t="shared" si="5"/>
        <v>9.4718033573010438E-3</v>
      </c>
      <c r="P14" s="12">
        <f t="shared" si="5"/>
        <v>1.070481894728054E-2</v>
      </c>
      <c r="Q14" s="12">
        <f t="shared" si="5"/>
        <v>4.858633513219645E-3</v>
      </c>
      <c r="R14" s="12">
        <f t="shared" si="5"/>
        <v>6.5811362131698364E-4</v>
      </c>
      <c r="S14" s="12">
        <f t="shared" si="5"/>
        <v>2.3515943170537807E-2</v>
      </c>
      <c r="T14" s="12">
        <f t="shared" si="5"/>
        <v>2.0333384527457556E-6</v>
      </c>
      <c r="U14" s="12">
        <f t="shared" si="5"/>
        <v>6.7374054011881009E-5</v>
      </c>
      <c r="V14" s="12">
        <f t="shared" si="5"/>
        <v>1.5099629219496704E-3</v>
      </c>
      <c r="W14" s="12">
        <f t="shared" si="5"/>
        <v>7.4805173989072014E-3</v>
      </c>
      <c r="X14" s="12">
        <f t="shared" si="5"/>
        <v>1.6988588586173033E-3</v>
      </c>
      <c r="Y14" s="12">
        <f t="shared" si="5"/>
        <v>2.7302530690423004E-4</v>
      </c>
      <c r="Z14" s="12">
        <f t="shared" si="5"/>
        <v>6.8278149661618872E-5</v>
      </c>
      <c r="AA14" s="12">
        <f t="shared" si="5"/>
        <v>7.8756082691433596E-3</v>
      </c>
      <c r="AB14" s="12">
        <f t="shared" si="5"/>
        <v>2.6725850292726254E-3</v>
      </c>
      <c r="AC14" s="12">
        <f t="shared" si="5"/>
        <v>1.5988854334823294E-3</v>
      </c>
      <c r="AD14" s="12">
        <f t="shared" si="5"/>
        <v>1.2627927913844145E-4</v>
      </c>
      <c r="AE14" s="12">
        <f t="shared" si="5"/>
        <v>4.3424858338951249E-3</v>
      </c>
      <c r="AF14" s="12">
        <f t="shared" si="5"/>
        <v>3.4029521281525501E-3</v>
      </c>
      <c r="AG14" s="12">
        <f t="shared" si="5"/>
        <v>2.8093511203356147E-4</v>
      </c>
      <c r="AH14" s="12">
        <f t="shared" si="5"/>
        <v>1.3445520090872665E-3</v>
      </c>
      <c r="AI14" s="12">
        <f t="shared" ref="AI14:BN14" si="6">(AI4-AI10)^2</f>
        <v>3.794065029066253E-3</v>
      </c>
      <c r="AJ14" s="12">
        <f t="shared" si="6"/>
        <v>2.2595852141171373E-4</v>
      </c>
      <c r="AK14" s="12">
        <f t="shared" si="6"/>
        <v>1.9434739294408002E-3</v>
      </c>
      <c r="AL14" s="12">
        <f t="shared" si="6"/>
        <v>2.2054109079836327E-2</v>
      </c>
      <c r="AM14" s="12">
        <f t="shared" si="6"/>
        <v>8.6375532576751552E-4</v>
      </c>
      <c r="AN14" s="12">
        <f t="shared" si="6"/>
        <v>6.9830919583210556E-3</v>
      </c>
      <c r="AO14" s="12">
        <f t="shared" si="6"/>
        <v>4.4034525857014507E-5</v>
      </c>
      <c r="AP14" s="12">
        <f t="shared" si="6"/>
        <v>3.0787627106969324E-3</v>
      </c>
      <c r="AQ14" s="12">
        <f t="shared" si="6"/>
        <v>1.7947728253442632E-3</v>
      </c>
      <c r="AR14" s="12">
        <f t="shared" si="6"/>
        <v>1.4605797491989463E-2</v>
      </c>
      <c r="AS14" s="12">
        <f t="shared" si="6"/>
        <v>6.4924972556684659E-4</v>
      </c>
      <c r="AT14" s="12">
        <f t="shared" si="6"/>
        <v>9.3215188682356281E-4</v>
      </c>
      <c r="AU14" s="12">
        <f t="shared" si="6"/>
        <v>1.3960819762374737E-2</v>
      </c>
      <c r="AV14" s="12">
        <f t="shared" si="6"/>
        <v>1.8034979407937316E-6</v>
      </c>
      <c r="AW14" s="12">
        <f t="shared" si="6"/>
        <v>1.7908055066033055E-5</v>
      </c>
      <c r="AX14" s="12">
        <f t="shared" si="6"/>
        <v>2.350302977499268E-4</v>
      </c>
      <c r="AY14" s="12">
        <f t="shared" si="6"/>
        <v>1.1029872534216588E-3</v>
      </c>
      <c r="AZ14" s="12">
        <f t="shared" si="6"/>
        <v>5.2922092464037221E-3</v>
      </c>
      <c r="BA14" s="12">
        <f t="shared" si="6"/>
        <v>2.6367996472362654E-2</v>
      </c>
      <c r="BB14" s="12">
        <f t="shared" si="6"/>
        <v>2.5914237007544061E-3</v>
      </c>
      <c r="BC14" s="12">
        <f t="shared" si="6"/>
        <v>2.6261796616727836E-3</v>
      </c>
      <c r="BD14" s="12">
        <f t="shared" si="6"/>
        <v>3.9710245969300971E-2</v>
      </c>
      <c r="BE14" s="12">
        <f t="shared" si="6"/>
        <v>3.7853007033378107E-2</v>
      </c>
      <c r="BF14" s="12">
        <f t="shared" si="6"/>
        <v>2.4311907598143371E-3</v>
      </c>
      <c r="BG14" s="12">
        <f t="shared" si="6"/>
        <v>1.6664435634198226E-3</v>
      </c>
      <c r="BH14" s="12">
        <f t="shared" si="6"/>
        <v>1.9495819464063733E-3</v>
      </c>
      <c r="BI14" s="12">
        <f t="shared" si="6"/>
        <v>4.3387517960276475E-3</v>
      </c>
      <c r="BJ14" s="12">
        <f t="shared" si="6"/>
        <v>3.3930858901486871E-3</v>
      </c>
      <c r="BK14" s="12">
        <f t="shared" si="6"/>
        <v>1.0309901431717462E-2</v>
      </c>
      <c r="BL14" s="12">
        <f t="shared" si="6"/>
        <v>1.4914623796355964E-3</v>
      </c>
      <c r="BM14" s="12">
        <f t="shared" si="6"/>
        <v>3.7723310531497987E-4</v>
      </c>
      <c r="BN14" s="12">
        <f t="shared" si="6"/>
        <v>5.4039967900592076E-3</v>
      </c>
      <c r="BO14" s="12">
        <f t="shared" ref="BO14:CT14" si="7">(BO4-BO10)^2</f>
        <v>4.1843843296505371E-3</v>
      </c>
      <c r="BP14" s="12">
        <f t="shared" si="7"/>
        <v>7.2996895698470773E-3</v>
      </c>
      <c r="BQ14" s="12">
        <f t="shared" si="7"/>
        <v>6.5365975898076722E-3</v>
      </c>
      <c r="BR14" s="12">
        <f t="shared" si="7"/>
        <v>1.607230654494907E-4</v>
      </c>
      <c r="BS14" s="12">
        <f t="shared" si="7"/>
        <v>1.1818148374193335E-2</v>
      </c>
      <c r="BT14" s="12">
        <f t="shared" si="7"/>
        <v>1.4126982465460182E-2</v>
      </c>
      <c r="BU14" s="12">
        <f t="shared" si="7"/>
        <v>1.7272610842512387E-2</v>
      </c>
      <c r="BV14" s="12">
        <f t="shared" si="7"/>
        <v>2.1072990274352819E-5</v>
      </c>
      <c r="BW14" s="12">
        <f t="shared" si="7"/>
        <v>5.241011480252516E-3</v>
      </c>
      <c r="BX14" s="12">
        <f t="shared" si="7"/>
        <v>2.5352786728993694E-4</v>
      </c>
      <c r="BY14" s="12">
        <f t="shared" si="7"/>
        <v>3.2323060358836046E-3</v>
      </c>
      <c r="BZ14" s="12">
        <f t="shared" si="7"/>
        <v>4.8585733357140075E-3</v>
      </c>
      <c r="CA14" s="12">
        <f t="shared" si="7"/>
        <v>1.572133908397488E-2</v>
      </c>
      <c r="CB14" s="12">
        <f t="shared" si="7"/>
        <v>5.6048966056305854E-3</v>
      </c>
      <c r="CC14" s="12">
        <f t="shared" si="7"/>
        <v>9.4788058340983001E-4</v>
      </c>
      <c r="CD14" s="12">
        <f t="shared" si="7"/>
        <v>1.1723895971853545E-2</v>
      </c>
      <c r="CE14" s="12">
        <f t="shared" si="7"/>
        <v>3.3018505343068535E-2</v>
      </c>
      <c r="CF14" s="12">
        <f t="shared" si="7"/>
        <v>4.4921618158176813E-4</v>
      </c>
      <c r="CG14" s="12">
        <f t="shared" si="7"/>
        <v>4.0738248287205472E-3</v>
      </c>
      <c r="CH14" s="12">
        <f t="shared" si="7"/>
        <v>2.2565897716728574E-3</v>
      </c>
      <c r="CI14" s="12">
        <f t="shared" si="7"/>
        <v>8.0288302018613287E-3</v>
      </c>
      <c r="CJ14" s="12">
        <f t="shared" si="7"/>
        <v>7.6250566246086515E-4</v>
      </c>
      <c r="CK14" s="12">
        <f t="shared" si="7"/>
        <v>5.0555294317515724E-3</v>
      </c>
      <c r="CL14" s="12">
        <f t="shared" si="7"/>
        <v>1.152142071078352E-2</v>
      </c>
      <c r="CM14" s="12">
        <f t="shared" si="7"/>
        <v>4.0044702660506207E-2</v>
      </c>
      <c r="CN14" s="12">
        <f t="shared" si="7"/>
        <v>7.0182492881422321E-4</v>
      </c>
      <c r="CO14" s="12">
        <f t="shared" si="7"/>
        <v>6.6187700008711967E-3</v>
      </c>
      <c r="CP14" s="12">
        <f t="shared" si="7"/>
        <v>5.4026873489028231E-3</v>
      </c>
      <c r="CQ14" s="12">
        <f t="shared" si="7"/>
        <v>1.1100595314663248E-2</v>
      </c>
      <c r="CR14" s="12">
        <f t="shared" si="7"/>
        <v>1.8649316308211483E-2</v>
      </c>
      <c r="CS14" s="12">
        <f t="shared" si="7"/>
        <v>1.3499598561633557E-4</v>
      </c>
      <c r="CT14" s="12">
        <f t="shared" si="7"/>
        <v>8.7406328386700621E-3</v>
      </c>
      <c r="CU14" s="12">
        <f t="shared" ref="CU14:DZ14" si="8">(CU4-CU10)^2</f>
        <v>4.2480746319715037E-4</v>
      </c>
      <c r="CV14" s="12">
        <f t="shared" si="8"/>
        <v>3.9982085807851002E-3</v>
      </c>
      <c r="CW14" s="12">
        <f t="shared" si="8"/>
        <v>2.1235028677432773E-5</v>
      </c>
      <c r="CX14" s="12">
        <f t="shared" si="8"/>
        <v>2.1168290280633516E-2</v>
      </c>
      <c r="CY14" s="12">
        <f t="shared" si="8"/>
        <v>2.4125409537595378E-3</v>
      </c>
      <c r="CZ14" s="12">
        <f t="shared" si="8"/>
        <v>6.0135258495353769E-2</v>
      </c>
      <c r="DA14" s="12">
        <f t="shared" si="8"/>
        <v>6.7349792028239463E-3</v>
      </c>
      <c r="DB14" s="12">
        <f t="shared" si="8"/>
        <v>2.1891656932308143E-2</v>
      </c>
      <c r="DC14" s="12">
        <f t="shared" si="8"/>
        <v>1.1816279165860529E-6</v>
      </c>
      <c r="DD14" s="12">
        <f t="shared" si="8"/>
        <v>1.6288032165181877E-4</v>
      </c>
      <c r="DE14" s="12">
        <f t="shared" si="8"/>
        <v>1.4001080314695009E-2</v>
      </c>
      <c r="DF14" s="12">
        <f t="shared" si="8"/>
        <v>6.2393643252382266E-2</v>
      </c>
      <c r="DG14" s="12">
        <f t="shared" si="8"/>
        <v>5.7314255434535707E-2</v>
      </c>
      <c r="DH14" s="12">
        <f t="shared" si="8"/>
        <v>8.4531892902030281E-3</v>
      </c>
      <c r="DI14" s="12">
        <f t="shared" si="8"/>
        <v>4.8330343657092042E-3</v>
      </c>
      <c r="DJ14" s="12">
        <f t="shared" si="8"/>
        <v>6.1610565967314479E-3</v>
      </c>
      <c r="DK14" s="12">
        <f t="shared" si="8"/>
        <v>1.3818932389846703E-2</v>
      </c>
      <c r="DL14" s="12">
        <f t="shared" si="8"/>
        <v>5.1513702725720662E-4</v>
      </c>
      <c r="DM14" s="12">
        <f t="shared" si="8"/>
        <v>1.2436134755255328E-2</v>
      </c>
      <c r="DN14" s="12">
        <f t="shared" si="8"/>
        <v>9.7832843644934629E-3</v>
      </c>
      <c r="DO14" s="12">
        <f t="shared" si="8"/>
        <v>2.9334533289698517E-3</v>
      </c>
      <c r="DP14" s="12">
        <f t="shared" si="8"/>
        <v>1.4083360881587162E-2</v>
      </c>
      <c r="DQ14" s="12">
        <f t="shared" si="8"/>
        <v>1.5098000249653355E-3</v>
      </c>
      <c r="DR14" s="12">
        <f t="shared" si="8"/>
        <v>6.1103679926703411E-3</v>
      </c>
      <c r="DS14" s="12">
        <f t="shared" si="8"/>
        <v>2.918655990015926E-2</v>
      </c>
      <c r="DT14" s="12">
        <f t="shared" si="8"/>
        <v>8.2940028477105591E-4</v>
      </c>
      <c r="DU14" s="12">
        <f t="shared" si="8"/>
        <v>3.4155796580893884E-2</v>
      </c>
      <c r="DV14" s="12">
        <f t="shared" si="8"/>
        <v>9.8227848907662995E-4</v>
      </c>
      <c r="DW14" s="12">
        <f t="shared" si="8"/>
        <v>2.5208508576645888E-2</v>
      </c>
      <c r="DX14" s="12">
        <f t="shared" si="8"/>
        <v>1.1626299718603711E-2</v>
      </c>
      <c r="DY14" s="12">
        <f t="shared" si="8"/>
        <v>4.4359853120061942E-3</v>
      </c>
      <c r="DZ14" s="12">
        <f t="shared" si="8"/>
        <v>9.2915527940816195E-4</v>
      </c>
      <c r="EA14" s="12">
        <f t="shared" ref="EA14:EL14" si="9">(EA4-EA10)^2</f>
        <v>1.1657439173628997E-2</v>
      </c>
      <c r="EB14" s="12">
        <f t="shared" si="9"/>
        <v>8.5279808298485259E-4</v>
      </c>
      <c r="EC14" s="12">
        <f t="shared" si="9"/>
        <v>2.1747107218690734E-4</v>
      </c>
      <c r="ED14" s="12">
        <f t="shared" si="9"/>
        <v>6.789396877654826E-3</v>
      </c>
      <c r="EE14" s="12">
        <f t="shared" si="9"/>
        <v>3.234750168992865E-2</v>
      </c>
      <c r="EF14" s="12">
        <f t="shared" si="9"/>
        <v>4.2517624524772649E-3</v>
      </c>
      <c r="EG14" s="12">
        <f t="shared" si="9"/>
        <v>6.8900933347901521E-3</v>
      </c>
      <c r="EH14" s="12">
        <f t="shared" si="9"/>
        <v>3.4673254273393326E-3</v>
      </c>
      <c r="EI14" s="12">
        <f t="shared" si="9"/>
        <v>1.3995643273089404E-2</v>
      </c>
      <c r="EJ14" s="12">
        <f t="shared" si="9"/>
        <v>1.9733132312189951E-2</v>
      </c>
      <c r="EK14" s="12">
        <f t="shared" si="9"/>
        <v>3.1820911474177621E-2</v>
      </c>
      <c r="EL14" s="12">
        <f t="shared" si="9"/>
        <v>1.1884445364167203E-5</v>
      </c>
    </row>
    <row r="15" spans="1:142" x14ac:dyDescent="0.55000000000000004">
      <c r="B15" s="14" t="s">
        <v>145</v>
      </c>
      <c r="C15" s="12">
        <f t="shared" ref="C15:AH15" si="10">(C5-C11)^2</f>
        <v>5.9916558399612286E-4</v>
      </c>
      <c r="D15" s="12">
        <f t="shared" si="10"/>
        <v>2.096809131168376E-2</v>
      </c>
      <c r="E15" s="12">
        <f t="shared" si="10"/>
        <v>2.0064027445017576E-3</v>
      </c>
      <c r="F15" s="12">
        <f t="shared" si="10"/>
        <v>2.0732379056246056E-3</v>
      </c>
      <c r="G15" s="12">
        <f t="shared" si="10"/>
        <v>1.1563450089558985E-2</v>
      </c>
      <c r="H15" s="12">
        <f t="shared" si="10"/>
        <v>6.5738857007065452E-5</v>
      </c>
      <c r="I15" s="12">
        <f t="shared" si="10"/>
        <v>9.9310098743905805E-4</v>
      </c>
      <c r="J15" s="12">
        <f t="shared" si="10"/>
        <v>2.276338166518872E-5</v>
      </c>
      <c r="K15" s="12">
        <f t="shared" si="10"/>
        <v>4.0956939852006113E-3</v>
      </c>
      <c r="L15" s="12">
        <f t="shared" si="10"/>
        <v>6.366149464637025E-5</v>
      </c>
      <c r="M15" s="12">
        <f t="shared" si="10"/>
        <v>7.8019118873019766E-3</v>
      </c>
      <c r="N15" s="12">
        <f t="shared" si="10"/>
        <v>2.439790391553495E-4</v>
      </c>
      <c r="O15" s="12">
        <f t="shared" si="10"/>
        <v>1.2045476754299712E-2</v>
      </c>
      <c r="P15" s="12">
        <f t="shared" si="10"/>
        <v>8.6138192519980895E-4</v>
      </c>
      <c r="Q15" s="12">
        <f t="shared" si="10"/>
        <v>3.7525570159400515E-3</v>
      </c>
      <c r="R15" s="12">
        <f t="shared" si="10"/>
        <v>7.7245862558092904E-6</v>
      </c>
      <c r="S15" s="12">
        <f t="shared" si="10"/>
        <v>9.5739506656405526E-3</v>
      </c>
      <c r="T15" s="12">
        <f t="shared" si="10"/>
        <v>5.1562156456349158E-3</v>
      </c>
      <c r="U15" s="12">
        <f t="shared" si="10"/>
        <v>3.9069322837980108E-4</v>
      </c>
      <c r="V15" s="12">
        <f t="shared" si="10"/>
        <v>5.3098610757202995E-4</v>
      </c>
      <c r="W15" s="12">
        <f t="shared" si="10"/>
        <v>9.7196748100063634E-3</v>
      </c>
      <c r="X15" s="12">
        <f t="shared" si="10"/>
        <v>9.1384040730483715E-2</v>
      </c>
      <c r="Y15" s="12">
        <f t="shared" si="10"/>
        <v>1.2874914566838879E-2</v>
      </c>
      <c r="Z15" s="12">
        <f t="shared" si="10"/>
        <v>2.040803626002706E-2</v>
      </c>
      <c r="AA15" s="12">
        <f t="shared" si="10"/>
        <v>1.1883035007310368E-2</v>
      </c>
      <c r="AB15" s="12">
        <f t="shared" si="10"/>
        <v>2.7403163532945744E-4</v>
      </c>
      <c r="AC15" s="12">
        <f t="shared" si="10"/>
        <v>5.5630813255087234E-3</v>
      </c>
      <c r="AD15" s="12">
        <f t="shared" si="10"/>
        <v>3.1770777871157657E-3</v>
      </c>
      <c r="AE15" s="12">
        <f t="shared" si="10"/>
        <v>1.7199531870666065E-3</v>
      </c>
      <c r="AF15" s="12">
        <f t="shared" si="10"/>
        <v>3.5555923181653307E-2</v>
      </c>
      <c r="AG15" s="12">
        <f t="shared" si="10"/>
        <v>1.8966032378711897E-3</v>
      </c>
      <c r="AH15" s="12">
        <f t="shared" si="10"/>
        <v>4.4152428962270575E-4</v>
      </c>
      <c r="AI15" s="12">
        <f t="shared" ref="AI15:BN15" si="11">(AI5-AI11)^2</f>
        <v>1.5888346304768915E-3</v>
      </c>
      <c r="AJ15" s="12">
        <f t="shared" si="11"/>
        <v>2.3242860585180351E-3</v>
      </c>
      <c r="AK15" s="12">
        <f t="shared" si="11"/>
        <v>2.2599275921473573E-4</v>
      </c>
      <c r="AL15" s="12">
        <f t="shared" si="11"/>
        <v>1.7869129293909134E-2</v>
      </c>
      <c r="AM15" s="12">
        <f t="shared" si="11"/>
        <v>4.2611223638264212E-3</v>
      </c>
      <c r="AN15" s="12">
        <f t="shared" si="11"/>
        <v>5.8537958697601382E-3</v>
      </c>
      <c r="AO15" s="12">
        <f t="shared" si="11"/>
        <v>8.8994823724648977E-3</v>
      </c>
      <c r="AP15" s="12">
        <f t="shared" si="11"/>
        <v>3.0813662658032322E-3</v>
      </c>
      <c r="AQ15" s="12">
        <f t="shared" si="11"/>
        <v>9.4970995643879174E-4</v>
      </c>
      <c r="AR15" s="12">
        <f t="shared" si="11"/>
        <v>1.8961329409100525E-7</v>
      </c>
      <c r="AS15" s="12">
        <f t="shared" si="11"/>
        <v>6.0385456374224423E-3</v>
      </c>
      <c r="AT15" s="12">
        <f t="shared" si="11"/>
        <v>1.8104560109947421E-2</v>
      </c>
      <c r="AU15" s="12">
        <f t="shared" si="11"/>
        <v>1.3417436828586525E-3</v>
      </c>
      <c r="AV15" s="12">
        <f t="shared" si="11"/>
        <v>1.8345289060034121E-2</v>
      </c>
      <c r="AW15" s="12">
        <f t="shared" si="11"/>
        <v>4.2512226936054862E-3</v>
      </c>
      <c r="AX15" s="12">
        <f t="shared" si="11"/>
        <v>2.2586592340946503E-2</v>
      </c>
      <c r="AY15" s="12">
        <f t="shared" si="11"/>
        <v>2.8047478466783019E-3</v>
      </c>
      <c r="AZ15" s="12">
        <f t="shared" si="11"/>
        <v>5.3802277018729526E-3</v>
      </c>
      <c r="BA15" s="12">
        <f t="shared" si="11"/>
        <v>6.8192470389597795E-4</v>
      </c>
      <c r="BB15" s="12">
        <f t="shared" si="11"/>
        <v>1.2503421985179222E-2</v>
      </c>
      <c r="BC15" s="12">
        <f t="shared" si="11"/>
        <v>3.1452107139696837E-4</v>
      </c>
      <c r="BD15" s="12">
        <f t="shared" si="11"/>
        <v>1.6059280419442211E-4</v>
      </c>
      <c r="BE15" s="12">
        <f t="shared" si="11"/>
        <v>2.4358488124380066E-2</v>
      </c>
      <c r="BF15" s="12">
        <f t="shared" si="11"/>
        <v>4.0977234477988858E-2</v>
      </c>
      <c r="BG15" s="12">
        <f t="shared" si="11"/>
        <v>3.4335274609978046E-2</v>
      </c>
      <c r="BH15" s="12">
        <f t="shared" si="11"/>
        <v>9.9021925934806004E-3</v>
      </c>
      <c r="BI15" s="12">
        <f t="shared" si="11"/>
        <v>1.6744951077420342E-2</v>
      </c>
      <c r="BJ15" s="12">
        <f t="shared" si="11"/>
        <v>3.420291245089753E-3</v>
      </c>
      <c r="BK15" s="12">
        <f t="shared" si="11"/>
        <v>3.4152654092387165E-3</v>
      </c>
      <c r="BL15" s="12">
        <f t="shared" si="11"/>
        <v>2.5977284986259928E-2</v>
      </c>
      <c r="BM15" s="12">
        <f t="shared" si="11"/>
        <v>1.5980750563441646E-2</v>
      </c>
      <c r="BN15" s="12">
        <f t="shared" si="11"/>
        <v>1.2320673554146429E-3</v>
      </c>
      <c r="BO15" s="12">
        <f t="shared" ref="BO15:CT15" si="12">(BO5-BO11)^2</f>
        <v>5.12474095821312E-4</v>
      </c>
      <c r="BP15" s="12">
        <f t="shared" si="12"/>
        <v>1.3003956948825961E-3</v>
      </c>
      <c r="BQ15" s="12">
        <f t="shared" si="12"/>
        <v>3.3480697172902442E-6</v>
      </c>
      <c r="BR15" s="12">
        <f t="shared" si="12"/>
        <v>2.9811765421573468E-2</v>
      </c>
      <c r="BS15" s="12">
        <f t="shared" si="12"/>
        <v>1.5293040753281773E-2</v>
      </c>
      <c r="BT15" s="12">
        <f t="shared" si="12"/>
        <v>2.7635714302946553E-5</v>
      </c>
      <c r="BU15" s="12">
        <f t="shared" si="12"/>
        <v>3.2321938250764876E-3</v>
      </c>
      <c r="BV15" s="12">
        <f t="shared" si="12"/>
        <v>4.0902515303430087E-3</v>
      </c>
      <c r="BW15" s="12">
        <f t="shared" si="12"/>
        <v>8.2068352371953337E-3</v>
      </c>
      <c r="BX15" s="12">
        <f t="shared" si="12"/>
        <v>4.8766997653869121E-6</v>
      </c>
      <c r="BY15" s="12">
        <f t="shared" si="12"/>
        <v>9.6427366878769107E-3</v>
      </c>
      <c r="BZ15" s="12">
        <f t="shared" si="12"/>
        <v>6.0819033340662348E-4</v>
      </c>
      <c r="CA15" s="12">
        <f t="shared" si="12"/>
        <v>6.7227651127819256E-3</v>
      </c>
      <c r="CB15" s="12">
        <f t="shared" si="12"/>
        <v>4.119530091523025E-3</v>
      </c>
      <c r="CC15" s="12">
        <f t="shared" si="12"/>
        <v>9.3513239403758171E-3</v>
      </c>
      <c r="CD15" s="12">
        <f t="shared" si="12"/>
        <v>8.6159911438510285E-4</v>
      </c>
      <c r="CE15" s="12">
        <f t="shared" si="12"/>
        <v>1.3473730981913866E-2</v>
      </c>
      <c r="CF15" s="12">
        <f t="shared" si="12"/>
        <v>3.6950646648422794E-3</v>
      </c>
      <c r="CG15" s="12">
        <f t="shared" si="12"/>
        <v>3.6728712614648437E-4</v>
      </c>
      <c r="CH15" s="12">
        <f t="shared" si="12"/>
        <v>2.5016329132171835E-3</v>
      </c>
      <c r="CI15" s="12">
        <f t="shared" si="12"/>
        <v>3.6706338175340114E-3</v>
      </c>
      <c r="CJ15" s="12">
        <f t="shared" si="12"/>
        <v>5.1629847206916449E-2</v>
      </c>
      <c r="CK15" s="12">
        <f t="shared" si="12"/>
        <v>1.7800873645780115E-2</v>
      </c>
      <c r="CL15" s="12">
        <f t="shared" si="12"/>
        <v>1.6829214027877844E-3</v>
      </c>
      <c r="CM15" s="12">
        <f t="shared" si="12"/>
        <v>6.8867960526389407E-3</v>
      </c>
      <c r="CN15" s="12">
        <f t="shared" si="12"/>
        <v>5.9004057556821338E-2</v>
      </c>
      <c r="CO15" s="12">
        <f t="shared" si="12"/>
        <v>1.2510192997915559E-2</v>
      </c>
      <c r="CP15" s="12">
        <f t="shared" si="12"/>
        <v>3.5094662308492479E-4</v>
      </c>
      <c r="CQ15" s="12">
        <f t="shared" si="12"/>
        <v>4.7820322578116671E-2</v>
      </c>
      <c r="CR15" s="12">
        <f t="shared" si="12"/>
        <v>8.140095588513252E-3</v>
      </c>
      <c r="CS15" s="12">
        <f t="shared" si="12"/>
        <v>7.3644492170762558E-3</v>
      </c>
      <c r="CT15" s="12">
        <f t="shared" si="12"/>
        <v>9.5040015830976494E-4</v>
      </c>
      <c r="CU15" s="12">
        <f t="shared" ref="CU15:DZ15" si="13">(CU5-CU11)^2</f>
        <v>9.0807686135540341E-2</v>
      </c>
      <c r="CV15" s="12">
        <f t="shared" si="13"/>
        <v>5.5752374106563245E-2</v>
      </c>
      <c r="CW15" s="12">
        <f t="shared" si="13"/>
        <v>8.1041243334610477E-3</v>
      </c>
      <c r="CX15" s="12">
        <f t="shared" si="13"/>
        <v>1.0480930835214173E-2</v>
      </c>
      <c r="CY15" s="12">
        <f t="shared" si="13"/>
        <v>1.1021275218491337E-2</v>
      </c>
      <c r="CZ15" s="12">
        <f t="shared" si="13"/>
        <v>3.3651813530143505E-3</v>
      </c>
      <c r="DA15" s="12">
        <f t="shared" si="13"/>
        <v>6.2336901423026593E-3</v>
      </c>
      <c r="DB15" s="12">
        <f t="shared" si="13"/>
        <v>1.8108049464085414E-2</v>
      </c>
      <c r="DC15" s="12">
        <f t="shared" si="13"/>
        <v>2.2282926887280167E-4</v>
      </c>
      <c r="DD15" s="12">
        <f t="shared" si="13"/>
        <v>2.2436508642698482E-2</v>
      </c>
      <c r="DE15" s="12">
        <f t="shared" si="13"/>
        <v>8.9062899861640024E-3</v>
      </c>
      <c r="DF15" s="12">
        <f t="shared" si="13"/>
        <v>4.9754926636188307E-3</v>
      </c>
      <c r="DG15" s="12">
        <f t="shared" si="13"/>
        <v>3.9516417401555523E-2</v>
      </c>
      <c r="DH15" s="12">
        <f t="shared" si="13"/>
        <v>1.0703028520872121E-2</v>
      </c>
      <c r="DI15" s="12">
        <f t="shared" si="13"/>
        <v>2.7378974184028974E-3</v>
      </c>
      <c r="DJ15" s="12">
        <f t="shared" si="13"/>
        <v>3.0786354007006061E-3</v>
      </c>
      <c r="DK15" s="12">
        <f t="shared" si="13"/>
        <v>3.9773149424111821E-3</v>
      </c>
      <c r="DL15" s="12">
        <f t="shared" si="13"/>
        <v>7.1401251143922541E-3</v>
      </c>
      <c r="DM15" s="12">
        <f t="shared" si="13"/>
        <v>1.2402884639020578E-3</v>
      </c>
      <c r="DN15" s="12">
        <f t="shared" si="13"/>
        <v>1.6328190286877249E-5</v>
      </c>
      <c r="DO15" s="12">
        <f t="shared" si="13"/>
        <v>1.2697957679219486E-2</v>
      </c>
      <c r="DP15" s="12">
        <f t="shared" si="13"/>
        <v>5.9121111226041793E-2</v>
      </c>
      <c r="DQ15" s="12">
        <f t="shared" si="13"/>
        <v>4.5495189218593961E-2</v>
      </c>
      <c r="DR15" s="12">
        <f t="shared" si="13"/>
        <v>2.064439076414174E-4</v>
      </c>
      <c r="DS15" s="12">
        <f t="shared" si="13"/>
        <v>1.7592068632647402E-2</v>
      </c>
      <c r="DT15" s="12">
        <f t="shared" si="13"/>
        <v>1.4478132036120844E-2</v>
      </c>
      <c r="DU15" s="12">
        <f t="shared" si="13"/>
        <v>5.1959470790658756E-3</v>
      </c>
      <c r="DV15" s="12">
        <f t="shared" si="13"/>
        <v>3.0129637498504309E-3</v>
      </c>
      <c r="DW15" s="12">
        <f t="shared" si="13"/>
        <v>3.9448887425705946E-4</v>
      </c>
      <c r="DX15" s="12">
        <f t="shared" si="13"/>
        <v>4.7211392388938535E-3</v>
      </c>
      <c r="DY15" s="12">
        <f t="shared" si="13"/>
        <v>3.1640278402042359E-4</v>
      </c>
      <c r="DZ15" s="12">
        <f t="shared" si="13"/>
        <v>4.3862610191755467E-6</v>
      </c>
      <c r="EA15" s="12">
        <f t="shared" ref="EA15:EL15" si="14">(EA5-EA11)^2</f>
        <v>8.1262668770919783E-2</v>
      </c>
      <c r="EB15" s="12">
        <f t="shared" si="14"/>
        <v>1.7564953457733127E-2</v>
      </c>
      <c r="EC15" s="12">
        <f t="shared" si="14"/>
        <v>5.0603953244796778E-4</v>
      </c>
      <c r="ED15" s="12">
        <f t="shared" si="14"/>
        <v>2.6879346320111152E-3</v>
      </c>
      <c r="EE15" s="12">
        <f t="shared" si="14"/>
        <v>1.6192745172666008E-2</v>
      </c>
      <c r="EF15" s="12">
        <f t="shared" si="14"/>
        <v>4.1262358353672613E-3</v>
      </c>
      <c r="EG15" s="12">
        <f t="shared" si="14"/>
        <v>1.4919157192901508E-2</v>
      </c>
      <c r="EH15" s="12">
        <f t="shared" si="14"/>
        <v>1.6186963558388449E-3</v>
      </c>
      <c r="EI15" s="12">
        <f t="shared" si="14"/>
        <v>1.1757181384045596E-3</v>
      </c>
      <c r="EJ15" s="12">
        <f t="shared" si="14"/>
        <v>2.0763319888375941E-3</v>
      </c>
      <c r="EK15" s="12">
        <f t="shared" si="14"/>
        <v>4.9861637339039446E-3</v>
      </c>
      <c r="EL15" s="12">
        <f t="shared" si="14"/>
        <v>2.2114826490972751E-7</v>
      </c>
    </row>
    <row r="17" spans="1:142" x14ac:dyDescent="0.55000000000000004">
      <c r="A17" s="12" t="s">
        <v>256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257</v>
      </c>
      <c r="B21" s="12">
        <f>1-SUM(C13:EL15)/SUM(C17:EL19)</f>
        <v>-1.4324683055015441E-2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1" t="s">
        <v>146</v>
      </c>
      <c r="B6" s="22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1" t="s">
        <v>147</v>
      </c>
      <c r="B10" s="22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9"/>
      <c r="B12" s="19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9"/>
      <c r="B13" s="19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9"/>
      <c r="B14" s="19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9"/>
      <c r="B15" s="19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9"/>
      <c r="B16" s="19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9"/>
      <c r="B17" s="19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9"/>
      <c r="B18" s="19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9"/>
      <c r="B19" s="19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9"/>
      <c r="B20" s="19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9"/>
      <c r="B21" s="19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9"/>
      <c r="B22" s="19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9"/>
      <c r="B23" s="19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9"/>
      <c r="B24" s="19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9"/>
      <c r="B25" s="19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topLeftCell="A22" workbookViewId="0">
      <selection activeCell="E38" sqref="E38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20" width="22.59765625" bestFit="1" customWidth="1"/>
    <col min="21" max="21" width="21.3984375" bestFit="1" customWidth="1"/>
    <col min="22" max="45" width="22.59765625" bestFit="1" customWidth="1"/>
    <col min="46" max="46" width="21.3984375" bestFit="1" customWidth="1"/>
    <col min="47" max="142" width="22.59765625" bestFit="1" customWidth="1"/>
  </cols>
  <sheetData>
    <row r="1" spans="1:142" ht="25" customHeight="1" x14ac:dyDescent="0.55000000000000004">
      <c r="A1" s="11" t="s">
        <v>258</v>
      </c>
    </row>
    <row r="2" spans="1:142" ht="25" customHeight="1" x14ac:dyDescent="0.55000000000000004">
      <c r="A2" s="11" t="s">
        <v>259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3">
        <v>6.12049400806427E-2</v>
      </c>
      <c r="D3" s="13">
        <v>7.2511330246925354E-2</v>
      </c>
      <c r="E3" s="13">
        <v>-1.9275229424238201E-3</v>
      </c>
      <c r="F3" s="13">
        <v>6.0068525373935699E-2</v>
      </c>
      <c r="G3" s="13">
        <v>5.4933164268732071E-2</v>
      </c>
      <c r="H3" s="13">
        <v>3.9693295955657959E-2</v>
      </c>
      <c r="I3" s="13">
        <v>4.1277538985013962E-2</v>
      </c>
      <c r="J3" s="13">
        <v>4.0029242634773247E-2</v>
      </c>
      <c r="K3" s="13">
        <v>-1.884257048368454E-2</v>
      </c>
      <c r="L3" s="13">
        <v>7.7602483332157135E-2</v>
      </c>
      <c r="M3" s="13">
        <v>4.2970236390829093E-2</v>
      </c>
      <c r="N3" s="13">
        <v>5.1299545913934708E-2</v>
      </c>
      <c r="O3" s="13">
        <v>6.7217230796813965E-2</v>
      </c>
      <c r="P3" s="13">
        <v>-1.9206620752811428E-2</v>
      </c>
      <c r="Q3" s="13">
        <v>3.6692902445793152E-2</v>
      </c>
      <c r="R3" s="13">
        <v>5.7352703064680099E-2</v>
      </c>
      <c r="S3" s="13">
        <v>5.824115127325058E-2</v>
      </c>
      <c r="T3" s="13">
        <v>5.7737637311220169E-2</v>
      </c>
      <c r="U3" s="13">
        <v>8.7644942104816437E-2</v>
      </c>
      <c r="V3" s="13">
        <v>5.71180060505867E-2</v>
      </c>
      <c r="W3" s="13">
        <v>5.8588448911905289E-2</v>
      </c>
      <c r="X3" s="13">
        <v>5.677197128534317E-2</v>
      </c>
      <c r="Y3" s="13">
        <v>5.9611771255731583E-2</v>
      </c>
      <c r="Z3" s="13">
        <v>5.6625247001647949E-2</v>
      </c>
      <c r="AA3" s="13">
        <v>5.8075748383998871E-2</v>
      </c>
      <c r="AB3" s="13">
        <v>5.8921128511428833E-2</v>
      </c>
      <c r="AC3" s="13">
        <v>5.7191025465726852E-2</v>
      </c>
      <c r="AD3" s="13">
        <v>4.8412855714559562E-2</v>
      </c>
      <c r="AE3" s="13">
        <v>4.5246422290802002E-2</v>
      </c>
      <c r="AF3" s="13">
        <v>3.9521925151348107E-2</v>
      </c>
      <c r="AG3" s="13">
        <v>5.5390156805515289E-2</v>
      </c>
      <c r="AH3" s="13">
        <v>1.4683824963867659E-2</v>
      </c>
      <c r="AI3" s="13">
        <v>3.7803374230861657E-2</v>
      </c>
      <c r="AJ3" s="13">
        <v>3.8440905511379242E-2</v>
      </c>
      <c r="AK3" s="13">
        <v>4.3643329292535782E-2</v>
      </c>
      <c r="AL3" s="13">
        <v>5.5902425199747093E-2</v>
      </c>
      <c r="AM3" s="13">
        <v>4.4350031763315201E-2</v>
      </c>
      <c r="AN3" s="13">
        <v>5.7365026324987411E-2</v>
      </c>
      <c r="AO3" s="13">
        <v>5.0584495067596442E-2</v>
      </c>
      <c r="AP3" s="13">
        <v>3.6188744008541107E-2</v>
      </c>
      <c r="AQ3" s="13">
        <v>5.1331903785467148E-2</v>
      </c>
      <c r="AR3" s="13">
        <v>5.3158313035964973E-2</v>
      </c>
      <c r="AS3" s="13">
        <v>5.3955111652612693E-2</v>
      </c>
      <c r="AT3" s="13">
        <v>4.2485147714614868E-2</v>
      </c>
      <c r="AU3" s="13">
        <v>3.8132380694150918E-2</v>
      </c>
      <c r="AV3" s="13">
        <v>5.8870542794466019E-2</v>
      </c>
      <c r="AW3" s="13">
        <v>4.7994006425142288E-2</v>
      </c>
      <c r="AX3" s="13">
        <v>8.6182266473770142E-2</v>
      </c>
      <c r="AY3" s="13">
        <v>8.3852857351303101E-3</v>
      </c>
      <c r="AZ3" s="13">
        <v>4.4009331613779068E-2</v>
      </c>
      <c r="BA3" s="13">
        <v>4.9207791686058037E-2</v>
      </c>
      <c r="BB3" s="13">
        <v>7.653963565826416E-2</v>
      </c>
      <c r="BC3" s="13">
        <v>5.167977511882782E-2</v>
      </c>
      <c r="BD3" s="13">
        <v>5.0100985914468772E-2</v>
      </c>
      <c r="BE3" s="13">
        <v>5.2923846989870071E-2</v>
      </c>
      <c r="BF3" s="13">
        <v>5.2925221621990197E-2</v>
      </c>
      <c r="BG3" s="13">
        <v>-2.4431157857179642E-2</v>
      </c>
      <c r="BH3" s="13">
        <v>4.4987935572862632E-2</v>
      </c>
      <c r="BI3" s="13">
        <v>-5.5818486958742142E-2</v>
      </c>
      <c r="BJ3" s="13">
        <v>-1.4962164685130119E-2</v>
      </c>
      <c r="BK3" s="13">
        <v>5.2559554576873779E-2</v>
      </c>
      <c r="BL3" s="13">
        <v>-1.9598362967371941E-2</v>
      </c>
      <c r="BM3" s="13">
        <v>5.2786063402891159E-2</v>
      </c>
      <c r="BN3" s="13">
        <v>5.6244544684886932E-2</v>
      </c>
      <c r="BO3" s="13">
        <v>5.7009022682905197E-2</v>
      </c>
      <c r="BP3" s="13">
        <v>5.9325642883777618E-2</v>
      </c>
      <c r="BQ3" s="13">
        <v>5.38657046854496E-2</v>
      </c>
      <c r="BR3" s="13">
        <v>4.6412393450737E-2</v>
      </c>
      <c r="BS3" s="13">
        <v>5.4341584444046021E-2</v>
      </c>
      <c r="BT3" s="13">
        <v>6.0930393636226647E-2</v>
      </c>
      <c r="BU3" s="13">
        <v>5.4812837392091751E-2</v>
      </c>
      <c r="BV3" s="13">
        <v>5.2568450570106513E-2</v>
      </c>
      <c r="BW3" s="13">
        <v>3.7255365401506417E-2</v>
      </c>
      <c r="BX3" s="13">
        <v>5.682339146733284E-2</v>
      </c>
      <c r="BY3" s="13">
        <v>-2.3215686902403831E-2</v>
      </c>
      <c r="BZ3" s="13">
        <v>5.4056894034147263E-2</v>
      </c>
      <c r="CA3" s="13">
        <v>5.063512921333313E-2</v>
      </c>
      <c r="CB3" s="13">
        <v>4.6568762511014938E-2</v>
      </c>
      <c r="CC3" s="13">
        <v>5.2197903394699097E-2</v>
      </c>
      <c r="CD3" s="13">
        <v>4.967692494392395E-2</v>
      </c>
      <c r="CE3" s="13">
        <v>4.7654405236244202E-2</v>
      </c>
      <c r="CF3" s="13">
        <v>5.0498437136411667E-2</v>
      </c>
      <c r="CG3" s="13">
        <v>4.6334125101566308E-2</v>
      </c>
      <c r="CH3" s="13">
        <v>-5.2071664482355118E-2</v>
      </c>
      <c r="CI3" s="13">
        <v>3.2746680080890662E-2</v>
      </c>
      <c r="CJ3" s="13">
        <v>6.2081679701805108E-2</v>
      </c>
      <c r="CK3" s="13">
        <v>5.1945634186267853E-2</v>
      </c>
      <c r="CL3" s="13">
        <v>5.1343429833650589E-2</v>
      </c>
      <c r="CM3" s="13">
        <v>4.9791298806667328E-2</v>
      </c>
      <c r="CN3" s="13">
        <v>-5.1051981747150421E-2</v>
      </c>
      <c r="CO3" s="13">
        <v>4.8443220555782318E-2</v>
      </c>
      <c r="CP3" s="13">
        <v>3.831993043422699E-2</v>
      </c>
      <c r="CQ3" s="13">
        <v>4.6025007963180542E-2</v>
      </c>
      <c r="CR3" s="13">
        <v>4.8954267054796219E-2</v>
      </c>
      <c r="CS3" s="13">
        <v>4.7766562551259988E-2</v>
      </c>
      <c r="CT3" s="13">
        <v>2.650626003742218E-2</v>
      </c>
      <c r="CU3" s="13">
        <v>4.5024186372756958E-2</v>
      </c>
      <c r="CV3" s="13">
        <v>5.1086608320474618E-2</v>
      </c>
      <c r="CW3" s="13">
        <v>4.582851380109787E-2</v>
      </c>
      <c r="CX3" s="13">
        <v>5.2254576236009598E-2</v>
      </c>
      <c r="CY3" s="13">
        <v>5.200684443116188E-2</v>
      </c>
      <c r="CZ3" s="13">
        <v>4.3027881532907493E-2</v>
      </c>
      <c r="DA3" s="13">
        <v>4.4491849839687347E-2</v>
      </c>
      <c r="DB3" s="13">
        <v>5.3787026554346078E-2</v>
      </c>
      <c r="DC3" s="13">
        <v>5.2698738873004913E-2</v>
      </c>
      <c r="DD3" s="13">
        <v>3.576786071062088E-2</v>
      </c>
      <c r="DE3" s="13">
        <v>5.2665602415800088E-2</v>
      </c>
      <c r="DF3" s="13">
        <v>4.5536983758211143E-2</v>
      </c>
      <c r="DG3" s="13">
        <v>3.4475583583116531E-2</v>
      </c>
      <c r="DH3" s="13">
        <v>4.8142813146114349E-2</v>
      </c>
      <c r="DI3" s="13">
        <v>4.9271531403064728E-2</v>
      </c>
      <c r="DJ3" s="13">
        <v>5.2601665258407593E-2</v>
      </c>
      <c r="DK3" s="13">
        <v>6.7928150296211243E-2</v>
      </c>
      <c r="DL3" s="13">
        <v>-5.9254914522171021E-3</v>
      </c>
      <c r="DM3" s="13">
        <v>4.8600025475025177E-2</v>
      </c>
      <c r="DN3" s="13">
        <v>4.6405158936977393E-2</v>
      </c>
      <c r="DO3" s="13">
        <v>-2.6236224919557571E-2</v>
      </c>
      <c r="DP3" s="13">
        <v>4.7461628913879388E-2</v>
      </c>
      <c r="DQ3" s="13">
        <v>3.6974836140871048E-2</v>
      </c>
      <c r="DR3" s="13">
        <v>4.2524911463260651E-2</v>
      </c>
      <c r="DS3" s="13">
        <v>4.7911066561937332E-2</v>
      </c>
      <c r="DT3" s="13">
        <v>2.2824956104159359E-2</v>
      </c>
      <c r="DU3" s="13">
        <v>5.4288685321807861E-2</v>
      </c>
      <c r="DV3" s="13">
        <v>4.625309631228447E-2</v>
      </c>
      <c r="DW3" s="13">
        <v>4.7988094389438629E-2</v>
      </c>
      <c r="DX3" s="13">
        <v>4.7624159604310989E-2</v>
      </c>
      <c r="DY3" s="13">
        <v>-6.7029789090156555E-2</v>
      </c>
      <c r="DZ3" s="13">
        <v>3.5397574305534363E-2</v>
      </c>
      <c r="EA3" s="13">
        <v>4.962235689163208E-2</v>
      </c>
      <c r="EB3" s="13">
        <v>1.5088049694895741E-2</v>
      </c>
      <c r="EC3" s="13">
        <v>3.6462400108575821E-2</v>
      </c>
      <c r="ED3" s="13">
        <v>6.3536964356899261E-2</v>
      </c>
      <c r="EE3" s="13">
        <v>4.7288980334997177E-2</v>
      </c>
      <c r="EF3" s="13">
        <v>4.9761466681957238E-2</v>
      </c>
      <c r="EG3" s="13">
        <v>4.3250363320112228E-2</v>
      </c>
      <c r="EH3" s="13">
        <v>1.8230888992547989E-2</v>
      </c>
      <c r="EI3" s="13">
        <v>5.3057532757520683E-2</v>
      </c>
      <c r="EJ3" s="13">
        <v>4.9299325793981552E-2</v>
      </c>
      <c r="EK3" s="13">
        <v>4.9753554165363312E-2</v>
      </c>
      <c r="EL3" s="13">
        <v>4.7524686902761459E-2</v>
      </c>
    </row>
    <row r="4" spans="1:142" ht="25" customHeight="1" x14ac:dyDescent="0.55000000000000004">
      <c r="B4" s="11" t="s">
        <v>144</v>
      </c>
      <c r="C4" s="13">
        <v>-3.0663138255476952E-2</v>
      </c>
      <c r="D4" s="13">
        <v>-5.034250020980835E-2</v>
      </c>
      <c r="E4" s="13">
        <v>-3.9785187691450119E-2</v>
      </c>
      <c r="F4" s="13">
        <v>-3.6133710294961929E-2</v>
      </c>
      <c r="G4" s="13">
        <v>4.467344656586647E-2</v>
      </c>
      <c r="H4" s="13">
        <v>-0.1628625690937042</v>
      </c>
      <c r="I4" s="13">
        <v>-4.0721379220485687E-2</v>
      </c>
      <c r="J4" s="13">
        <v>3.0216570943593979E-2</v>
      </c>
      <c r="K4" s="13">
        <v>-3.253590315580368E-2</v>
      </c>
      <c r="L4" s="13">
        <v>-3.943561390042305E-2</v>
      </c>
      <c r="M4" s="13">
        <v>-3.666292130947113E-2</v>
      </c>
      <c r="N4" s="13">
        <v>4.0030878037214279E-2</v>
      </c>
      <c r="O4" s="13">
        <v>4.1884001344442368E-2</v>
      </c>
      <c r="P4" s="13">
        <v>-4.0444657206535339E-2</v>
      </c>
      <c r="Q4" s="13">
        <v>1.857642829418182E-2</v>
      </c>
      <c r="R4" s="13">
        <v>-2.829065173864365E-2</v>
      </c>
      <c r="S4" s="13">
        <v>-3.5978645086288452E-2</v>
      </c>
      <c r="T4" s="13">
        <v>2.9547009617090229E-2</v>
      </c>
      <c r="U4" s="13">
        <v>3.2607868313789368E-2</v>
      </c>
      <c r="V4" s="13">
        <v>-3.6388922482728958E-2</v>
      </c>
      <c r="W4" s="13">
        <v>-4.2822007089853287E-2</v>
      </c>
      <c r="X4" s="13">
        <v>-3.6966376006603241E-2</v>
      </c>
      <c r="Y4" s="13">
        <v>-3.3312540501356118E-2</v>
      </c>
      <c r="Z4" s="13">
        <v>-3.001893125474453E-2</v>
      </c>
      <c r="AA4" s="13">
        <v>-3.2679852098226547E-2</v>
      </c>
      <c r="AB4" s="13">
        <v>2.5544572621583939E-2</v>
      </c>
      <c r="AC4" s="13">
        <v>-3.0559385195374489E-2</v>
      </c>
      <c r="AD4" s="13">
        <v>-3.4821953624486923E-2</v>
      </c>
      <c r="AE4" s="13">
        <v>6.712651252746582E-2</v>
      </c>
      <c r="AF4" s="13">
        <v>-3.094292618334293E-2</v>
      </c>
      <c r="AG4" s="13">
        <v>-4.2559638619422913E-2</v>
      </c>
      <c r="AH4" s="13">
        <v>-1.8579920753836628E-2</v>
      </c>
      <c r="AI4" s="13">
        <v>2.7163092046976089E-2</v>
      </c>
      <c r="AJ4" s="13">
        <v>1.4020096510648729E-2</v>
      </c>
      <c r="AK4" s="13">
        <v>-3.4004654735326767E-2</v>
      </c>
      <c r="AL4" s="13">
        <v>2.862254902720451E-2</v>
      </c>
      <c r="AM4" s="13">
        <v>-3.4602928906679153E-2</v>
      </c>
      <c r="AN4" s="13">
        <v>-2.4779008701443669E-2</v>
      </c>
      <c r="AO4" s="13">
        <v>-5.1725324243307107E-2</v>
      </c>
      <c r="AP4" s="13">
        <v>6.6316254436969757E-2</v>
      </c>
      <c r="AQ4" s="13">
        <v>-3.3196955919265747E-2</v>
      </c>
      <c r="AR4" s="13">
        <v>-2.6140265166759491E-2</v>
      </c>
      <c r="AS4" s="13">
        <v>1.07799400575459E-3</v>
      </c>
      <c r="AT4" s="13">
        <v>-2.851795963943005E-2</v>
      </c>
      <c r="AU4" s="13">
        <v>-4.8994671553373337E-2</v>
      </c>
      <c r="AV4" s="13">
        <v>3.2629318535327911E-2</v>
      </c>
      <c r="AW4" s="13">
        <v>-2.106872946023941E-2</v>
      </c>
      <c r="AX4" s="13">
        <v>-5.0037145614624023E-2</v>
      </c>
      <c r="AY4" s="13">
        <v>3.8394477218389511E-2</v>
      </c>
      <c r="AZ4" s="13">
        <v>-4.6988997608423233E-2</v>
      </c>
      <c r="BA4" s="13">
        <v>2.716952562332153E-2</v>
      </c>
      <c r="BB4" s="13">
        <v>-3.3924028277397163E-2</v>
      </c>
      <c r="BC4" s="13">
        <v>-2.8171896934509281E-2</v>
      </c>
      <c r="BD4" s="13">
        <v>7.9279758036136627E-2</v>
      </c>
      <c r="BE4" s="13">
        <v>-6.5230011940002441E-2</v>
      </c>
      <c r="BF4" s="13">
        <v>-3.2597191631793983E-2</v>
      </c>
      <c r="BG4" s="13">
        <v>-6.3128843903541565E-2</v>
      </c>
      <c r="BH4" s="13">
        <v>-4.8509896732866764E-3</v>
      </c>
      <c r="BI4" s="13">
        <v>-3.461967408657074E-2</v>
      </c>
      <c r="BJ4" s="13">
        <v>-4.3740075081586838E-2</v>
      </c>
      <c r="BK4" s="13">
        <v>-1.662034075707197E-3</v>
      </c>
      <c r="BL4" s="13">
        <v>5.6854188442230216E-3</v>
      </c>
      <c r="BM4" s="13">
        <v>4.5709989964962013E-2</v>
      </c>
      <c r="BN4" s="13">
        <v>3.3833611756563187E-2</v>
      </c>
      <c r="BO4" s="13">
        <v>-9.0293154120445251E-2</v>
      </c>
      <c r="BP4" s="13">
        <v>3.6973550915718079E-2</v>
      </c>
      <c r="BQ4" s="13">
        <v>3.5409048199653632E-2</v>
      </c>
      <c r="BR4" s="13">
        <v>-5.8591317385435097E-2</v>
      </c>
      <c r="BS4" s="13">
        <v>4.0612448006868362E-2</v>
      </c>
      <c r="BT4" s="13">
        <v>-2.6653701439499859E-2</v>
      </c>
      <c r="BU4" s="13">
        <v>-4.852568730711937E-2</v>
      </c>
      <c r="BV4" s="13">
        <v>-3.6710593849420547E-2</v>
      </c>
      <c r="BW4" s="13">
        <v>-2.6956351473927501E-2</v>
      </c>
      <c r="BX4" s="13">
        <v>-2.2222328931093219E-2</v>
      </c>
      <c r="BY4" s="13">
        <v>5.5634047836065292E-2</v>
      </c>
      <c r="BZ4" s="13">
        <v>3.1823184341192252E-2</v>
      </c>
      <c r="CA4" s="13">
        <v>3.3842761069536209E-2</v>
      </c>
      <c r="CB4" s="13">
        <v>-4.9766700714826577E-2</v>
      </c>
      <c r="CC4" s="13">
        <v>-3.0912276357412342E-2</v>
      </c>
      <c r="CD4" s="13">
        <v>3.2408569008111947E-2</v>
      </c>
      <c r="CE4" s="13">
        <v>-3.9579436182975769E-2</v>
      </c>
      <c r="CF4" s="13">
        <v>-1.251911278814077E-2</v>
      </c>
      <c r="CG4" s="13">
        <v>-3.2040257006883621E-2</v>
      </c>
      <c r="CH4" s="13">
        <v>9.6894605085253716E-3</v>
      </c>
      <c r="CI4" s="13">
        <v>-4.0054671466350562E-2</v>
      </c>
      <c r="CJ4" s="13">
        <v>-3.8043182343244553E-2</v>
      </c>
      <c r="CK4" s="13">
        <v>-1.224210113286972E-2</v>
      </c>
      <c r="CL4" s="13">
        <v>5.391576886177063E-2</v>
      </c>
      <c r="CM4" s="13">
        <v>-9.7341146320104599E-3</v>
      </c>
      <c r="CN4" s="13">
        <v>3.1725849956274033E-2</v>
      </c>
      <c r="CO4" s="13">
        <v>-6.1310693621635437E-2</v>
      </c>
      <c r="CP4" s="13">
        <v>-3.172619640827179E-2</v>
      </c>
      <c r="CQ4" s="13">
        <v>-6.4088389277458191E-2</v>
      </c>
      <c r="CR4" s="13">
        <v>5.1752254366874688E-2</v>
      </c>
      <c r="CS4" s="13">
        <v>-4.6389646828174591E-2</v>
      </c>
      <c r="CT4" s="13">
        <v>-2.5805598124861721E-2</v>
      </c>
      <c r="CU4" s="13">
        <v>-3.8406036794185638E-2</v>
      </c>
      <c r="CV4" s="13">
        <v>4.8397261649370187E-2</v>
      </c>
      <c r="CW4" s="13">
        <v>-5.0927214324474328E-2</v>
      </c>
      <c r="CX4" s="13">
        <v>4.8858575522899628E-2</v>
      </c>
      <c r="CY4" s="13">
        <v>-2.9716761782765388E-2</v>
      </c>
      <c r="CZ4" s="13">
        <v>3.2698560506105423E-2</v>
      </c>
      <c r="DA4" s="13">
        <v>-3.1618602573871613E-2</v>
      </c>
      <c r="DB4" s="13">
        <v>-3.5143610090017319E-2</v>
      </c>
      <c r="DC4" s="13">
        <v>-4.14128378033638E-2</v>
      </c>
      <c r="DD4" s="13">
        <v>1.5055138617753981E-2</v>
      </c>
      <c r="DE4" s="13">
        <v>-4.9718223512172699E-2</v>
      </c>
      <c r="DF4" s="13">
        <v>0.1166923344135284</v>
      </c>
      <c r="DG4" s="13">
        <v>-1.690609194338322E-2</v>
      </c>
      <c r="DH4" s="13">
        <v>-3.8817554712295532E-2</v>
      </c>
      <c r="DI4" s="13">
        <v>-4.0171805769205093E-2</v>
      </c>
      <c r="DJ4" s="13">
        <v>-3.1981322914361947E-2</v>
      </c>
      <c r="DK4" s="13">
        <v>-3.1998563557863242E-2</v>
      </c>
      <c r="DL4" s="13">
        <v>-6.0599394142627723E-2</v>
      </c>
      <c r="DM4" s="13">
        <v>-2.796678431332111E-2</v>
      </c>
      <c r="DN4" s="13">
        <v>4.3845832347869873E-2</v>
      </c>
      <c r="DO4" s="13">
        <v>-3.7243012338876717E-2</v>
      </c>
      <c r="DP4" s="13">
        <v>-2.7684574946761131E-2</v>
      </c>
      <c r="DQ4" s="13">
        <v>3.3728264272212982E-2</v>
      </c>
      <c r="DR4" s="13">
        <v>4.1185859590768807E-2</v>
      </c>
      <c r="DS4" s="13">
        <v>1.235201675444841E-2</v>
      </c>
      <c r="DT4" s="13">
        <v>-4.7935560345649719E-2</v>
      </c>
      <c r="DU4" s="13">
        <v>-3.8289569318294532E-2</v>
      </c>
      <c r="DV4" s="13">
        <v>-2.212706953287125E-2</v>
      </c>
      <c r="DW4" s="13">
        <v>3.067734465003014E-2</v>
      </c>
      <c r="DX4" s="13">
        <v>5.0036542117595673E-2</v>
      </c>
      <c r="DY4" s="13">
        <v>-3.6927513778209693E-2</v>
      </c>
      <c r="DZ4" s="13">
        <v>-2.276518568396568E-2</v>
      </c>
      <c r="EA4" s="13">
        <v>-3.0415996443480249E-3</v>
      </c>
      <c r="EB4" s="13">
        <v>-2.8134334832429889E-2</v>
      </c>
      <c r="EC4" s="13">
        <v>3.842022642493248E-2</v>
      </c>
      <c r="ED4" s="13">
        <v>-2.6526790112257E-2</v>
      </c>
      <c r="EE4" s="13">
        <v>-2.6496067643165588E-2</v>
      </c>
      <c r="EF4" s="13">
        <v>-4.9025822430849082E-2</v>
      </c>
      <c r="EG4" s="13">
        <v>3.9000969380140298E-2</v>
      </c>
      <c r="EH4" s="13">
        <v>-4.1339848190546043E-2</v>
      </c>
      <c r="EI4" s="13">
        <v>-3.1872410327196121E-2</v>
      </c>
      <c r="EJ4" s="13">
        <v>-5.2841221913695344E-3</v>
      </c>
      <c r="EK4" s="13">
        <v>-5.0885953009128571E-2</v>
      </c>
      <c r="EL4" s="13">
        <v>-2.6955738663673401E-2</v>
      </c>
    </row>
    <row r="5" spans="1:142" ht="25" customHeight="1" x14ac:dyDescent="0.55000000000000004">
      <c r="B5" s="14" t="s">
        <v>145</v>
      </c>
      <c r="C5" s="13">
        <v>3.6289624404162169E-4</v>
      </c>
      <c r="D5" s="13">
        <v>-4.7030290588736534E-3</v>
      </c>
      <c r="E5" s="13">
        <v>3.9310019463300698E-2</v>
      </c>
      <c r="F5" s="13">
        <v>-2.5351378135383129E-3</v>
      </c>
      <c r="G5" s="13">
        <v>-8.9769922196865082E-3</v>
      </c>
      <c r="H5" s="13">
        <v>-4.0814103558659554E-3</v>
      </c>
      <c r="I5" s="13">
        <v>-2.2879412397742271E-2</v>
      </c>
      <c r="J5" s="13">
        <v>-5.5557778105139732E-3</v>
      </c>
      <c r="K5" s="13">
        <v>-3.2011959701776498E-2</v>
      </c>
      <c r="L5" s="13">
        <v>-1.318412367254496E-2</v>
      </c>
      <c r="M5" s="13">
        <v>-4.5432569459080696E-3</v>
      </c>
      <c r="N5" s="13">
        <v>-4.1294649243354797E-2</v>
      </c>
      <c r="O5" s="13">
        <v>-4.1241466999053962E-2</v>
      </c>
      <c r="P5" s="13">
        <v>-7.3996227001771331E-4</v>
      </c>
      <c r="Q5" s="13">
        <v>5.5957110598683357E-3</v>
      </c>
      <c r="R5" s="13">
        <v>5.7745538651943207E-4</v>
      </c>
      <c r="S5" s="13">
        <v>3.6454323679208762E-2</v>
      </c>
      <c r="T5" s="13">
        <v>5.9111282229423523E-2</v>
      </c>
      <c r="U5" s="13">
        <v>-6.631969939917326E-3</v>
      </c>
      <c r="V5" s="13">
        <v>3.140028333291411E-3</v>
      </c>
      <c r="W5" s="13">
        <v>4.2909816838800907E-3</v>
      </c>
      <c r="X5" s="13">
        <v>9.7454310161992908E-4</v>
      </c>
      <c r="Y5" s="13">
        <v>-5.0387335941195488E-3</v>
      </c>
      <c r="Z5" s="13">
        <v>1.1117637623101471E-3</v>
      </c>
      <c r="AA5" s="13">
        <v>8.0119017511606216E-3</v>
      </c>
      <c r="AB5" s="13">
        <v>-5.6261434219777584E-3</v>
      </c>
      <c r="AC5" s="13">
        <v>-1.187489461153746E-2</v>
      </c>
      <c r="AD5" s="13">
        <v>-3.4900698810815811E-2</v>
      </c>
      <c r="AE5" s="13">
        <v>0.1127459183335304</v>
      </c>
      <c r="AF5" s="13">
        <v>4.2073335498571403E-2</v>
      </c>
      <c r="AG5" s="13">
        <v>-3.4655437339097261E-3</v>
      </c>
      <c r="AH5" s="13">
        <v>-1.322280615568161E-3</v>
      </c>
      <c r="AI5" s="13">
        <v>-5.5107235675677657E-4</v>
      </c>
      <c r="AJ5" s="13">
        <v>2.1587325260043141E-2</v>
      </c>
      <c r="AK5" s="13">
        <v>-1.009204611182213E-2</v>
      </c>
      <c r="AL5" s="13">
        <v>3.0231490731239319E-2</v>
      </c>
      <c r="AM5" s="13">
        <v>-3.376553300768137E-3</v>
      </c>
      <c r="AN5" s="13">
        <v>2.2095214808359739E-4</v>
      </c>
      <c r="AO5" s="13">
        <v>4.6456549316644669E-3</v>
      </c>
      <c r="AP5" s="13">
        <v>-1.433362369425595E-3</v>
      </c>
      <c r="AQ5" s="13">
        <v>5.6547252461314201E-4</v>
      </c>
      <c r="AR5" s="13">
        <v>8.8455207878723741E-4</v>
      </c>
      <c r="AS5" s="13">
        <v>-7.5138173997402191E-3</v>
      </c>
      <c r="AT5" s="13">
        <v>3.9739634841680527E-2</v>
      </c>
      <c r="AU5" s="13">
        <v>-4.4755846261978149E-2</v>
      </c>
      <c r="AV5" s="13">
        <v>1.531134266406298E-2</v>
      </c>
      <c r="AW5" s="13">
        <v>-7.7996831387281418E-3</v>
      </c>
      <c r="AX5" s="13">
        <v>-6.6344905644655228E-3</v>
      </c>
      <c r="AY5" s="13">
        <v>-5.8644581586122513E-3</v>
      </c>
      <c r="AZ5" s="13">
        <v>1.6232047230005261E-2</v>
      </c>
      <c r="BA5" s="13">
        <v>3.7022528704255819E-3</v>
      </c>
      <c r="BB5" s="13">
        <v>-4.0927533060312271E-2</v>
      </c>
      <c r="BC5" s="13">
        <v>5.2334512583911419E-3</v>
      </c>
      <c r="BD5" s="13">
        <v>-1.16312550380826E-2</v>
      </c>
      <c r="BE5" s="13">
        <v>2.2965032607316971E-2</v>
      </c>
      <c r="BF5" s="13">
        <v>6.3186627812683582E-3</v>
      </c>
      <c r="BG5" s="13">
        <v>-3.5152919590473179E-3</v>
      </c>
      <c r="BH5" s="13">
        <v>-1.207283115945756E-3</v>
      </c>
      <c r="BI5" s="13">
        <v>3.6210671532899141E-3</v>
      </c>
      <c r="BJ5" s="13">
        <v>4.7536559402942657E-2</v>
      </c>
      <c r="BK5" s="13">
        <v>-3.1086509115993981E-3</v>
      </c>
      <c r="BL5" s="13">
        <v>1.071612164378166E-2</v>
      </c>
      <c r="BM5" s="13">
        <v>1.187751535326242E-3</v>
      </c>
      <c r="BN5" s="13">
        <v>1.7234014347195629E-2</v>
      </c>
      <c r="BO5" s="13">
        <v>-4.7961845993995673E-2</v>
      </c>
      <c r="BP5" s="13">
        <v>3.9902324788272381E-3</v>
      </c>
      <c r="BQ5" s="13">
        <v>-4.4092379510402679E-2</v>
      </c>
      <c r="BR5" s="13">
        <v>6.221311166882515E-3</v>
      </c>
      <c r="BS5" s="13">
        <v>2.4535989388823509E-2</v>
      </c>
      <c r="BT5" s="13">
        <v>4.5816980302333832E-2</v>
      </c>
      <c r="BU5" s="13">
        <v>6.3894698396325111E-3</v>
      </c>
      <c r="BV5" s="13">
        <v>-3.2226834446191788E-2</v>
      </c>
      <c r="BW5" s="13">
        <v>-4.5471269637346268E-2</v>
      </c>
      <c r="BX5" s="13">
        <v>-2.8136062901467081E-3</v>
      </c>
      <c r="BY5" s="13">
        <v>1.4142453670501711E-2</v>
      </c>
      <c r="BZ5" s="13">
        <v>9.5615731552243233E-3</v>
      </c>
      <c r="CA5" s="13">
        <v>-1.1941260658204561E-2</v>
      </c>
      <c r="CB5" s="13">
        <v>-4.052068293094635E-2</v>
      </c>
      <c r="CC5" s="13">
        <v>-2.7640594635158782E-3</v>
      </c>
      <c r="CD5" s="13">
        <v>-5.609588697552681E-4</v>
      </c>
      <c r="CE5" s="13">
        <v>9.2240404337644577E-3</v>
      </c>
      <c r="CF5" s="13">
        <v>2.2036917507648468E-3</v>
      </c>
      <c r="CG5" s="13">
        <v>-0.13772884011268621</v>
      </c>
      <c r="CH5" s="13">
        <v>2.2008614614605899E-3</v>
      </c>
      <c r="CI5" s="13">
        <v>-9.7536045359447598E-4</v>
      </c>
      <c r="CJ5" s="13">
        <v>1.973877660930157E-4</v>
      </c>
      <c r="CK5" s="13">
        <v>-1.8111476674675939E-4</v>
      </c>
      <c r="CL5" s="13">
        <v>-7.6191104017198086E-4</v>
      </c>
      <c r="CM5" s="13">
        <v>9.0873483568429947E-3</v>
      </c>
      <c r="CN5" s="13">
        <v>3.9870841428637496E-3</v>
      </c>
      <c r="CO5" s="13">
        <v>7.4081374332308769E-3</v>
      </c>
      <c r="CP5" s="13">
        <v>1.7250750679522751E-3</v>
      </c>
      <c r="CQ5" s="13">
        <v>1.0243877768516541E-2</v>
      </c>
      <c r="CR5" s="13">
        <v>6.2684942968189716E-3</v>
      </c>
      <c r="CS5" s="13">
        <v>8.0491055268794298E-4</v>
      </c>
      <c r="CT5" s="13">
        <v>4.5435507781803608E-3</v>
      </c>
      <c r="CU5" s="13">
        <v>1.528298482298851E-3</v>
      </c>
      <c r="CV5" s="13">
        <v>4.1806655935943127E-3</v>
      </c>
      <c r="CW5" s="13">
        <v>1.556450151838362E-3</v>
      </c>
      <c r="CX5" s="13">
        <v>3.210121532902122E-3</v>
      </c>
      <c r="CY5" s="13">
        <v>2.679457189515233E-3</v>
      </c>
      <c r="CZ5" s="13">
        <v>3.764988854527473E-3</v>
      </c>
      <c r="DA5" s="13">
        <v>3.5784679930657148E-3</v>
      </c>
      <c r="DB5" s="13">
        <v>1.9439185271039609E-3</v>
      </c>
      <c r="DC5" s="13">
        <v>1.0020709596574311E-3</v>
      </c>
      <c r="DD5" s="13">
        <v>9.9925734102725983E-3</v>
      </c>
      <c r="DE5" s="13">
        <v>2.5877245934680099E-4</v>
      </c>
      <c r="DF5" s="13">
        <v>-1.7707206308841709E-2</v>
      </c>
      <c r="DG5" s="13">
        <v>-4.9888982903212309E-4</v>
      </c>
      <c r="DH5" s="13">
        <v>-1.3163026887923479E-3</v>
      </c>
      <c r="DI5" s="13">
        <v>-1.4552123844623569E-2</v>
      </c>
      <c r="DJ5" s="13">
        <v>9.9625419825315475E-3</v>
      </c>
      <c r="DK5" s="13">
        <v>-3.4113347064703699E-3</v>
      </c>
      <c r="DL5" s="13">
        <v>1.083631254732609E-2</v>
      </c>
      <c r="DM5" s="13">
        <v>5.2681826055049896E-3</v>
      </c>
      <c r="DN5" s="13">
        <v>-5.4682022891938686E-4</v>
      </c>
      <c r="DO5" s="13">
        <v>6.5767709165811539E-3</v>
      </c>
      <c r="DP5" s="13">
        <v>-1.6435611760243769E-3</v>
      </c>
      <c r="DQ5" s="13">
        <v>5.4094893857836723E-4</v>
      </c>
      <c r="DR5" s="13">
        <v>-3.4784905146807428E-3</v>
      </c>
      <c r="DS5" s="13">
        <v>1.484264037571847E-3</v>
      </c>
      <c r="DT5" s="13">
        <v>3.8467980921268459E-3</v>
      </c>
      <c r="DU5" s="13">
        <v>6.0129705816507339E-3</v>
      </c>
      <c r="DV5" s="13">
        <v>9.7504263976588845E-4</v>
      </c>
      <c r="DW5" s="13">
        <v>-3.9665079675614834E-3</v>
      </c>
      <c r="DX5" s="13">
        <v>-2.195812296122313E-3</v>
      </c>
      <c r="DY5" s="13">
        <v>1.573592540808022E-3</v>
      </c>
      <c r="DZ5" s="13">
        <v>2.0844347774982449E-2</v>
      </c>
      <c r="EA5" s="13">
        <v>1.522734062746167E-3</v>
      </c>
      <c r="EB5" s="13">
        <v>-1.3595668133348231E-3</v>
      </c>
      <c r="EC5" s="13">
        <v>-2.191043458878994E-4</v>
      </c>
      <c r="ED5" s="13">
        <v>-7.2382530197501183E-3</v>
      </c>
      <c r="EE5" s="13">
        <v>-1.8102847971022129E-3</v>
      </c>
      <c r="EF5" s="13">
        <v>-1.506768399849534E-3</v>
      </c>
      <c r="EG5" s="13">
        <v>4.9211690202355376E-3</v>
      </c>
      <c r="EH5" s="13">
        <v>1.368552632629871E-2</v>
      </c>
      <c r="EI5" s="13">
        <v>1.2731903698295351E-3</v>
      </c>
      <c r="EJ5" s="13">
        <v>4.1038659401237959E-4</v>
      </c>
      <c r="EK5" s="13">
        <v>1.3772393576800821E-3</v>
      </c>
      <c r="EL5" s="13">
        <v>1.5154600143432621E-2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260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5">
        <v>0.11254352719484539</v>
      </c>
      <c r="D9" s="15">
        <v>3.4097092674766981E-2</v>
      </c>
      <c r="E9" s="15">
        <v>-3.4092260699407372E-2</v>
      </c>
      <c r="F9" s="15">
        <v>-1.6058652052230761E-2</v>
      </c>
      <c r="G9" s="15">
        <v>-3.2385095991844209E-3</v>
      </c>
      <c r="H9" s="15">
        <v>3.7901102181058133E-2</v>
      </c>
      <c r="I9" s="15">
        <v>0.1965804247315599</v>
      </c>
      <c r="J9" s="15">
        <v>0.1237480024553423</v>
      </c>
      <c r="K9" s="15">
        <v>-3.4480581182707408E-3</v>
      </c>
      <c r="L9" s="15">
        <v>5.6295168092590213E-2</v>
      </c>
      <c r="M9" s="15">
        <v>-3.3270600801394837E-2</v>
      </c>
      <c r="N9" s="15">
        <v>0.13532465860422921</v>
      </c>
      <c r="O9" s="15">
        <v>2.9695310315939211E-2</v>
      </c>
      <c r="P9" s="15">
        <v>-7.5919535735049448E-2</v>
      </c>
      <c r="Q9" s="15">
        <v>-6.2747606103742651E-2</v>
      </c>
      <c r="R9" s="15">
        <v>3.4334773497897583E-2</v>
      </c>
      <c r="S9" s="15">
        <v>-0.11448918064350951</v>
      </c>
      <c r="T9" s="15">
        <v>-0.12841099749903981</v>
      </c>
      <c r="U9" s="15">
        <v>-1.8154029670731559E-2</v>
      </c>
      <c r="V9" s="15">
        <v>9.7284225967770491E-2</v>
      </c>
      <c r="W9" s="15">
        <v>6.4486060268650364E-2</v>
      </c>
      <c r="X9" s="15">
        <v>0.1327038041673102</v>
      </c>
      <c r="Y9" s="15">
        <v>-0.14506291258214879</v>
      </c>
      <c r="Z9" s="15">
        <v>0.15983802373895209</v>
      </c>
      <c r="AA9" s="15">
        <v>-7.943967423672775E-2</v>
      </c>
      <c r="AB9" s="15">
        <v>6.5463770993359177E-2</v>
      </c>
      <c r="AC9" s="15">
        <v>0.1084175724655288</v>
      </c>
      <c r="AD9" s="15">
        <v>3.5162093923887777E-2</v>
      </c>
      <c r="AE9" s="15">
        <v>-0.13259397376979831</v>
      </c>
      <c r="AF9" s="15">
        <v>7.9167281836763165E-2</v>
      </c>
      <c r="AG9" s="15">
        <v>0.14744720008266871</v>
      </c>
      <c r="AH9" s="15">
        <v>0.1081810761945582</v>
      </c>
      <c r="AI9" s="15">
        <v>3.1505045798710121E-2</v>
      </c>
      <c r="AJ9" s="15">
        <v>6.8324574139767447E-2</v>
      </c>
      <c r="AK9" s="15">
        <v>0.13938042010895871</v>
      </c>
      <c r="AL9" s="15">
        <v>1.592744707157312E-3</v>
      </c>
      <c r="AM9" s="15">
        <v>0.1169932331404209</v>
      </c>
      <c r="AN9" s="15">
        <v>0.18348805683608069</v>
      </c>
      <c r="AO9" s="15">
        <v>-1.362463266883975E-2</v>
      </c>
      <c r="AP9" s="15">
        <v>-0.1063675409967041</v>
      </c>
      <c r="AQ9" s="15">
        <v>-2.6929215006442419E-2</v>
      </c>
      <c r="AR9" s="15">
        <v>4.2036530640737653E-2</v>
      </c>
      <c r="AS9" s="15">
        <v>1.8696586580941189E-2</v>
      </c>
      <c r="AT9" s="15">
        <v>5.0640505974700809E-2</v>
      </c>
      <c r="AU9" s="15">
        <v>6.0413158509975098E-2</v>
      </c>
      <c r="AV9" s="15">
        <v>-4.9074616769233352E-2</v>
      </c>
      <c r="AW9" s="15">
        <v>4.1357508732538503E-2</v>
      </c>
      <c r="AX9" s="15">
        <v>0.13272310010770769</v>
      </c>
      <c r="AY9" s="15">
        <v>5.4625779598230978E-2</v>
      </c>
      <c r="AZ9" s="15">
        <v>1.5696796231307941E-2</v>
      </c>
      <c r="BA9" s="15">
        <v>1.2690345442841731E-2</v>
      </c>
      <c r="BB9" s="15">
        <v>0.1043530163836375</v>
      </c>
      <c r="BC9" s="15">
        <v>2.7796633350819049E-2</v>
      </c>
      <c r="BD9" s="15">
        <v>1.578432168905794E-2</v>
      </c>
      <c r="BE9" s="15">
        <v>5.3739937687461103E-2</v>
      </c>
      <c r="BF9" s="15">
        <v>0.15375843628247049</v>
      </c>
      <c r="BG9" s="15">
        <v>0.14726982376849199</v>
      </c>
      <c r="BH9" s="15">
        <v>5.8771534945936843E-2</v>
      </c>
      <c r="BI9" s="15">
        <v>8.9685563511176306E-2</v>
      </c>
      <c r="BJ9" s="15">
        <v>-4.1235808180358727E-2</v>
      </c>
      <c r="BK9" s="15">
        <v>-8.5734728231317864E-2</v>
      </c>
      <c r="BL9" s="15">
        <v>6.5414039984698302E-2</v>
      </c>
      <c r="BM9" s="15">
        <v>-3.1368353257727542E-2</v>
      </c>
      <c r="BN9" s="15">
        <v>3.5359621536754919E-2</v>
      </c>
      <c r="BO9" s="15">
        <v>7.7704284912140056E-2</v>
      </c>
      <c r="BP9" s="15">
        <v>-1.4539108034672661E-2</v>
      </c>
      <c r="BQ9" s="15">
        <v>5.4478664726366338E-2</v>
      </c>
      <c r="BR9" s="15">
        <v>-1.1979953341828281E-2</v>
      </c>
      <c r="BS9" s="15">
        <v>6.1686424636285153E-2</v>
      </c>
      <c r="BT9" s="15">
        <v>1.760973665085316E-2</v>
      </c>
      <c r="BU9" s="15">
        <v>1.762998043724756E-3</v>
      </c>
      <c r="BV9" s="15">
        <v>7.9901428485713702E-2</v>
      </c>
      <c r="BW9" s="15">
        <v>-2.610637658719216E-2</v>
      </c>
      <c r="BX9" s="15">
        <v>2.2152373945232812E-2</v>
      </c>
      <c r="BY9" s="15">
        <v>-7.0677724562749358E-2</v>
      </c>
      <c r="BZ9" s="15">
        <v>0.10127162087670701</v>
      </c>
      <c r="CA9" s="15">
        <v>-0.1116632811959762</v>
      </c>
      <c r="CB9" s="15">
        <v>2.134222205387841E-2</v>
      </c>
      <c r="CC9" s="15">
        <v>-4.7361278925352373E-3</v>
      </c>
      <c r="CD9" s="15">
        <v>0.1795510120924832</v>
      </c>
      <c r="CE9" s="15">
        <v>6.1307642545500363E-2</v>
      </c>
      <c r="CF9" s="15">
        <v>9.1604773996528527E-2</v>
      </c>
      <c r="CG9" s="15">
        <v>9.7692005436922261E-2</v>
      </c>
      <c r="CH9" s="15">
        <v>0.1571471245578184</v>
      </c>
      <c r="CI9" s="15">
        <v>-8.8647186187573918E-2</v>
      </c>
      <c r="CJ9" s="15">
        <v>-1.4935576134504041E-2</v>
      </c>
      <c r="CK9" s="15">
        <v>3.8208336269377141E-2</v>
      </c>
      <c r="CL9" s="15">
        <v>0.31725853511632429</v>
      </c>
      <c r="CM9" s="15">
        <v>-4.9949969650243523E-2</v>
      </c>
      <c r="CN9" s="15">
        <v>-3.8447026726622632E-2</v>
      </c>
      <c r="CO9" s="15">
        <v>7.1081192451511485E-4</v>
      </c>
      <c r="CP9" s="15">
        <v>0.14471257826235909</v>
      </c>
      <c r="CQ9" s="15">
        <v>0.149288994346539</v>
      </c>
      <c r="CR9" s="15">
        <v>-3.9801054122727553E-2</v>
      </c>
      <c r="CS9" s="15">
        <v>-4.6545918793314787E-2</v>
      </c>
      <c r="CT9" s="15">
        <v>3.4133664121905993E-2</v>
      </c>
      <c r="CU9" s="15">
        <v>0.12875405559550171</v>
      </c>
      <c r="CV9" s="15">
        <v>3.1635367740865207E-2</v>
      </c>
      <c r="CW9" s="15">
        <v>4.119456280109754E-2</v>
      </c>
      <c r="CX9" s="15">
        <v>0.16319544033423569</v>
      </c>
      <c r="CY9" s="15">
        <v>-4.3115028212617472E-2</v>
      </c>
      <c r="CZ9" s="15">
        <v>0.22006843680957469</v>
      </c>
      <c r="DA9" s="15">
        <v>-4.1423730334945293E-2</v>
      </c>
      <c r="DB9" s="15">
        <v>-1.1737974262426469E-2</v>
      </c>
      <c r="DC9" s="15">
        <v>0.107771072087255</v>
      </c>
      <c r="DD9" s="15">
        <v>6.7224013666988727E-2</v>
      </c>
      <c r="DE9" s="15">
        <v>-4.0137127901521782E-2</v>
      </c>
      <c r="DF9" s="15">
        <v>3.6396902505257532E-2</v>
      </c>
      <c r="DG9" s="15">
        <v>-9.8061050686251566E-2</v>
      </c>
      <c r="DH9" s="15">
        <v>-1.2045848270744831E-2</v>
      </c>
      <c r="DI9" s="15">
        <v>-8.9410575222380967E-2</v>
      </c>
      <c r="DJ9" s="15">
        <v>5.4992879399294842E-2</v>
      </c>
      <c r="DK9" s="15">
        <v>-5.7186588582312417E-2</v>
      </c>
      <c r="DL9" s="15">
        <v>-2.928430147507266E-2</v>
      </c>
      <c r="DM9" s="15">
        <v>-3.1402929482487282E-2</v>
      </c>
      <c r="DN9" s="15">
        <v>8.4413622954616185E-2</v>
      </c>
      <c r="DO9" s="15">
        <v>4.8170817515011732E-2</v>
      </c>
      <c r="DP9" s="15">
        <v>9.0346423093431022E-2</v>
      </c>
      <c r="DQ9" s="15">
        <v>-0.11867639315134131</v>
      </c>
      <c r="DR9" s="15">
        <v>0.1105075661161839</v>
      </c>
      <c r="DS9" s="15">
        <v>-7.3814619239169932E-2</v>
      </c>
      <c r="DT9" s="15">
        <v>-0.10633883358579729</v>
      </c>
      <c r="DU9" s="15">
        <v>9.6230219291726145E-3</v>
      </c>
      <c r="DV9" s="15">
        <v>0.14417121918934611</v>
      </c>
      <c r="DW9" s="15">
        <v>8.5312212398853907E-2</v>
      </c>
      <c r="DX9" s="15">
        <v>-0.1103801797394762</v>
      </c>
      <c r="DY9" s="15">
        <v>0.12870772422874291</v>
      </c>
      <c r="DZ9" s="15">
        <v>-5.3270106382015507E-2</v>
      </c>
      <c r="EA9" s="15">
        <v>0.17325685573389549</v>
      </c>
      <c r="EB9" s="15">
        <v>1.2264441519363289E-2</v>
      </c>
      <c r="EC9" s="15">
        <v>7.7320493094910028E-2</v>
      </c>
      <c r="ED9" s="15">
        <v>-0.16510373796664821</v>
      </c>
      <c r="EE9" s="15">
        <v>7.7592442823063296E-2</v>
      </c>
      <c r="EF9" s="15">
        <v>5.6688314750610751E-2</v>
      </c>
      <c r="EG9" s="15">
        <v>0.17571439802822439</v>
      </c>
      <c r="EH9" s="15">
        <v>-5.0736758655838161E-2</v>
      </c>
      <c r="EI9" s="15">
        <v>-3.2979674559245421E-2</v>
      </c>
      <c r="EJ9" s="15">
        <v>-0.1750733011862472</v>
      </c>
      <c r="EK9" s="15">
        <v>7.5703332933188719E-2</v>
      </c>
      <c r="EL9" s="15">
        <v>-0.1114587387579748</v>
      </c>
    </row>
    <row r="10" spans="1:142" ht="25" customHeight="1" x14ac:dyDescent="0.55000000000000004">
      <c r="B10" s="11" t="s">
        <v>144</v>
      </c>
      <c r="C10" s="15">
        <v>-0.26567505455358248</v>
      </c>
      <c r="D10" s="15">
        <v>-0.26274581990388568</v>
      </c>
      <c r="E10" s="15">
        <v>-7.8695496037138171E-2</v>
      </c>
      <c r="F10" s="15">
        <v>6.5706805469448862E-2</v>
      </c>
      <c r="G10" s="15">
        <v>-5.9999728504775772E-2</v>
      </c>
      <c r="H10" s="15">
        <v>-9.0782628560238207E-2</v>
      </c>
      <c r="I10" s="15">
        <v>-2.954345689308489E-2</v>
      </c>
      <c r="J10" s="15">
        <v>6.8756090039455112E-2</v>
      </c>
      <c r="K10" s="15">
        <v>-4.5430805070771449E-2</v>
      </c>
      <c r="L10" s="15">
        <v>9.2349485138079557E-2</v>
      </c>
      <c r="M10" s="15">
        <v>5.5332373390141881E-3</v>
      </c>
      <c r="N10" s="15">
        <v>-0.2026295564870364</v>
      </c>
      <c r="O10" s="15">
        <v>-5.5439188889443027E-2</v>
      </c>
      <c r="P10" s="15">
        <v>6.3019437760175406E-2</v>
      </c>
      <c r="Q10" s="15">
        <v>-5.112747054382899E-2</v>
      </c>
      <c r="R10" s="15">
        <v>-2.6369264474313892E-3</v>
      </c>
      <c r="S10" s="15">
        <v>0.1173704441530605</v>
      </c>
      <c r="T10" s="15">
        <v>2.8121057846255831E-2</v>
      </c>
      <c r="U10" s="15">
        <v>2.4399698358684819E-2</v>
      </c>
      <c r="V10" s="15">
        <v>2.4693188818731E-3</v>
      </c>
      <c r="W10" s="15">
        <v>-0.1293119914747935</v>
      </c>
      <c r="X10" s="15">
        <v>-7.8183591567789604E-2</v>
      </c>
      <c r="Y10" s="15">
        <v>-1.678906305548444E-2</v>
      </c>
      <c r="Z10" s="15">
        <v>-2.1755871914426388E-2</v>
      </c>
      <c r="AA10" s="15">
        <v>5.6064771790453938E-2</v>
      </c>
      <c r="AB10" s="15">
        <v>-2.615247786751675E-2</v>
      </c>
      <c r="AC10" s="15">
        <v>-7.0545450686771982E-2</v>
      </c>
      <c r="AD10" s="15">
        <v>-4.605935898063749E-2</v>
      </c>
      <c r="AE10" s="15">
        <v>0.13302405295118061</v>
      </c>
      <c r="AF10" s="15">
        <v>-8.9277753929317721E-2</v>
      </c>
      <c r="AG10" s="15">
        <v>-5.9320757676143483E-2</v>
      </c>
      <c r="AH10" s="15">
        <v>-5.524805418175012E-2</v>
      </c>
      <c r="AI10" s="15">
        <v>-3.4432890200783002E-2</v>
      </c>
      <c r="AJ10" s="15">
        <v>-1.011820247094234E-3</v>
      </c>
      <c r="AK10" s="15">
        <v>1.008019446982307E-2</v>
      </c>
      <c r="AL10" s="15">
        <v>-0.1198837103689446</v>
      </c>
      <c r="AM10" s="15">
        <v>-5.2132142811929863E-3</v>
      </c>
      <c r="AN10" s="15">
        <v>-0.1083439053885159</v>
      </c>
      <c r="AO10" s="15">
        <v>-5.8361175798082462E-2</v>
      </c>
      <c r="AP10" s="15">
        <v>1.0829655057507581E-2</v>
      </c>
      <c r="AQ10" s="15">
        <v>9.1678033193309406E-3</v>
      </c>
      <c r="AR10" s="15">
        <v>9.4714182380649631E-2</v>
      </c>
      <c r="AS10" s="15">
        <v>-2.4402385221541981E-2</v>
      </c>
      <c r="AT10" s="15">
        <v>2.0132029133382761E-3</v>
      </c>
      <c r="AU10" s="15">
        <v>-0.16715058449206099</v>
      </c>
      <c r="AV10" s="15">
        <v>3.39722622946841E-2</v>
      </c>
      <c r="AW10" s="15">
        <v>-1.6836938460434121E-2</v>
      </c>
      <c r="AX10" s="15">
        <v>-3.4706447726076131E-2</v>
      </c>
      <c r="AY10" s="15">
        <v>5.1832253085072376E-3</v>
      </c>
      <c r="AZ10" s="15">
        <v>-0.1197365697081416</v>
      </c>
      <c r="BA10" s="15">
        <v>-0.13521272855601499</v>
      </c>
      <c r="BB10" s="15">
        <v>1.6981999860284199E-2</v>
      </c>
      <c r="BC10" s="15">
        <v>2.3074367921310051E-2</v>
      </c>
      <c r="BD10" s="15">
        <v>-0.1199945402797801</v>
      </c>
      <c r="BE10" s="15">
        <v>0.1293284806358245</v>
      </c>
      <c r="BF10" s="15">
        <v>1.670991495350807E-2</v>
      </c>
      <c r="BG10" s="15">
        <v>-2.230674739417764E-2</v>
      </c>
      <c r="BH10" s="15">
        <v>3.9303080879793402E-2</v>
      </c>
      <c r="BI10" s="15">
        <v>-0.10048887626807319</v>
      </c>
      <c r="BJ10" s="15">
        <v>-0.1019902758550493</v>
      </c>
      <c r="BK10" s="15">
        <v>9.9875650710373395E-2</v>
      </c>
      <c r="BL10" s="15">
        <v>-3.2934037128584212E-2</v>
      </c>
      <c r="BM10" s="15">
        <v>2.6287500286370859E-2</v>
      </c>
      <c r="BN10" s="15">
        <v>0.10734549372172041</v>
      </c>
      <c r="BO10" s="15">
        <v>-2.560633684172503E-2</v>
      </c>
      <c r="BP10" s="15">
        <v>0.1224117716945187</v>
      </c>
      <c r="BQ10" s="15">
        <v>-4.5440179315565543E-2</v>
      </c>
      <c r="BR10" s="15">
        <v>-7.1268977479060053E-2</v>
      </c>
      <c r="BS10" s="15">
        <v>-6.8098859473969778E-2</v>
      </c>
      <c r="BT10" s="15">
        <v>9.2203281802799297E-2</v>
      </c>
      <c r="BU10" s="15">
        <v>8.2899617876138199E-2</v>
      </c>
      <c r="BV10" s="15">
        <v>-4.130112652813582E-2</v>
      </c>
      <c r="BW10" s="15">
        <v>-9.9351181954097256E-2</v>
      </c>
      <c r="BX10" s="15">
        <v>-3.8144887371555511E-2</v>
      </c>
      <c r="BY10" s="15">
        <v>0.1124874209627638</v>
      </c>
      <c r="BZ10" s="15">
        <v>-3.788028283020467E-2</v>
      </c>
      <c r="CA10" s="15">
        <v>-9.1542003092521695E-2</v>
      </c>
      <c r="CB10" s="15">
        <v>-0.1246325581241329</v>
      </c>
      <c r="CC10" s="15">
        <v>-6.1699945697747768E-2</v>
      </c>
      <c r="CD10" s="15">
        <v>-7.5868372082101454E-2</v>
      </c>
      <c r="CE10" s="15">
        <v>-0.22128938457069761</v>
      </c>
      <c r="CF10" s="15">
        <v>8.6756078182217526E-3</v>
      </c>
      <c r="CG10" s="15">
        <v>3.1786264351565383E-2</v>
      </c>
      <c r="CH10" s="15">
        <v>-3.7814115900760462E-2</v>
      </c>
      <c r="CI10" s="15">
        <v>4.9549068421342352E-2</v>
      </c>
      <c r="CJ10" s="15">
        <v>-1.042967726944298E-2</v>
      </c>
      <c r="CK10" s="15">
        <v>-8.3344347452881107E-2</v>
      </c>
      <c r="CL10" s="15">
        <v>-5.3422112199779673E-2</v>
      </c>
      <c r="CM10" s="15">
        <v>0.19037761081281751</v>
      </c>
      <c r="CN10" s="15">
        <v>5.8217828531197863E-2</v>
      </c>
      <c r="CO10" s="15">
        <v>-0.14266651702027849</v>
      </c>
      <c r="CP10" s="15">
        <v>4.1776778694119977E-2</v>
      </c>
      <c r="CQ10" s="15">
        <v>-0.16944775200646889</v>
      </c>
      <c r="CR10" s="15">
        <v>-8.4810245274174231E-2</v>
      </c>
      <c r="CS10" s="15">
        <v>-3.4770869542404131E-2</v>
      </c>
      <c r="CT10" s="15">
        <v>-0.11929694980334619</v>
      </c>
      <c r="CU10" s="15">
        <v>-1.779517889847566E-2</v>
      </c>
      <c r="CV10" s="15">
        <v>-1.483412755555793E-2</v>
      </c>
      <c r="CW10" s="15">
        <v>-4.6319066249875078E-2</v>
      </c>
      <c r="CX10" s="15">
        <v>-9.6634689890429795E-2</v>
      </c>
      <c r="CY10" s="15">
        <v>-7.883438544026268E-2</v>
      </c>
      <c r="CZ10" s="15">
        <v>-0.2125263535938974</v>
      </c>
      <c r="DA10" s="15">
        <v>-0.1136855216267028</v>
      </c>
      <c r="DB10" s="15">
        <v>-0.18310190466084611</v>
      </c>
      <c r="DC10" s="15">
        <v>-4.2499864903571542E-2</v>
      </c>
      <c r="DD10" s="15">
        <v>2.7817596126079671E-2</v>
      </c>
      <c r="DE10" s="15">
        <v>6.8607937224559601E-2</v>
      </c>
      <c r="DF10" s="15">
        <v>-0.13309486152009481</v>
      </c>
      <c r="DG10" s="15">
        <v>0.22249786674263289</v>
      </c>
      <c r="DH10" s="15">
        <v>-0.13075878208175709</v>
      </c>
      <c r="DI10" s="15">
        <v>-0.10969183429127349</v>
      </c>
      <c r="DJ10" s="15">
        <v>-0.1104737212515987</v>
      </c>
      <c r="DK10" s="15">
        <v>8.5555391670562406E-2</v>
      </c>
      <c r="DL10" s="15">
        <v>-3.7902763836408108E-2</v>
      </c>
      <c r="DM10" s="15">
        <v>8.3550634753187636E-2</v>
      </c>
      <c r="DN10" s="15">
        <v>-5.5064654277631388E-2</v>
      </c>
      <c r="DO10" s="15">
        <v>-9.1404376141589916E-2</v>
      </c>
      <c r="DP10" s="15">
        <v>-0.14635791180718299</v>
      </c>
      <c r="DQ10" s="15">
        <v>7.2584409538635583E-2</v>
      </c>
      <c r="DR10" s="15">
        <v>-3.6982983260269622E-2</v>
      </c>
      <c r="DS10" s="15">
        <v>-0.158488727508035</v>
      </c>
      <c r="DT10" s="15">
        <v>-7.6734870836893357E-2</v>
      </c>
      <c r="DU10" s="15">
        <v>0.14652329977066769</v>
      </c>
      <c r="DV10" s="15">
        <v>9.2142528558957857E-3</v>
      </c>
      <c r="DW10" s="15">
        <v>-0.12809453124946879</v>
      </c>
      <c r="DX10" s="15">
        <v>-5.7788778278884997E-2</v>
      </c>
      <c r="DY10" s="15">
        <v>-0.1035307067347504</v>
      </c>
      <c r="DZ10" s="15">
        <v>-5.3247234161851183E-2</v>
      </c>
      <c r="EA10" s="15">
        <v>-0.111011221175726</v>
      </c>
      <c r="EB10" s="15">
        <v>-5.7337041607399442E-2</v>
      </c>
      <c r="EC10" s="15">
        <v>5.3167126851357938E-2</v>
      </c>
      <c r="ED10" s="15">
        <v>5.5871006445993431E-2</v>
      </c>
      <c r="EE10" s="15">
        <v>0.15335804459764099</v>
      </c>
      <c r="EF10" s="15">
        <v>-0.1142313624752139</v>
      </c>
      <c r="EG10" s="15">
        <v>-4.400561671271231E-2</v>
      </c>
      <c r="EH10" s="15">
        <v>1.7544151566088462E-2</v>
      </c>
      <c r="EI10" s="15">
        <v>8.6430773370832076E-2</v>
      </c>
      <c r="EJ10" s="15">
        <v>0.13519054567508229</v>
      </c>
      <c r="EK10" s="15">
        <v>0.12749821521826099</v>
      </c>
      <c r="EL10" s="15">
        <v>-3.0403121056760539E-2</v>
      </c>
    </row>
    <row r="11" spans="1:142" ht="25" customHeight="1" x14ac:dyDescent="0.55000000000000004">
      <c r="B11" s="14" t="s">
        <v>145</v>
      </c>
      <c r="C11" s="15">
        <v>-2.4114962812585919E-2</v>
      </c>
      <c r="D11" s="15">
        <v>0.14010060111552411</v>
      </c>
      <c r="E11" s="15">
        <v>-5.4828677455158086E-3</v>
      </c>
      <c r="F11" s="15">
        <v>-4.8067960102790332E-2</v>
      </c>
      <c r="G11" s="15">
        <v>9.8556491354310036E-2</v>
      </c>
      <c r="H11" s="15">
        <v>4.0265398787534858E-3</v>
      </c>
      <c r="I11" s="15">
        <v>-5.4392917239937437E-2</v>
      </c>
      <c r="J11" s="15">
        <v>-7.8467922997838349E-4</v>
      </c>
      <c r="K11" s="15">
        <v>3.1985649512948161E-2</v>
      </c>
      <c r="L11" s="15">
        <v>-5.2053083064414014E-3</v>
      </c>
      <c r="M11" s="15">
        <v>8.3785174984597616E-2</v>
      </c>
      <c r="N11" s="15">
        <v>-5.6914477640470737E-2</v>
      </c>
      <c r="O11" s="15">
        <v>6.8510420248044046E-2</v>
      </c>
      <c r="P11" s="15">
        <v>2.8609346498670672E-2</v>
      </c>
      <c r="Q11" s="15">
        <v>6.6853829019368621E-2</v>
      </c>
      <c r="R11" s="15">
        <v>-2.201858603624411E-3</v>
      </c>
      <c r="S11" s="15">
        <v>0.1343008906380988</v>
      </c>
      <c r="T11" s="15">
        <v>0.1309180760976566</v>
      </c>
      <c r="U11" s="15">
        <v>1.3133991417421231E-2</v>
      </c>
      <c r="V11" s="15">
        <v>2.61831641349142E-2</v>
      </c>
      <c r="W11" s="15">
        <v>-9.4297429450524356E-2</v>
      </c>
      <c r="X11" s="15">
        <v>-0.30132339061689511</v>
      </c>
      <c r="Y11" s="15">
        <v>0.1084289471208703</v>
      </c>
      <c r="Z11" s="15">
        <v>-0.14174493457566439</v>
      </c>
      <c r="AA11" s="15">
        <v>0.1170212362473879</v>
      </c>
      <c r="AB11" s="15">
        <v>-2.2180044331716751E-2</v>
      </c>
      <c r="AC11" s="15">
        <v>-8.6460961175666734E-2</v>
      </c>
      <c r="AD11" s="15">
        <v>2.1464873900864909E-2</v>
      </c>
      <c r="AE11" s="15">
        <v>0.15421823665631779</v>
      </c>
      <c r="AF11" s="15">
        <v>-0.14648944763122149</v>
      </c>
      <c r="AG11" s="15">
        <v>-4.7015552205449541E-2</v>
      </c>
      <c r="AH11" s="15">
        <v>1.969019876271335E-2</v>
      </c>
      <c r="AI11" s="15">
        <v>3.9309116183651453E-2</v>
      </c>
      <c r="AJ11" s="15">
        <v>-2.662352474820744E-2</v>
      </c>
      <c r="AK11" s="15">
        <v>-2.5125101663330471E-2</v>
      </c>
      <c r="AL11" s="15">
        <v>-0.10344397184102611</v>
      </c>
      <c r="AM11" s="15">
        <v>6.1900719649520007E-2</v>
      </c>
      <c r="AN11" s="15">
        <v>7.6731055204870405E-2</v>
      </c>
      <c r="AO11" s="15">
        <v>9.8982722791890534E-2</v>
      </c>
      <c r="AP11" s="15">
        <v>5.4076693168316682E-2</v>
      </c>
      <c r="AQ11" s="15">
        <v>-3.0251892003178519E-2</v>
      </c>
      <c r="AR11" s="15">
        <v>4.4910599246769629E-4</v>
      </c>
      <c r="AS11" s="15">
        <v>7.0194262215074882E-2</v>
      </c>
      <c r="AT11" s="15">
        <v>0.17429282176026459</v>
      </c>
      <c r="AU11" s="15">
        <v>-8.1385665847374042E-2</v>
      </c>
      <c r="AV11" s="15">
        <v>0.15075612499263449</v>
      </c>
      <c r="AW11" s="15">
        <v>5.7401717870801443E-2</v>
      </c>
      <c r="AX11" s="15">
        <v>-0.15692285452171439</v>
      </c>
      <c r="AY11" s="15">
        <v>4.7095411994913447E-2</v>
      </c>
      <c r="AZ11" s="15">
        <v>-5.7117988229242828E-2</v>
      </c>
      <c r="BA11" s="15">
        <v>-2.2411435185763991E-2</v>
      </c>
      <c r="BB11" s="15">
        <v>-0.15274623447102989</v>
      </c>
      <c r="BC11" s="15">
        <v>2.2968193190456811E-2</v>
      </c>
      <c r="BD11" s="15">
        <v>1.041266581327727E-3</v>
      </c>
      <c r="BE11" s="15">
        <v>-0.13310702807101221</v>
      </c>
      <c r="BF11" s="15">
        <v>-0.19610968127654599</v>
      </c>
      <c r="BG11" s="15">
        <v>-0.18881309175704289</v>
      </c>
      <c r="BH11" s="15">
        <v>-0.1007170444134215</v>
      </c>
      <c r="BI11" s="15">
        <v>-0.12578121674239851</v>
      </c>
      <c r="BJ11" s="15">
        <v>-1.094669670587667E-2</v>
      </c>
      <c r="BK11" s="15">
        <v>-6.1548923063932129E-2</v>
      </c>
      <c r="BL11" s="15">
        <v>-0.15045858166371609</v>
      </c>
      <c r="BM11" s="15">
        <v>0.12760274496348589</v>
      </c>
      <c r="BN11" s="15">
        <v>-1.7866802671994149E-2</v>
      </c>
      <c r="BO11" s="15">
        <v>-2.532395528347867E-2</v>
      </c>
      <c r="BP11" s="15">
        <v>4.0051232116699122E-2</v>
      </c>
      <c r="BQ11" s="15">
        <v>-4.2262606377664567E-2</v>
      </c>
      <c r="BR11" s="15">
        <v>0.17888215044890809</v>
      </c>
      <c r="BS11" s="15">
        <v>-9.912904509256E-2</v>
      </c>
      <c r="BT11" s="15">
        <v>4.0560012135895447E-2</v>
      </c>
      <c r="BU11" s="15">
        <v>6.3241856113882139E-2</v>
      </c>
      <c r="BV11" s="15">
        <v>-9.6181908758892015E-2</v>
      </c>
      <c r="BW11" s="15">
        <v>-0.1360628544407668</v>
      </c>
      <c r="BX11" s="15">
        <v>-5.021931394244135E-3</v>
      </c>
      <c r="BY11" s="15">
        <v>0.11233989094804429</v>
      </c>
      <c r="BZ11" s="15">
        <v>3.4223088384557322E-2</v>
      </c>
      <c r="CA11" s="15">
        <v>7.0051209195934647E-2</v>
      </c>
      <c r="CB11" s="15">
        <v>2.3662882656538931E-2</v>
      </c>
      <c r="CC11" s="15">
        <v>9.3938184255933657E-2</v>
      </c>
      <c r="CD11" s="15">
        <v>-2.991396747850103E-2</v>
      </c>
      <c r="CE11" s="15">
        <v>-0.106852361052127</v>
      </c>
      <c r="CF11" s="15">
        <v>-5.8583351809868033E-2</v>
      </c>
      <c r="CG11" s="15">
        <v>-0.1185641035857604</v>
      </c>
      <c r="CH11" s="15">
        <v>-4.7815465005176118E-2</v>
      </c>
      <c r="CI11" s="15">
        <v>-6.1561116349960178E-2</v>
      </c>
      <c r="CJ11" s="15">
        <v>0.22741940960138179</v>
      </c>
      <c r="CK11" s="15">
        <v>0.13323879996032881</v>
      </c>
      <c r="CL11" s="15">
        <v>4.026151400927732E-2</v>
      </c>
      <c r="CM11" s="15">
        <v>-7.3899373789768755E-2</v>
      </c>
      <c r="CN11" s="15">
        <v>0.24689459237762651</v>
      </c>
      <c r="CO11" s="15">
        <v>-0.1044408366251643</v>
      </c>
      <c r="CP11" s="15">
        <v>-1.7008494348603791E-2</v>
      </c>
      <c r="CQ11" s="15">
        <v>-0.2084347050376574</v>
      </c>
      <c r="CR11" s="15">
        <v>-8.395398399164998E-2</v>
      </c>
      <c r="CS11" s="15">
        <v>8.6621279720092453E-2</v>
      </c>
      <c r="CT11" s="15">
        <v>-2.628500997819886E-2</v>
      </c>
      <c r="CU11" s="15">
        <v>-0.29981483838253892</v>
      </c>
      <c r="CV11" s="15">
        <v>0.24030007205262141</v>
      </c>
      <c r="CW11" s="15">
        <v>9.1579360199564808E-2</v>
      </c>
      <c r="CX11" s="15">
        <v>-9.916629584538951E-2</v>
      </c>
      <c r="CY11" s="15">
        <v>0.10766171863634889</v>
      </c>
      <c r="CZ11" s="15">
        <v>-5.4245194329240791E-2</v>
      </c>
      <c r="DA11" s="15">
        <v>8.2532189515883495E-2</v>
      </c>
      <c r="DB11" s="15">
        <v>0.1365100712702266</v>
      </c>
      <c r="DC11" s="15">
        <v>-1.3925395967882609E-2</v>
      </c>
      <c r="DD11" s="15">
        <v>-0.1397956392190878</v>
      </c>
      <c r="DE11" s="15">
        <v>-9.4114369833172007E-2</v>
      </c>
      <c r="DF11" s="15">
        <v>5.2829965902828582E-2</v>
      </c>
      <c r="DG11" s="15">
        <v>-0.1992862571378114</v>
      </c>
      <c r="DH11" s="15">
        <v>0.1021391395115681</v>
      </c>
      <c r="DI11" s="15">
        <v>3.77727977358518E-2</v>
      </c>
      <c r="DJ11" s="15">
        <v>6.5447994136232215E-2</v>
      </c>
      <c r="DK11" s="15">
        <v>5.9654622373488252E-2</v>
      </c>
      <c r="DL11" s="15">
        <v>9.5335573576001684E-2</v>
      </c>
      <c r="DM11" s="15">
        <v>4.0485912002813637E-2</v>
      </c>
      <c r="DN11" s="15">
        <v>3.4939953183281301E-3</v>
      </c>
      <c r="DO11" s="15">
        <v>-0.1061084440817472</v>
      </c>
      <c r="DP11" s="15">
        <v>-0.24479189291211051</v>
      </c>
      <c r="DQ11" s="15">
        <v>0.2138369620719559</v>
      </c>
      <c r="DR11" s="15">
        <v>1.088966551319623E-2</v>
      </c>
      <c r="DS11" s="15">
        <v>0.13411935981786449</v>
      </c>
      <c r="DT11" s="15">
        <v>0.1241719078411765</v>
      </c>
      <c r="DU11" s="15">
        <v>7.8095888662607166E-2</v>
      </c>
      <c r="DV11" s="15">
        <v>-5.3915427843282723E-2</v>
      </c>
      <c r="DW11" s="15">
        <v>-2.382825195586874E-2</v>
      </c>
      <c r="DX11" s="15">
        <v>6.6514734484512852E-2</v>
      </c>
      <c r="DY11" s="15">
        <v>1.936130695330137E-2</v>
      </c>
      <c r="DZ11" s="15">
        <v>1.8750007540164919E-2</v>
      </c>
      <c r="EA11" s="15">
        <v>-0.28354334384011443</v>
      </c>
      <c r="EB11" s="15">
        <v>-0.13389240598058849</v>
      </c>
      <c r="EC11" s="15">
        <v>-2.2714426802967012E-2</v>
      </c>
      <c r="ED11" s="15">
        <v>4.4607042157451017E-2</v>
      </c>
      <c r="EE11" s="15">
        <v>-0.12906100256586769</v>
      </c>
      <c r="EF11" s="15">
        <v>-6.5742551537967042E-2</v>
      </c>
      <c r="EG11" s="15">
        <v>-0.117222832850104</v>
      </c>
      <c r="EH11" s="15">
        <v>-2.6547499359558489E-2</v>
      </c>
      <c r="EI11" s="15">
        <v>-3.3015556157341149E-2</v>
      </c>
      <c r="EJ11" s="15">
        <v>4.5977172621091293E-2</v>
      </c>
      <c r="EK11" s="15">
        <v>-6.9235533806273369E-2</v>
      </c>
      <c r="EL11" s="15">
        <v>1.468433610599224E-2</v>
      </c>
    </row>
    <row r="13" spans="1:142" ht="25" customHeight="1" x14ac:dyDescent="0.55000000000000004">
      <c r="A13" s="12" t="s">
        <v>261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1</v>
      </c>
      <c r="I13" s="12">
        <f t="shared" si="0"/>
        <v>1</v>
      </c>
      <c r="J13" s="12">
        <f t="shared" si="0"/>
        <v>1</v>
      </c>
      <c r="K13" s="12">
        <f t="shared" si="0"/>
        <v>0</v>
      </c>
      <c r="L13" s="12">
        <f t="shared" si="0"/>
        <v>1</v>
      </c>
      <c r="M13" s="12">
        <f t="shared" si="0"/>
        <v>0</v>
      </c>
      <c r="N13" s="12">
        <f t="shared" si="0"/>
        <v>1</v>
      </c>
      <c r="O13" s="12">
        <f t="shared" si="0"/>
        <v>1</v>
      </c>
      <c r="P13" s="12">
        <f t="shared" si="0"/>
        <v>0</v>
      </c>
      <c r="Q13" s="12">
        <f t="shared" si="0"/>
        <v>0</v>
      </c>
      <c r="R13" s="12">
        <f t="shared" si="0"/>
        <v>1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1</v>
      </c>
      <c r="W13" s="12">
        <f t="shared" si="0"/>
        <v>1</v>
      </c>
      <c r="X13" s="12">
        <f t="shared" si="0"/>
        <v>1</v>
      </c>
      <c r="Y13" s="12">
        <f t="shared" si="0"/>
        <v>0</v>
      </c>
      <c r="Z13" s="12">
        <f t="shared" si="0"/>
        <v>1</v>
      </c>
      <c r="AA13" s="12">
        <f t="shared" si="0"/>
        <v>0</v>
      </c>
      <c r="AB13" s="12">
        <f t="shared" si="0"/>
        <v>1</v>
      </c>
      <c r="AC13" s="12">
        <f t="shared" si="0"/>
        <v>1</v>
      </c>
      <c r="AD13" s="12">
        <f t="shared" si="0"/>
        <v>1</v>
      </c>
      <c r="AE13" s="12">
        <f t="shared" si="0"/>
        <v>0</v>
      </c>
      <c r="AF13" s="12">
        <f t="shared" si="0"/>
        <v>1</v>
      </c>
      <c r="AG13" s="12">
        <f t="shared" si="0"/>
        <v>1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1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1</v>
      </c>
      <c r="AT13" s="12">
        <f t="shared" si="1"/>
        <v>1</v>
      </c>
      <c r="AU13" s="12">
        <f t="shared" si="1"/>
        <v>1</v>
      </c>
      <c r="AV13" s="12">
        <f t="shared" si="1"/>
        <v>0</v>
      </c>
      <c r="AW13" s="12">
        <f t="shared" si="1"/>
        <v>1</v>
      </c>
      <c r="AX13" s="12">
        <f t="shared" si="1"/>
        <v>1</v>
      </c>
      <c r="AY13" s="12">
        <f t="shared" si="1"/>
        <v>1</v>
      </c>
      <c r="AZ13" s="12">
        <f t="shared" si="1"/>
        <v>1</v>
      </c>
      <c r="BA13" s="12">
        <f t="shared" si="1"/>
        <v>1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1</v>
      </c>
      <c r="BF13" s="12">
        <f t="shared" si="1"/>
        <v>1</v>
      </c>
      <c r="BG13" s="12">
        <f t="shared" si="1"/>
        <v>0</v>
      </c>
      <c r="BH13" s="12">
        <f t="shared" si="1"/>
        <v>1</v>
      </c>
      <c r="BI13" s="12">
        <f t="shared" si="1"/>
        <v>0</v>
      </c>
      <c r="BJ13" s="12">
        <f t="shared" si="1"/>
        <v>0</v>
      </c>
      <c r="BK13" s="12">
        <f t="shared" si="1"/>
        <v>0</v>
      </c>
      <c r="BL13" s="12">
        <f t="shared" si="1"/>
        <v>0</v>
      </c>
      <c r="BM13" s="12">
        <f t="shared" si="1"/>
        <v>0</v>
      </c>
      <c r="BN13" s="12">
        <f t="shared" si="1"/>
        <v>1</v>
      </c>
      <c r="BO13" s="12">
        <f t="shared" ref="BO13:CT13" si="2">IF(AND(BO3&gt;0,BO9&gt;0),1,0)</f>
        <v>1</v>
      </c>
      <c r="BP13" s="12">
        <f t="shared" si="2"/>
        <v>0</v>
      </c>
      <c r="BQ13" s="12">
        <f t="shared" si="2"/>
        <v>1</v>
      </c>
      <c r="BR13" s="12">
        <f t="shared" si="2"/>
        <v>0</v>
      </c>
      <c r="BS13" s="12">
        <f t="shared" si="2"/>
        <v>1</v>
      </c>
      <c r="BT13" s="12">
        <f t="shared" si="2"/>
        <v>1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1</v>
      </c>
      <c r="BY13" s="12">
        <f t="shared" si="2"/>
        <v>0</v>
      </c>
      <c r="BZ13" s="12">
        <f t="shared" si="2"/>
        <v>1</v>
      </c>
      <c r="CA13" s="12">
        <f t="shared" si="2"/>
        <v>0</v>
      </c>
      <c r="CB13" s="12">
        <f t="shared" si="2"/>
        <v>1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0</v>
      </c>
      <c r="CI13" s="12">
        <f t="shared" si="2"/>
        <v>0</v>
      </c>
      <c r="CJ13" s="12">
        <f t="shared" si="2"/>
        <v>0</v>
      </c>
      <c r="CK13" s="12">
        <f t="shared" si="2"/>
        <v>1</v>
      </c>
      <c r="CL13" s="12">
        <f t="shared" si="2"/>
        <v>1</v>
      </c>
      <c r="CM13" s="12">
        <f t="shared" si="2"/>
        <v>0</v>
      </c>
      <c r="CN13" s="12">
        <f t="shared" si="2"/>
        <v>0</v>
      </c>
      <c r="CO13" s="12">
        <f t="shared" si="2"/>
        <v>1</v>
      </c>
      <c r="CP13" s="12">
        <f t="shared" si="2"/>
        <v>1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1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1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1</v>
      </c>
      <c r="DD13" s="12">
        <f t="shared" si="3"/>
        <v>1</v>
      </c>
      <c r="DE13" s="12">
        <f t="shared" si="3"/>
        <v>0</v>
      </c>
      <c r="DF13" s="12">
        <f t="shared" si="3"/>
        <v>1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1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1</v>
      </c>
      <c r="DO13" s="12">
        <f t="shared" si="3"/>
        <v>0</v>
      </c>
      <c r="DP13" s="12">
        <f t="shared" si="3"/>
        <v>1</v>
      </c>
      <c r="DQ13" s="12">
        <f t="shared" si="3"/>
        <v>0</v>
      </c>
      <c r="DR13" s="12">
        <f t="shared" si="3"/>
        <v>1</v>
      </c>
      <c r="DS13" s="12">
        <f t="shared" si="3"/>
        <v>0</v>
      </c>
      <c r="DT13" s="12">
        <f t="shared" si="3"/>
        <v>0</v>
      </c>
      <c r="DU13" s="12">
        <f t="shared" si="3"/>
        <v>1</v>
      </c>
      <c r="DV13" s="12">
        <f t="shared" si="3"/>
        <v>1</v>
      </c>
      <c r="DW13" s="12">
        <f t="shared" si="3"/>
        <v>1</v>
      </c>
      <c r="DX13" s="12">
        <f t="shared" si="3"/>
        <v>0</v>
      </c>
      <c r="DY13" s="12">
        <f t="shared" si="3"/>
        <v>0</v>
      </c>
      <c r="DZ13" s="12">
        <f t="shared" si="3"/>
        <v>0</v>
      </c>
      <c r="EA13" s="12">
        <f t="shared" ref="EA13:EL13" si="4">IF(AND(EA3&gt;0,EA9&gt;0),1,0)</f>
        <v>1</v>
      </c>
      <c r="EB13" s="12">
        <f t="shared" si="4"/>
        <v>1</v>
      </c>
      <c r="EC13" s="12">
        <f t="shared" si="4"/>
        <v>1</v>
      </c>
      <c r="ED13" s="12">
        <f t="shared" si="4"/>
        <v>0</v>
      </c>
      <c r="EE13" s="12">
        <f t="shared" si="4"/>
        <v>1</v>
      </c>
      <c r="EF13" s="12">
        <f t="shared" si="4"/>
        <v>1</v>
      </c>
      <c r="EG13" s="12">
        <f t="shared" si="4"/>
        <v>1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1</v>
      </c>
      <c r="EL13" s="12">
        <f t="shared" si="4"/>
        <v>0</v>
      </c>
    </row>
    <row r="14" spans="1:142" ht="25" customHeight="1" x14ac:dyDescent="0.55000000000000004">
      <c r="A14" s="12" t="s">
        <v>262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1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1</v>
      </c>
      <c r="U14" s="12">
        <f t="shared" si="5"/>
        <v>1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1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1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1</v>
      </c>
      <c r="AW14" s="12">
        <f t="shared" si="6"/>
        <v>0</v>
      </c>
      <c r="AX14" s="12">
        <f t="shared" si="6"/>
        <v>0</v>
      </c>
      <c r="AY14" s="12">
        <f t="shared" si="6"/>
        <v>1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1</v>
      </c>
      <c r="BN14" s="12">
        <f t="shared" si="6"/>
        <v>1</v>
      </c>
      <c r="BO14" s="12">
        <f t="shared" ref="BO14:CT14" si="7">IF(AND(BO4&gt;0,BO10&gt;0),1,0)</f>
        <v>0</v>
      </c>
      <c r="BP14" s="12">
        <f t="shared" si="7"/>
        <v>1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1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0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1</v>
      </c>
      <c r="CO14" s="12">
        <f t="shared" si="7"/>
        <v>0</v>
      </c>
      <c r="CP14" s="12">
        <f t="shared" si="7"/>
        <v>0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1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0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1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0</v>
      </c>
      <c r="DV14" s="12">
        <f t="shared" si="8"/>
        <v>0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1</v>
      </c>
      <c r="ED14" s="12">
        <f t="shared" si="9"/>
        <v>0</v>
      </c>
      <c r="EE14" s="12">
        <f t="shared" si="9"/>
        <v>0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0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0</v>
      </c>
      <c r="E15" s="12">
        <f t="shared" si="10"/>
        <v>0</v>
      </c>
      <c r="F15" s="12">
        <f t="shared" si="10"/>
        <v>0</v>
      </c>
      <c r="G15" s="12">
        <f t="shared" si="10"/>
        <v>0</v>
      </c>
      <c r="H15" s="12">
        <f t="shared" si="10"/>
        <v>0</v>
      </c>
      <c r="I15" s="12">
        <f t="shared" si="10"/>
        <v>0</v>
      </c>
      <c r="J15" s="12">
        <f t="shared" si="10"/>
        <v>0</v>
      </c>
      <c r="K15" s="12">
        <f t="shared" si="10"/>
        <v>0</v>
      </c>
      <c r="L15" s="12">
        <f t="shared" si="10"/>
        <v>0</v>
      </c>
      <c r="M15" s="12">
        <f t="shared" si="10"/>
        <v>0</v>
      </c>
      <c r="N15" s="12">
        <f t="shared" si="10"/>
        <v>0</v>
      </c>
      <c r="O15" s="12">
        <f t="shared" si="10"/>
        <v>0</v>
      </c>
      <c r="P15" s="12">
        <f t="shared" si="10"/>
        <v>0</v>
      </c>
      <c r="Q15" s="12">
        <f t="shared" si="10"/>
        <v>1</v>
      </c>
      <c r="R15" s="12">
        <f t="shared" si="10"/>
        <v>0</v>
      </c>
      <c r="S15" s="12">
        <f t="shared" si="10"/>
        <v>1</v>
      </c>
      <c r="T15" s="12">
        <f t="shared" si="10"/>
        <v>1</v>
      </c>
      <c r="U15" s="12">
        <f t="shared" si="10"/>
        <v>0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0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0</v>
      </c>
      <c r="AE15" s="12">
        <f t="shared" si="10"/>
        <v>1</v>
      </c>
      <c r="AF15" s="12">
        <f t="shared" si="10"/>
        <v>0</v>
      </c>
      <c r="AG15" s="12">
        <f t="shared" si="10"/>
        <v>0</v>
      </c>
      <c r="AH15" s="12">
        <f t="shared" si="10"/>
        <v>0</v>
      </c>
      <c r="AI15" s="12">
        <f t="shared" ref="AI15:BN15" si="11">IF(AND(AI5&gt;0,AI11&gt;0),1,0)</f>
        <v>0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0</v>
      </c>
      <c r="AN15" s="12">
        <f t="shared" si="11"/>
        <v>1</v>
      </c>
      <c r="AO15" s="12">
        <f t="shared" si="11"/>
        <v>1</v>
      </c>
      <c r="AP15" s="12">
        <f t="shared" si="11"/>
        <v>0</v>
      </c>
      <c r="AQ15" s="12">
        <f t="shared" si="11"/>
        <v>0</v>
      </c>
      <c r="AR15" s="12">
        <f t="shared" si="11"/>
        <v>1</v>
      </c>
      <c r="AS15" s="12">
        <f t="shared" si="11"/>
        <v>0</v>
      </c>
      <c r="AT15" s="12">
        <f t="shared" si="11"/>
        <v>1</v>
      </c>
      <c r="AU15" s="12">
        <f t="shared" si="11"/>
        <v>0</v>
      </c>
      <c r="AV15" s="12">
        <f t="shared" si="11"/>
        <v>1</v>
      </c>
      <c r="AW15" s="12">
        <f t="shared" si="11"/>
        <v>0</v>
      </c>
      <c r="AX15" s="12">
        <f t="shared" si="11"/>
        <v>0</v>
      </c>
      <c r="AY15" s="12">
        <f t="shared" si="11"/>
        <v>0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1</v>
      </c>
      <c r="BD15" s="12">
        <f t="shared" si="11"/>
        <v>0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1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1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1</v>
      </c>
      <c r="BZ15" s="12">
        <f t="shared" si="12"/>
        <v>1</v>
      </c>
      <c r="CA15" s="12">
        <f t="shared" si="12"/>
        <v>0</v>
      </c>
      <c r="CB15" s="12">
        <f t="shared" si="12"/>
        <v>0</v>
      </c>
      <c r="CC15" s="12">
        <f t="shared" si="12"/>
        <v>0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1</v>
      </c>
      <c r="CK15" s="12">
        <f t="shared" si="12"/>
        <v>0</v>
      </c>
      <c r="CL15" s="12">
        <f t="shared" si="12"/>
        <v>0</v>
      </c>
      <c r="CM15" s="12">
        <f t="shared" si="12"/>
        <v>0</v>
      </c>
      <c r="CN15" s="12">
        <f t="shared" si="12"/>
        <v>1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1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1</v>
      </c>
      <c r="CW15" s="12">
        <f t="shared" si="13"/>
        <v>1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1</v>
      </c>
      <c r="DB15" s="12">
        <f t="shared" si="13"/>
        <v>1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0</v>
      </c>
      <c r="DG15" s="12">
        <f t="shared" si="13"/>
        <v>0</v>
      </c>
      <c r="DH15" s="12">
        <f t="shared" si="13"/>
        <v>0</v>
      </c>
      <c r="DI15" s="12">
        <f t="shared" si="13"/>
        <v>0</v>
      </c>
      <c r="DJ15" s="12">
        <f t="shared" si="13"/>
        <v>1</v>
      </c>
      <c r="DK15" s="12">
        <f t="shared" si="13"/>
        <v>0</v>
      </c>
      <c r="DL15" s="12">
        <f t="shared" si="13"/>
        <v>1</v>
      </c>
      <c r="DM15" s="12">
        <f t="shared" si="13"/>
        <v>1</v>
      </c>
      <c r="DN15" s="12">
        <f t="shared" si="13"/>
        <v>0</v>
      </c>
      <c r="DO15" s="12">
        <f t="shared" si="13"/>
        <v>0</v>
      </c>
      <c r="DP15" s="12">
        <f t="shared" si="13"/>
        <v>0</v>
      </c>
      <c r="DQ15" s="12">
        <f t="shared" si="13"/>
        <v>1</v>
      </c>
      <c r="DR15" s="12">
        <f t="shared" si="13"/>
        <v>0</v>
      </c>
      <c r="DS15" s="12">
        <f t="shared" si="13"/>
        <v>1</v>
      </c>
      <c r="DT15" s="12">
        <f t="shared" si="13"/>
        <v>1</v>
      </c>
      <c r="DU15" s="12">
        <f t="shared" si="13"/>
        <v>1</v>
      </c>
      <c r="DV15" s="12">
        <f t="shared" si="13"/>
        <v>0</v>
      </c>
      <c r="DW15" s="12">
        <f t="shared" si="13"/>
        <v>0</v>
      </c>
      <c r="DX15" s="12">
        <f t="shared" si="13"/>
        <v>0</v>
      </c>
      <c r="DY15" s="12">
        <f t="shared" si="13"/>
        <v>1</v>
      </c>
      <c r="DZ15" s="12">
        <f t="shared" si="13"/>
        <v>1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1</v>
      </c>
      <c r="EK15" s="12">
        <f t="shared" si="14"/>
        <v>0</v>
      </c>
      <c r="EL15" s="12">
        <f t="shared" si="14"/>
        <v>1</v>
      </c>
    </row>
    <row r="16" spans="1:142" ht="25" customHeight="1" x14ac:dyDescent="0.55000000000000004">
      <c r="B16" s="17" t="s">
        <v>261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135</v>
      </c>
    </row>
    <row r="17" spans="1:142" ht="25" customHeight="1" x14ac:dyDescent="0.55000000000000004">
      <c r="A17" s="12" t="s">
        <v>263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0</v>
      </c>
      <c r="F17" s="12">
        <f t="shared" si="15"/>
        <v>1</v>
      </c>
      <c r="G17" s="12">
        <f t="shared" si="15"/>
        <v>1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0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0</v>
      </c>
      <c r="Q17" s="12">
        <f t="shared" si="15"/>
        <v>1</v>
      </c>
      <c r="R17" s="12">
        <f t="shared" si="15"/>
        <v>0</v>
      </c>
      <c r="S17" s="12">
        <f t="shared" si="15"/>
        <v>1</v>
      </c>
      <c r="T17" s="12">
        <f t="shared" si="15"/>
        <v>1</v>
      </c>
      <c r="U17" s="12">
        <f t="shared" si="15"/>
        <v>1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1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1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1</v>
      </c>
      <c r="AQ17" s="12">
        <f t="shared" si="16"/>
        <v>1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0</v>
      </c>
      <c r="BK17" s="12">
        <f t="shared" si="16"/>
        <v>1</v>
      </c>
      <c r="BL17" s="12">
        <f t="shared" si="16"/>
        <v>0</v>
      </c>
      <c r="BM17" s="12">
        <f t="shared" si="16"/>
        <v>1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1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1</v>
      </c>
      <c r="BX17" s="12">
        <f t="shared" si="17"/>
        <v>0</v>
      </c>
      <c r="BY17" s="12">
        <f t="shared" si="17"/>
        <v>0</v>
      </c>
      <c r="BZ17" s="12">
        <f t="shared" si="17"/>
        <v>0</v>
      </c>
      <c r="CA17" s="12">
        <f t="shared" si="17"/>
        <v>1</v>
      </c>
      <c r="CB17" s="12">
        <f t="shared" si="17"/>
        <v>0</v>
      </c>
      <c r="CC17" s="12">
        <f t="shared" si="17"/>
        <v>1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1</v>
      </c>
      <c r="CJ17" s="12">
        <f t="shared" si="17"/>
        <v>1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0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1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1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1</v>
      </c>
      <c r="DH17" s="12">
        <f t="shared" si="18"/>
        <v>1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0</v>
      </c>
      <c r="DM17" s="12">
        <f t="shared" si="18"/>
        <v>1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1</v>
      </c>
      <c r="DT17" s="12">
        <f t="shared" si="18"/>
        <v>1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1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1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1</v>
      </c>
      <c r="EI17" s="12">
        <f t="shared" si="19"/>
        <v>1</v>
      </c>
      <c r="EJ17" s="12">
        <f t="shared" si="19"/>
        <v>1</v>
      </c>
      <c r="EK17" s="12">
        <f t="shared" si="19"/>
        <v>0</v>
      </c>
      <c r="EL17" s="12">
        <f t="shared" si="19"/>
        <v>1</v>
      </c>
    </row>
    <row r="18" spans="1:142" ht="25" customHeight="1" x14ac:dyDescent="0.55000000000000004">
      <c r="A18" s="12" t="s">
        <v>264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1</v>
      </c>
      <c r="H18" s="12">
        <f t="shared" si="20"/>
        <v>0</v>
      </c>
      <c r="I18" s="12">
        <f t="shared" si="20"/>
        <v>0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1</v>
      </c>
      <c r="O18" s="12">
        <f t="shared" si="20"/>
        <v>1</v>
      </c>
      <c r="P18" s="12">
        <f t="shared" si="20"/>
        <v>0</v>
      </c>
      <c r="Q18" s="12">
        <f t="shared" si="20"/>
        <v>1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0</v>
      </c>
      <c r="X18" s="12">
        <f t="shared" si="20"/>
        <v>0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1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0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1</v>
      </c>
      <c r="AJ18" s="12">
        <f t="shared" si="21"/>
        <v>1</v>
      </c>
      <c r="AK18" s="12">
        <f t="shared" si="21"/>
        <v>0</v>
      </c>
      <c r="AL18" s="12">
        <f t="shared" si="21"/>
        <v>1</v>
      </c>
      <c r="AM18" s="12">
        <f t="shared" si="21"/>
        <v>0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1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0</v>
      </c>
      <c r="BA18" s="12">
        <f t="shared" si="21"/>
        <v>1</v>
      </c>
      <c r="BB18" s="12">
        <f t="shared" si="21"/>
        <v>0</v>
      </c>
      <c r="BC18" s="12">
        <f t="shared" si="21"/>
        <v>0</v>
      </c>
      <c r="BD18" s="12">
        <f t="shared" si="21"/>
        <v>1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0</v>
      </c>
      <c r="BJ18" s="12">
        <f t="shared" si="21"/>
        <v>0</v>
      </c>
      <c r="BK18" s="12">
        <f t="shared" si="21"/>
        <v>0</v>
      </c>
      <c r="BL18" s="12">
        <f t="shared" si="21"/>
        <v>1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0</v>
      </c>
      <c r="BP18" s="12">
        <f t="shared" si="22"/>
        <v>0</v>
      </c>
      <c r="BQ18" s="12">
        <f t="shared" si="22"/>
        <v>1</v>
      </c>
      <c r="BR18" s="12">
        <f t="shared" si="22"/>
        <v>0</v>
      </c>
      <c r="BS18" s="12">
        <f t="shared" si="22"/>
        <v>1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0</v>
      </c>
      <c r="BX18" s="12">
        <f t="shared" si="22"/>
        <v>0</v>
      </c>
      <c r="BY18" s="12">
        <f t="shared" si="22"/>
        <v>0</v>
      </c>
      <c r="BZ18" s="12">
        <f t="shared" si="22"/>
        <v>1</v>
      </c>
      <c r="CA18" s="12">
        <f t="shared" si="22"/>
        <v>1</v>
      </c>
      <c r="CB18" s="12">
        <f t="shared" si="22"/>
        <v>0</v>
      </c>
      <c r="CC18" s="12">
        <f t="shared" si="22"/>
        <v>0</v>
      </c>
      <c r="CD18" s="12">
        <f t="shared" si="22"/>
        <v>1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1</v>
      </c>
      <c r="CI18" s="12">
        <f t="shared" si="22"/>
        <v>0</v>
      </c>
      <c r="CJ18" s="12">
        <f t="shared" si="22"/>
        <v>0</v>
      </c>
      <c r="CK18" s="12">
        <f t="shared" si="22"/>
        <v>0</v>
      </c>
      <c r="CL18" s="12">
        <f t="shared" si="22"/>
        <v>1</v>
      </c>
      <c r="CM18" s="12">
        <f t="shared" si="22"/>
        <v>0</v>
      </c>
      <c r="CN18" s="12">
        <f t="shared" si="22"/>
        <v>0</v>
      </c>
      <c r="CO18" s="12">
        <f t="shared" si="22"/>
        <v>0</v>
      </c>
      <c r="CP18" s="12">
        <f t="shared" si="22"/>
        <v>0</v>
      </c>
      <c r="CQ18" s="12">
        <f t="shared" si="22"/>
        <v>0</v>
      </c>
      <c r="CR18" s="12">
        <f t="shared" si="22"/>
        <v>1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0</v>
      </c>
      <c r="CV18" s="12">
        <f t="shared" si="23"/>
        <v>1</v>
      </c>
      <c r="CW18" s="12">
        <f t="shared" si="23"/>
        <v>0</v>
      </c>
      <c r="CX18" s="12">
        <f t="shared" si="23"/>
        <v>1</v>
      </c>
      <c r="CY18" s="12">
        <f t="shared" si="23"/>
        <v>0</v>
      </c>
      <c r="CZ18" s="12">
        <f t="shared" si="23"/>
        <v>1</v>
      </c>
      <c r="DA18" s="12">
        <f t="shared" si="23"/>
        <v>0</v>
      </c>
      <c r="DB18" s="12">
        <f t="shared" si="23"/>
        <v>0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1</v>
      </c>
      <c r="DG18" s="12">
        <f t="shared" si="23"/>
        <v>0</v>
      </c>
      <c r="DH18" s="12">
        <f t="shared" si="23"/>
        <v>0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0</v>
      </c>
      <c r="DM18" s="12">
        <f t="shared" si="23"/>
        <v>0</v>
      </c>
      <c r="DN18" s="12">
        <f t="shared" si="23"/>
        <v>1</v>
      </c>
      <c r="DO18" s="12">
        <f t="shared" si="23"/>
        <v>0</v>
      </c>
      <c r="DP18" s="12">
        <f t="shared" si="23"/>
        <v>0</v>
      </c>
      <c r="DQ18" s="12">
        <f t="shared" si="23"/>
        <v>0</v>
      </c>
      <c r="DR18" s="12">
        <f t="shared" si="23"/>
        <v>1</v>
      </c>
      <c r="DS18" s="12">
        <f t="shared" si="23"/>
        <v>1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1</v>
      </c>
      <c r="DX18" s="12">
        <f t="shared" si="23"/>
        <v>1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0</v>
      </c>
      <c r="EG18" s="12">
        <f t="shared" si="24"/>
        <v>1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0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1</v>
      </c>
      <c r="D19" s="12">
        <f t="shared" si="25"/>
        <v>0</v>
      </c>
      <c r="E19" s="12">
        <f t="shared" si="25"/>
        <v>1</v>
      </c>
      <c r="F19" s="12">
        <f t="shared" si="25"/>
        <v>0</v>
      </c>
      <c r="G19" s="12">
        <f t="shared" si="25"/>
        <v>0</v>
      </c>
      <c r="H19" s="12">
        <f t="shared" si="25"/>
        <v>0</v>
      </c>
      <c r="I19" s="12">
        <f t="shared" si="25"/>
        <v>0</v>
      </c>
      <c r="J19" s="12">
        <f t="shared" si="25"/>
        <v>0</v>
      </c>
      <c r="K19" s="12">
        <f t="shared" si="25"/>
        <v>0</v>
      </c>
      <c r="L19" s="12">
        <f t="shared" si="25"/>
        <v>0</v>
      </c>
      <c r="M19" s="12">
        <f t="shared" si="25"/>
        <v>0</v>
      </c>
      <c r="N19" s="12">
        <f t="shared" si="25"/>
        <v>0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1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1</v>
      </c>
      <c r="X19" s="12">
        <f t="shared" si="25"/>
        <v>1</v>
      </c>
      <c r="Y19" s="12">
        <f t="shared" si="25"/>
        <v>0</v>
      </c>
      <c r="Z19" s="12">
        <f t="shared" si="25"/>
        <v>1</v>
      </c>
      <c r="AA19" s="12">
        <f t="shared" si="25"/>
        <v>0</v>
      </c>
      <c r="AB19" s="12">
        <f t="shared" si="25"/>
        <v>0</v>
      </c>
      <c r="AC19" s="12">
        <f t="shared" si="25"/>
        <v>0</v>
      </c>
      <c r="AD19" s="12">
        <f t="shared" si="25"/>
        <v>0</v>
      </c>
      <c r="AE19" s="12">
        <f t="shared" si="25"/>
        <v>0</v>
      </c>
      <c r="AF19" s="12">
        <f t="shared" si="25"/>
        <v>1</v>
      </c>
      <c r="AG19" s="12">
        <f t="shared" si="25"/>
        <v>0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1</v>
      </c>
      <c r="AK19" s="12">
        <f t="shared" si="26"/>
        <v>0</v>
      </c>
      <c r="AL19" s="12">
        <f t="shared" si="26"/>
        <v>1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0</v>
      </c>
      <c r="AV19" s="12">
        <f t="shared" si="26"/>
        <v>0</v>
      </c>
      <c r="AW19" s="12">
        <f t="shared" si="26"/>
        <v>0</v>
      </c>
      <c r="AX19" s="12">
        <f t="shared" si="26"/>
        <v>0</v>
      </c>
      <c r="AY19" s="12">
        <f t="shared" si="26"/>
        <v>0</v>
      </c>
      <c r="AZ19" s="12">
        <f t="shared" si="26"/>
        <v>1</v>
      </c>
      <c r="BA19" s="12">
        <f t="shared" si="26"/>
        <v>1</v>
      </c>
      <c r="BB19" s="12">
        <f t="shared" si="26"/>
        <v>0</v>
      </c>
      <c r="BC19" s="12">
        <f t="shared" si="26"/>
        <v>0</v>
      </c>
      <c r="BD19" s="12">
        <f t="shared" si="26"/>
        <v>0</v>
      </c>
      <c r="BE19" s="12">
        <f t="shared" si="26"/>
        <v>1</v>
      </c>
      <c r="BF19" s="12">
        <f t="shared" si="26"/>
        <v>1</v>
      </c>
      <c r="BG19" s="12">
        <f t="shared" si="26"/>
        <v>0</v>
      </c>
      <c r="BH19" s="12">
        <f t="shared" si="26"/>
        <v>0</v>
      </c>
      <c r="BI19" s="12">
        <f t="shared" si="26"/>
        <v>1</v>
      </c>
      <c r="BJ19" s="12">
        <f t="shared" si="26"/>
        <v>1</v>
      </c>
      <c r="BK19" s="12">
        <f t="shared" si="26"/>
        <v>0</v>
      </c>
      <c r="BL19" s="12">
        <f t="shared" si="26"/>
        <v>1</v>
      </c>
      <c r="BM19" s="12">
        <f t="shared" si="26"/>
        <v>0</v>
      </c>
      <c r="BN19" s="12">
        <f t="shared" si="26"/>
        <v>1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0</v>
      </c>
      <c r="BR19" s="12">
        <f t="shared" si="27"/>
        <v>0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0</v>
      </c>
      <c r="BW19" s="12">
        <f t="shared" si="27"/>
        <v>0</v>
      </c>
      <c r="BX19" s="12">
        <f t="shared" si="27"/>
        <v>0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0</v>
      </c>
      <c r="CE19" s="12">
        <f t="shared" si="27"/>
        <v>1</v>
      </c>
      <c r="CF19" s="12">
        <f t="shared" si="27"/>
        <v>1</v>
      </c>
      <c r="CG19" s="12">
        <f t="shared" si="27"/>
        <v>0</v>
      </c>
      <c r="CH19" s="12">
        <f t="shared" si="27"/>
        <v>1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1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1</v>
      </c>
      <c r="CU19" s="12">
        <f t="shared" ref="CU19:DZ19" si="28">IF(AND(CU5&gt;0,CU11&lt;0),1,0)</f>
        <v>1</v>
      </c>
      <c r="CV19" s="12">
        <f t="shared" si="28"/>
        <v>0</v>
      </c>
      <c r="CW19" s="12">
        <f t="shared" si="28"/>
        <v>0</v>
      </c>
      <c r="CX19" s="12">
        <f t="shared" si="28"/>
        <v>1</v>
      </c>
      <c r="CY19" s="12">
        <f t="shared" si="28"/>
        <v>0</v>
      </c>
      <c r="CZ19" s="12">
        <f t="shared" si="28"/>
        <v>1</v>
      </c>
      <c r="DA19" s="12">
        <f t="shared" si="28"/>
        <v>0</v>
      </c>
      <c r="DB19" s="12">
        <f t="shared" si="28"/>
        <v>0</v>
      </c>
      <c r="DC19" s="12">
        <f t="shared" si="28"/>
        <v>1</v>
      </c>
      <c r="DD19" s="12">
        <f t="shared" si="28"/>
        <v>1</v>
      </c>
      <c r="DE19" s="12">
        <f t="shared" si="28"/>
        <v>1</v>
      </c>
      <c r="DF19" s="12">
        <f t="shared" si="28"/>
        <v>0</v>
      </c>
      <c r="DG19" s="12">
        <f t="shared" si="28"/>
        <v>0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1</v>
      </c>
      <c r="DP19" s="12">
        <f t="shared" si="28"/>
        <v>0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0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0</v>
      </c>
      <c r="EC19" s="12">
        <f t="shared" si="29"/>
        <v>0</v>
      </c>
      <c r="ED19" s="12">
        <f t="shared" si="29"/>
        <v>0</v>
      </c>
      <c r="EE19" s="12">
        <f t="shared" si="29"/>
        <v>0</v>
      </c>
      <c r="EF19" s="12">
        <f t="shared" si="29"/>
        <v>0</v>
      </c>
      <c r="EG19" s="12">
        <f t="shared" si="29"/>
        <v>1</v>
      </c>
      <c r="EH19" s="12">
        <f t="shared" si="29"/>
        <v>1</v>
      </c>
      <c r="EI19" s="12">
        <f t="shared" si="29"/>
        <v>1</v>
      </c>
      <c r="EJ19" s="12">
        <f t="shared" si="29"/>
        <v>0</v>
      </c>
      <c r="EK19" s="12">
        <f t="shared" si="29"/>
        <v>1</v>
      </c>
      <c r="EL19" s="12">
        <f t="shared" si="29"/>
        <v>0</v>
      </c>
    </row>
    <row r="20" spans="1:142" ht="25" customHeight="1" x14ac:dyDescent="0.55000000000000004">
      <c r="B20" s="17" t="s">
        <v>263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116</v>
      </c>
    </row>
    <row r="21" spans="1:142" ht="25" customHeight="1" x14ac:dyDescent="0.55000000000000004">
      <c r="A21" s="12" t="s">
        <v>265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0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0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0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0</v>
      </c>
      <c r="W21" s="12">
        <f t="shared" si="30"/>
        <v>0</v>
      </c>
      <c r="X21" s="12">
        <f t="shared" si="30"/>
        <v>0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0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0</v>
      </c>
      <c r="AG21" s="12">
        <f t="shared" si="30"/>
        <v>0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0</v>
      </c>
      <c r="AY21" s="12">
        <f t="shared" si="31"/>
        <v>0</v>
      </c>
      <c r="AZ21" s="12">
        <f t="shared" si="31"/>
        <v>0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0</v>
      </c>
      <c r="BF21" s="12">
        <f t="shared" si="31"/>
        <v>0</v>
      </c>
      <c r="BG21" s="12">
        <f t="shared" si="31"/>
        <v>1</v>
      </c>
      <c r="BH21" s="12">
        <f t="shared" si="31"/>
        <v>0</v>
      </c>
      <c r="BI21" s="12">
        <f t="shared" si="31"/>
        <v>1</v>
      </c>
      <c r="BJ21" s="12">
        <f t="shared" si="31"/>
        <v>0</v>
      </c>
      <c r="BK21" s="12">
        <f t="shared" si="31"/>
        <v>0</v>
      </c>
      <c r="BL21" s="12">
        <f t="shared" si="31"/>
        <v>1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0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0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1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0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0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0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0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1</v>
      </c>
      <c r="DP21" s="12">
        <f t="shared" si="33"/>
        <v>0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0</v>
      </c>
      <c r="DV21" s="12">
        <f t="shared" si="33"/>
        <v>0</v>
      </c>
      <c r="DW21" s="12">
        <f t="shared" si="33"/>
        <v>0</v>
      </c>
      <c r="DX21" s="12">
        <f t="shared" si="33"/>
        <v>0</v>
      </c>
      <c r="DY21" s="12">
        <f t="shared" si="33"/>
        <v>1</v>
      </c>
      <c r="DZ21" s="12">
        <f t="shared" si="33"/>
        <v>0</v>
      </c>
      <c r="EA21" s="12">
        <f t="shared" ref="EA21:EL21" si="34">IF(AND(EA3&lt;0,EA9&gt;0),1,0)</f>
        <v>0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0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0</v>
      </c>
      <c r="EL21" s="12">
        <f t="shared" si="34"/>
        <v>0</v>
      </c>
    </row>
    <row r="22" spans="1:142" ht="25" customHeight="1" x14ac:dyDescent="0.55000000000000004">
      <c r="A22" s="12" t="s">
        <v>266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0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0</v>
      </c>
      <c r="U22" s="12">
        <f t="shared" si="35"/>
        <v>0</v>
      </c>
      <c r="V22" s="12">
        <f t="shared" si="35"/>
        <v>1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0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1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0</v>
      </c>
      <c r="AQ22" s="12">
        <f t="shared" si="36"/>
        <v>1</v>
      </c>
      <c r="AR22" s="12">
        <f t="shared" si="36"/>
        <v>1</v>
      </c>
      <c r="AS22" s="12">
        <f t="shared" si="36"/>
        <v>0</v>
      </c>
      <c r="AT22" s="12">
        <f t="shared" si="36"/>
        <v>1</v>
      </c>
      <c r="AU22" s="12">
        <f t="shared" si="36"/>
        <v>0</v>
      </c>
      <c r="AV22" s="12">
        <f t="shared" si="36"/>
        <v>0</v>
      </c>
      <c r="AW22" s="12">
        <f t="shared" si="36"/>
        <v>0</v>
      </c>
      <c r="AX22" s="12">
        <f t="shared" si="36"/>
        <v>0</v>
      </c>
      <c r="AY22" s="12">
        <f t="shared" si="36"/>
        <v>0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1</v>
      </c>
      <c r="BD22" s="12">
        <f t="shared" si="36"/>
        <v>0</v>
      </c>
      <c r="BE22" s="12">
        <f t="shared" si="36"/>
        <v>1</v>
      </c>
      <c r="BF22" s="12">
        <f t="shared" si="36"/>
        <v>1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1</v>
      </c>
      <c r="BL22" s="12">
        <f t="shared" si="36"/>
        <v>0</v>
      </c>
      <c r="BM22" s="12">
        <f t="shared" si="36"/>
        <v>0</v>
      </c>
      <c r="BN22" s="12">
        <f t="shared" si="36"/>
        <v>0</v>
      </c>
      <c r="BO22" s="12">
        <f t="shared" ref="BO22:CT22" si="37">IF(AND(BO4&lt;0,BO10&gt;0),1,0)</f>
        <v>0</v>
      </c>
      <c r="BP22" s="12">
        <f t="shared" si="37"/>
        <v>0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1</v>
      </c>
      <c r="BU22" s="12">
        <f t="shared" si="37"/>
        <v>1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0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1</v>
      </c>
      <c r="CH22" s="12">
        <f t="shared" si="37"/>
        <v>0</v>
      </c>
      <c r="CI22" s="12">
        <f t="shared" si="37"/>
        <v>1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1</v>
      </c>
      <c r="CN22" s="12">
        <f t="shared" si="37"/>
        <v>0</v>
      </c>
      <c r="CO22" s="12">
        <f t="shared" si="37"/>
        <v>0</v>
      </c>
      <c r="CP22" s="12">
        <f t="shared" si="37"/>
        <v>1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0</v>
      </c>
      <c r="DE22" s="12">
        <f t="shared" si="38"/>
        <v>1</v>
      </c>
      <c r="DF22" s="12">
        <f t="shared" si="38"/>
        <v>0</v>
      </c>
      <c r="DG22" s="12">
        <f t="shared" si="38"/>
        <v>1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1</v>
      </c>
      <c r="DL22" s="12">
        <f t="shared" si="38"/>
        <v>0</v>
      </c>
      <c r="DM22" s="12">
        <f t="shared" si="38"/>
        <v>1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0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1</v>
      </c>
      <c r="DV22" s="12">
        <f t="shared" si="38"/>
        <v>1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0</v>
      </c>
      <c r="ED22" s="12">
        <f t="shared" si="39"/>
        <v>1</v>
      </c>
      <c r="EE22" s="12">
        <f t="shared" si="39"/>
        <v>1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1</v>
      </c>
      <c r="EK22" s="12">
        <f t="shared" si="39"/>
        <v>1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1</v>
      </c>
      <c r="E23" s="12">
        <f t="shared" si="40"/>
        <v>0</v>
      </c>
      <c r="F23" s="12">
        <f t="shared" si="40"/>
        <v>0</v>
      </c>
      <c r="G23" s="12">
        <f t="shared" si="40"/>
        <v>1</v>
      </c>
      <c r="H23" s="12">
        <f t="shared" si="40"/>
        <v>1</v>
      </c>
      <c r="I23" s="12">
        <f t="shared" si="40"/>
        <v>0</v>
      </c>
      <c r="J23" s="12">
        <f t="shared" si="40"/>
        <v>0</v>
      </c>
      <c r="K23" s="12">
        <f t="shared" si="40"/>
        <v>1</v>
      </c>
      <c r="L23" s="12">
        <f t="shared" si="40"/>
        <v>0</v>
      </c>
      <c r="M23" s="12">
        <f t="shared" si="40"/>
        <v>1</v>
      </c>
      <c r="N23" s="12">
        <f t="shared" si="40"/>
        <v>0</v>
      </c>
      <c r="O23" s="12">
        <f t="shared" si="40"/>
        <v>1</v>
      </c>
      <c r="P23" s="12">
        <f t="shared" si="40"/>
        <v>1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1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1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1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1</v>
      </c>
      <c r="AI23" s="12">
        <f t="shared" ref="AI23:BN23" si="41">IF(AND(AI5&lt;0,AI11&gt;0),1,0)</f>
        <v>1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1</v>
      </c>
      <c r="AN23" s="12">
        <f t="shared" si="41"/>
        <v>0</v>
      </c>
      <c r="AO23" s="12">
        <f t="shared" si="41"/>
        <v>0</v>
      </c>
      <c r="AP23" s="12">
        <f t="shared" si="41"/>
        <v>1</v>
      </c>
      <c r="AQ23" s="12">
        <f t="shared" si="41"/>
        <v>0</v>
      </c>
      <c r="AR23" s="12">
        <f t="shared" si="41"/>
        <v>0</v>
      </c>
      <c r="AS23" s="12">
        <f t="shared" si="41"/>
        <v>1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1</v>
      </c>
      <c r="AX23" s="12">
        <f t="shared" si="41"/>
        <v>0</v>
      </c>
      <c r="AY23" s="12">
        <f t="shared" si="41"/>
        <v>1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0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0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0</v>
      </c>
      <c r="CA23" s="12">
        <f t="shared" si="42"/>
        <v>1</v>
      </c>
      <c r="CB23" s="12">
        <f t="shared" si="42"/>
        <v>1</v>
      </c>
      <c r="CC23" s="12">
        <f t="shared" si="42"/>
        <v>1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0</v>
      </c>
      <c r="CK23" s="12">
        <f t="shared" si="42"/>
        <v>1</v>
      </c>
      <c r="CL23" s="12">
        <f t="shared" si="42"/>
        <v>1</v>
      </c>
      <c r="CM23" s="12">
        <f t="shared" si="42"/>
        <v>0</v>
      </c>
      <c r="CN23" s="12">
        <f t="shared" si="42"/>
        <v>0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0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0</v>
      </c>
      <c r="CW23" s="12">
        <f t="shared" si="43"/>
        <v>0</v>
      </c>
      <c r="CX23" s="12">
        <f t="shared" si="43"/>
        <v>0</v>
      </c>
      <c r="CY23" s="12">
        <f t="shared" si="43"/>
        <v>0</v>
      </c>
      <c r="CZ23" s="12">
        <f t="shared" si="43"/>
        <v>0</v>
      </c>
      <c r="DA23" s="12">
        <f t="shared" si="43"/>
        <v>0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1</v>
      </c>
      <c r="DG23" s="12">
        <f t="shared" si="43"/>
        <v>0</v>
      </c>
      <c r="DH23" s="12">
        <f t="shared" si="43"/>
        <v>1</v>
      </c>
      <c r="DI23" s="12">
        <f t="shared" si="43"/>
        <v>1</v>
      </c>
      <c r="DJ23" s="12">
        <f t="shared" si="43"/>
        <v>0</v>
      </c>
      <c r="DK23" s="12">
        <f t="shared" si="43"/>
        <v>1</v>
      </c>
      <c r="DL23" s="12">
        <f t="shared" si="43"/>
        <v>0</v>
      </c>
      <c r="DM23" s="12">
        <f t="shared" si="43"/>
        <v>0</v>
      </c>
      <c r="DN23" s="12">
        <f t="shared" si="43"/>
        <v>1</v>
      </c>
      <c r="DO23" s="12">
        <f t="shared" si="43"/>
        <v>0</v>
      </c>
      <c r="DP23" s="12">
        <f t="shared" si="43"/>
        <v>0</v>
      </c>
      <c r="DQ23" s="12">
        <f t="shared" si="43"/>
        <v>0</v>
      </c>
      <c r="DR23" s="12">
        <f t="shared" si="43"/>
        <v>1</v>
      </c>
      <c r="DS23" s="12">
        <f t="shared" si="43"/>
        <v>0</v>
      </c>
      <c r="DT23" s="12">
        <f t="shared" si="43"/>
        <v>0</v>
      </c>
      <c r="DU23" s="12">
        <f t="shared" si="43"/>
        <v>0</v>
      </c>
      <c r="DV23" s="12">
        <f t="shared" si="43"/>
        <v>0</v>
      </c>
      <c r="DW23" s="12">
        <f t="shared" si="43"/>
        <v>0</v>
      </c>
      <c r="DX23" s="12">
        <f t="shared" si="43"/>
        <v>1</v>
      </c>
      <c r="DY23" s="12">
        <f t="shared" si="43"/>
        <v>0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1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0</v>
      </c>
      <c r="EK23" s="12">
        <f t="shared" si="44"/>
        <v>0</v>
      </c>
      <c r="EL23" s="12">
        <f t="shared" si="44"/>
        <v>0</v>
      </c>
    </row>
    <row r="24" spans="1:142" ht="25" customHeight="1" x14ac:dyDescent="0.55000000000000004">
      <c r="B24" s="17" t="s">
        <v>265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73</v>
      </c>
    </row>
    <row r="25" spans="1:142" ht="25" customHeight="1" x14ac:dyDescent="0.55000000000000004">
      <c r="A25" s="12" t="s">
        <v>267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1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1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1</v>
      </c>
      <c r="Q25" s="12">
        <f t="shared" si="45"/>
        <v>0</v>
      </c>
      <c r="R25" s="12">
        <f t="shared" si="45"/>
        <v>0</v>
      </c>
      <c r="S25" s="12">
        <f t="shared" si="45"/>
        <v>0</v>
      </c>
      <c r="T25" s="12">
        <f t="shared" si="45"/>
        <v>0</v>
      </c>
      <c r="U25" s="12">
        <f t="shared" si="45"/>
        <v>0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0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1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1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0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0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1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0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1</v>
      </c>
      <c r="DM25" s="12">
        <f t="shared" si="48"/>
        <v>0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0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0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0</v>
      </c>
    </row>
    <row r="26" spans="1:142" ht="25" customHeight="1" x14ac:dyDescent="0.55000000000000004">
      <c r="A26" s="12" t="s">
        <v>268</v>
      </c>
      <c r="B26" s="11" t="s">
        <v>144</v>
      </c>
      <c r="C26" s="12">
        <f t="shared" ref="C26:AH26" si="50">IF(AND(C4&lt;0,C10&lt;0),1,0)</f>
        <v>1</v>
      </c>
      <c r="D26" s="12">
        <f t="shared" si="50"/>
        <v>1</v>
      </c>
      <c r="E26" s="12">
        <f t="shared" si="50"/>
        <v>1</v>
      </c>
      <c r="F26" s="12">
        <f t="shared" si="50"/>
        <v>0</v>
      </c>
      <c r="G26" s="12">
        <f t="shared" si="50"/>
        <v>0</v>
      </c>
      <c r="H26" s="12">
        <f t="shared" si="50"/>
        <v>1</v>
      </c>
      <c r="I26" s="12">
        <f t="shared" si="50"/>
        <v>1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0</v>
      </c>
      <c r="O26" s="12">
        <f t="shared" si="50"/>
        <v>0</v>
      </c>
      <c r="P26" s="12">
        <f t="shared" si="50"/>
        <v>0</v>
      </c>
      <c r="Q26" s="12">
        <f t="shared" si="50"/>
        <v>0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1</v>
      </c>
      <c r="X26" s="12">
        <f t="shared" si="50"/>
        <v>1</v>
      </c>
      <c r="Y26" s="12">
        <f t="shared" si="50"/>
        <v>1</v>
      </c>
      <c r="Z26" s="12">
        <f t="shared" si="50"/>
        <v>1</v>
      </c>
      <c r="AA26" s="12">
        <f t="shared" si="50"/>
        <v>0</v>
      </c>
      <c r="AB26" s="12">
        <f t="shared" si="50"/>
        <v>0</v>
      </c>
      <c r="AC26" s="12">
        <f t="shared" si="50"/>
        <v>1</v>
      </c>
      <c r="AD26" s="12">
        <f t="shared" si="50"/>
        <v>1</v>
      </c>
      <c r="AE26" s="12">
        <f t="shared" si="50"/>
        <v>0</v>
      </c>
      <c r="AF26" s="12">
        <f t="shared" si="50"/>
        <v>1</v>
      </c>
      <c r="AG26" s="12">
        <f t="shared" si="50"/>
        <v>1</v>
      </c>
      <c r="AH26" s="12">
        <f t="shared" si="50"/>
        <v>1</v>
      </c>
      <c r="AI26" s="12">
        <f t="shared" ref="AI26:BN26" si="51">IF(AND(AI4&lt;0,AI10&lt;0),1,0)</f>
        <v>0</v>
      </c>
      <c r="AJ26" s="12">
        <f t="shared" si="51"/>
        <v>0</v>
      </c>
      <c r="AK26" s="12">
        <f t="shared" si="51"/>
        <v>0</v>
      </c>
      <c r="AL26" s="12">
        <f t="shared" si="51"/>
        <v>0</v>
      </c>
      <c r="AM26" s="12">
        <f t="shared" si="51"/>
        <v>1</v>
      </c>
      <c r="AN26" s="12">
        <f t="shared" si="51"/>
        <v>1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0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1</v>
      </c>
      <c r="AY26" s="12">
        <f t="shared" si="51"/>
        <v>0</v>
      </c>
      <c r="AZ26" s="12">
        <f t="shared" si="51"/>
        <v>1</v>
      </c>
      <c r="BA26" s="12">
        <f t="shared" si="51"/>
        <v>0</v>
      </c>
      <c r="BB26" s="12">
        <f t="shared" si="51"/>
        <v>0</v>
      </c>
      <c r="BC26" s="12">
        <f t="shared" si="51"/>
        <v>0</v>
      </c>
      <c r="BD26" s="12">
        <f t="shared" si="51"/>
        <v>0</v>
      </c>
      <c r="BE26" s="12">
        <f t="shared" si="51"/>
        <v>0</v>
      </c>
      <c r="BF26" s="12">
        <f t="shared" si="51"/>
        <v>0</v>
      </c>
      <c r="BG26" s="12">
        <f t="shared" si="51"/>
        <v>1</v>
      </c>
      <c r="BH26" s="12">
        <f t="shared" si="51"/>
        <v>0</v>
      </c>
      <c r="BI26" s="12">
        <f t="shared" si="51"/>
        <v>1</v>
      </c>
      <c r="BJ26" s="12">
        <f t="shared" si="51"/>
        <v>1</v>
      </c>
      <c r="BK26" s="12">
        <f t="shared" si="51"/>
        <v>0</v>
      </c>
      <c r="BL26" s="12">
        <f t="shared" si="51"/>
        <v>0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1</v>
      </c>
      <c r="BP26" s="12">
        <f t="shared" si="52"/>
        <v>0</v>
      </c>
      <c r="BQ26" s="12">
        <f t="shared" si="52"/>
        <v>0</v>
      </c>
      <c r="BR26" s="12">
        <f t="shared" si="52"/>
        <v>1</v>
      </c>
      <c r="BS26" s="12">
        <f t="shared" si="52"/>
        <v>0</v>
      </c>
      <c r="BT26" s="12">
        <f t="shared" si="52"/>
        <v>0</v>
      </c>
      <c r="BU26" s="12">
        <f t="shared" si="52"/>
        <v>0</v>
      </c>
      <c r="BV26" s="12">
        <f t="shared" si="52"/>
        <v>1</v>
      </c>
      <c r="BW26" s="12">
        <f t="shared" si="52"/>
        <v>1</v>
      </c>
      <c r="BX26" s="12">
        <f t="shared" si="52"/>
        <v>1</v>
      </c>
      <c r="BY26" s="12">
        <f t="shared" si="52"/>
        <v>0</v>
      </c>
      <c r="BZ26" s="12">
        <f t="shared" si="52"/>
        <v>0</v>
      </c>
      <c r="CA26" s="12">
        <f t="shared" si="52"/>
        <v>0</v>
      </c>
      <c r="CB26" s="12">
        <f t="shared" si="52"/>
        <v>1</v>
      </c>
      <c r="CC26" s="12">
        <f t="shared" si="52"/>
        <v>1</v>
      </c>
      <c r="CD26" s="12">
        <f t="shared" si="52"/>
        <v>0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0</v>
      </c>
      <c r="CI26" s="12">
        <f t="shared" si="52"/>
        <v>0</v>
      </c>
      <c r="CJ26" s="12">
        <f t="shared" si="52"/>
        <v>1</v>
      </c>
      <c r="CK26" s="12">
        <f t="shared" si="52"/>
        <v>1</v>
      </c>
      <c r="CL26" s="12">
        <f t="shared" si="52"/>
        <v>0</v>
      </c>
      <c r="CM26" s="12">
        <f t="shared" si="52"/>
        <v>0</v>
      </c>
      <c r="CN26" s="12">
        <f t="shared" si="52"/>
        <v>0</v>
      </c>
      <c r="CO26" s="12">
        <f t="shared" si="52"/>
        <v>1</v>
      </c>
      <c r="CP26" s="12">
        <f t="shared" si="52"/>
        <v>0</v>
      </c>
      <c r="CQ26" s="12">
        <f t="shared" si="52"/>
        <v>1</v>
      </c>
      <c r="CR26" s="12">
        <f t="shared" si="52"/>
        <v>0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1</v>
      </c>
      <c r="CV26" s="12">
        <f t="shared" si="53"/>
        <v>0</v>
      </c>
      <c r="CW26" s="12">
        <f t="shared" si="53"/>
        <v>1</v>
      </c>
      <c r="CX26" s="12">
        <f t="shared" si="53"/>
        <v>0</v>
      </c>
      <c r="CY26" s="12">
        <f t="shared" si="53"/>
        <v>1</v>
      </c>
      <c r="CZ26" s="12">
        <f t="shared" si="53"/>
        <v>0</v>
      </c>
      <c r="DA26" s="12">
        <f t="shared" si="53"/>
        <v>1</v>
      </c>
      <c r="DB26" s="12">
        <f t="shared" si="53"/>
        <v>1</v>
      </c>
      <c r="DC26" s="12">
        <f t="shared" si="53"/>
        <v>1</v>
      </c>
      <c r="DD26" s="12">
        <f t="shared" si="53"/>
        <v>0</v>
      </c>
      <c r="DE26" s="12">
        <f t="shared" si="53"/>
        <v>0</v>
      </c>
      <c r="DF26" s="12">
        <f t="shared" si="53"/>
        <v>0</v>
      </c>
      <c r="DG26" s="12">
        <f t="shared" si="53"/>
        <v>0</v>
      </c>
      <c r="DH26" s="12">
        <f t="shared" si="53"/>
        <v>1</v>
      </c>
      <c r="DI26" s="12">
        <f t="shared" si="53"/>
        <v>1</v>
      </c>
      <c r="DJ26" s="12">
        <f t="shared" si="53"/>
        <v>1</v>
      </c>
      <c r="DK26" s="12">
        <f t="shared" si="53"/>
        <v>0</v>
      </c>
      <c r="DL26" s="12">
        <f t="shared" si="53"/>
        <v>1</v>
      </c>
      <c r="DM26" s="12">
        <f t="shared" si="53"/>
        <v>0</v>
      </c>
      <c r="DN26" s="12">
        <f t="shared" si="53"/>
        <v>0</v>
      </c>
      <c r="DO26" s="12">
        <f t="shared" si="53"/>
        <v>1</v>
      </c>
      <c r="DP26" s="12">
        <f t="shared" si="53"/>
        <v>1</v>
      </c>
      <c r="DQ26" s="12">
        <f t="shared" si="53"/>
        <v>0</v>
      </c>
      <c r="DR26" s="12">
        <f t="shared" si="53"/>
        <v>0</v>
      </c>
      <c r="DS26" s="12">
        <f t="shared" si="53"/>
        <v>0</v>
      </c>
      <c r="DT26" s="12">
        <f t="shared" si="53"/>
        <v>1</v>
      </c>
      <c r="DU26" s="12">
        <f t="shared" si="53"/>
        <v>0</v>
      </c>
      <c r="DV26" s="12">
        <f t="shared" si="53"/>
        <v>0</v>
      </c>
      <c r="DW26" s="12">
        <f t="shared" si="53"/>
        <v>0</v>
      </c>
      <c r="DX26" s="12">
        <f t="shared" si="53"/>
        <v>0</v>
      </c>
      <c r="DY26" s="12">
        <f t="shared" si="53"/>
        <v>1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1</v>
      </c>
      <c r="EG26" s="12">
        <f t="shared" si="54"/>
        <v>0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1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0</v>
      </c>
      <c r="F27" s="12">
        <f t="shared" si="55"/>
        <v>1</v>
      </c>
      <c r="G27" s="12">
        <f t="shared" si="55"/>
        <v>0</v>
      </c>
      <c r="H27" s="12">
        <f t="shared" si="55"/>
        <v>0</v>
      </c>
      <c r="I27" s="12">
        <f t="shared" si="55"/>
        <v>1</v>
      </c>
      <c r="J27" s="12">
        <f t="shared" si="55"/>
        <v>1</v>
      </c>
      <c r="K27" s="12">
        <f t="shared" si="55"/>
        <v>0</v>
      </c>
      <c r="L27" s="12">
        <f t="shared" si="55"/>
        <v>1</v>
      </c>
      <c r="M27" s="12">
        <f t="shared" si="55"/>
        <v>0</v>
      </c>
      <c r="N27" s="12">
        <f t="shared" si="55"/>
        <v>1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0</v>
      </c>
      <c r="AA27" s="12">
        <f t="shared" si="55"/>
        <v>0</v>
      </c>
      <c r="AB27" s="12">
        <f t="shared" si="55"/>
        <v>1</v>
      </c>
      <c r="AC27" s="12">
        <f t="shared" si="55"/>
        <v>1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1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0</v>
      </c>
      <c r="AK27" s="12">
        <f t="shared" si="56"/>
        <v>1</v>
      </c>
      <c r="AL27" s="12">
        <f t="shared" si="56"/>
        <v>0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1</v>
      </c>
      <c r="AV27" s="12">
        <f t="shared" si="56"/>
        <v>0</v>
      </c>
      <c r="AW27" s="12">
        <f t="shared" si="56"/>
        <v>0</v>
      </c>
      <c r="AX27" s="12">
        <f t="shared" si="56"/>
        <v>1</v>
      </c>
      <c r="AY27" s="12">
        <f t="shared" si="56"/>
        <v>0</v>
      </c>
      <c r="AZ27" s="12">
        <f t="shared" si="56"/>
        <v>0</v>
      </c>
      <c r="BA27" s="12">
        <f t="shared" si="56"/>
        <v>0</v>
      </c>
      <c r="BB27" s="12">
        <f t="shared" si="56"/>
        <v>1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0</v>
      </c>
      <c r="BG27" s="12">
        <f t="shared" si="56"/>
        <v>1</v>
      </c>
      <c r="BH27" s="12">
        <f t="shared" si="56"/>
        <v>1</v>
      </c>
      <c r="BI27" s="12">
        <f t="shared" si="56"/>
        <v>0</v>
      </c>
      <c r="BJ27" s="12">
        <f t="shared" si="56"/>
        <v>0</v>
      </c>
      <c r="BK27" s="12">
        <f t="shared" si="56"/>
        <v>1</v>
      </c>
      <c r="BL27" s="12">
        <f t="shared" si="56"/>
        <v>0</v>
      </c>
      <c r="BM27" s="12">
        <f t="shared" si="56"/>
        <v>0</v>
      </c>
      <c r="BN27" s="12">
        <f t="shared" si="56"/>
        <v>0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1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1</v>
      </c>
      <c r="BW27" s="12">
        <f t="shared" si="57"/>
        <v>1</v>
      </c>
      <c r="BX27" s="12">
        <f t="shared" si="57"/>
        <v>1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1</v>
      </c>
      <c r="CE27" s="12">
        <f t="shared" si="57"/>
        <v>0</v>
      </c>
      <c r="CF27" s="12">
        <f t="shared" si="57"/>
        <v>0</v>
      </c>
      <c r="CG27" s="12">
        <f t="shared" si="57"/>
        <v>1</v>
      </c>
      <c r="CH27" s="12">
        <f t="shared" si="57"/>
        <v>0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0</v>
      </c>
      <c r="CT27" s="12">
        <f t="shared" si="57"/>
        <v>0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0</v>
      </c>
      <c r="CX27" s="12">
        <f t="shared" si="58"/>
        <v>0</v>
      </c>
      <c r="CY27" s="12">
        <f t="shared" si="58"/>
        <v>0</v>
      </c>
      <c r="CZ27" s="12">
        <f t="shared" si="58"/>
        <v>0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1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0</v>
      </c>
      <c r="DP27" s="12">
        <f t="shared" si="58"/>
        <v>1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1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1</v>
      </c>
      <c r="EC27" s="12">
        <f t="shared" si="59"/>
        <v>1</v>
      </c>
      <c r="ED27" s="12">
        <f t="shared" si="59"/>
        <v>0</v>
      </c>
      <c r="EE27" s="12">
        <f t="shared" si="59"/>
        <v>1</v>
      </c>
      <c r="EF27" s="12">
        <f t="shared" si="59"/>
        <v>1</v>
      </c>
      <c r="EG27" s="12">
        <f t="shared" si="59"/>
        <v>0</v>
      </c>
      <c r="EH27" s="12">
        <f t="shared" si="59"/>
        <v>0</v>
      </c>
      <c r="EI27" s="12">
        <f t="shared" si="59"/>
        <v>0</v>
      </c>
      <c r="EJ27" s="12">
        <f t="shared" si="59"/>
        <v>0</v>
      </c>
      <c r="EK27" s="12">
        <f t="shared" si="59"/>
        <v>0</v>
      </c>
      <c r="EL27" s="12">
        <f t="shared" si="59"/>
        <v>0</v>
      </c>
    </row>
    <row r="28" spans="1:142" ht="25" customHeight="1" x14ac:dyDescent="0.55000000000000004">
      <c r="B28" s="17" t="s">
        <v>267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96</v>
      </c>
    </row>
    <row r="30" spans="1:142" ht="25" customHeight="1" x14ac:dyDescent="0.55000000000000004">
      <c r="A30" s="12" t="s">
        <v>269</v>
      </c>
      <c r="B30" s="12" t="s">
        <v>270</v>
      </c>
      <c r="C30" s="16">
        <f>(C16+C28)/(C16+C28+C20+C24)</f>
        <v>0.55000000000000004</v>
      </c>
    </row>
    <row r="31" spans="1:142" ht="25" customHeight="1" x14ac:dyDescent="0.55000000000000004">
      <c r="A31" s="12" t="s">
        <v>271</v>
      </c>
      <c r="B31" s="12" t="s">
        <v>272</v>
      </c>
      <c r="C31" s="16">
        <f>C16/(C16+C20)</f>
        <v>0.53784860557768921</v>
      </c>
    </row>
    <row r="32" spans="1:142" ht="25" customHeight="1" x14ac:dyDescent="0.55000000000000004">
      <c r="A32" s="12" t="s">
        <v>273</v>
      </c>
      <c r="B32" s="12" t="s">
        <v>274</v>
      </c>
      <c r="C32" s="16">
        <f>C16/(C16+C24)</f>
        <v>0.64903846153846156</v>
      </c>
    </row>
    <row r="33" spans="1:3" ht="25" customHeight="1" x14ac:dyDescent="0.55000000000000004">
      <c r="A33" s="12" t="s">
        <v>275</v>
      </c>
      <c r="B33" s="12" t="s">
        <v>276</v>
      </c>
      <c r="C33" s="16">
        <f>2*(C31*C32)/(C31+C32)</f>
        <v>0.58823529411764697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2026-01-03T05:58:49Z</dcterms:modified>
</cp:coreProperties>
</file>