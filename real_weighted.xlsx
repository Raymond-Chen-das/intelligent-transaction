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7E681AF5-E9AF-40E5-B047-F4B19D7398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真實IC" sheetId="1" r:id="rId1"/>
    <sheet name="勝率" sheetId="2" r:id="rId2"/>
    <sheet name="累積報酬" sheetId="3" r:id="rId3"/>
    <sheet name="畫圖0" sheetId="4" state="hidden" r:id="rId4"/>
    <sheet name="畫圖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4" l="1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H24" i="4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D24" i="4"/>
  <c r="E24" i="4" s="1"/>
  <c r="F24" i="4" s="1"/>
  <c r="G24" i="4" s="1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D23" i="4"/>
  <c r="G22" i="4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F22" i="4"/>
  <c r="D22" i="4"/>
  <c r="E22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AW19" i="4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F19" i="4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E19" i="4"/>
  <c r="D19" i="4"/>
  <c r="L18" i="4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G18" i="4"/>
  <c r="H18" i="4" s="1"/>
  <c r="I18" i="4" s="1"/>
  <c r="J18" i="4" s="1"/>
  <c r="K18" i="4" s="1"/>
  <c r="F18" i="4"/>
  <c r="D18" i="4"/>
  <c r="E18" i="4" s="1"/>
  <c r="F17" i="4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E17" i="4"/>
  <c r="D17" i="4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H15" i="4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D15" i="4"/>
  <c r="E15" i="4" s="1"/>
  <c r="F15" i="4" s="1"/>
  <c r="G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K13" i="4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D13" i="4"/>
  <c r="E13" i="4" s="1"/>
  <c r="F13" i="4" s="1"/>
  <c r="G13" i="4" s="1"/>
  <c r="H13" i="4" s="1"/>
  <c r="I13" i="4" s="1"/>
  <c r="J13" i="4" s="1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D12" i="4"/>
  <c r="EL8" i="4"/>
  <c r="EK8" i="4"/>
  <c r="ED8" i="4"/>
  <c r="DR8" i="4"/>
  <c r="DN8" i="4"/>
  <c r="DL8" i="4"/>
  <c r="DI8" i="4"/>
  <c r="DH8" i="4"/>
  <c r="DF8" i="4"/>
  <c r="DE8" i="4"/>
  <c r="DA8" i="4"/>
  <c r="CR8" i="4"/>
  <c r="CQ8" i="4"/>
  <c r="CJ8" i="4"/>
  <c r="CG8" i="4"/>
  <c r="CB8" i="4"/>
  <c r="BX8" i="4"/>
  <c r="BL8" i="4"/>
  <c r="BJ8" i="4"/>
  <c r="BI8" i="4"/>
  <c r="BH8" i="4"/>
  <c r="BG8" i="4"/>
  <c r="BF8" i="4"/>
  <c r="BE8" i="4"/>
  <c r="AK8" i="4"/>
  <c r="AJ8" i="4"/>
  <c r="AI8" i="4"/>
  <c r="AH8" i="4"/>
  <c r="AG8" i="4"/>
  <c r="AF8" i="4"/>
  <c r="Q8" i="4"/>
  <c r="P8" i="4"/>
  <c r="I8" i="4"/>
  <c r="E8" i="4"/>
  <c r="EL7" i="4"/>
  <c r="EJ7" i="4"/>
  <c r="EG7" i="4"/>
  <c r="ED7" i="4"/>
  <c r="EA7" i="4"/>
  <c r="DZ7" i="4"/>
  <c r="DY7" i="4"/>
  <c r="DX7" i="4"/>
  <c r="DN7" i="4"/>
  <c r="DK7" i="4"/>
  <c r="DJ7" i="4"/>
  <c r="DI7" i="4"/>
  <c r="DF7" i="4"/>
  <c r="DE7" i="4"/>
  <c r="DA7" i="4"/>
  <c r="CY7" i="4"/>
  <c r="CX7" i="4"/>
  <c r="CW7" i="4"/>
  <c r="CV7" i="4"/>
  <c r="CM7" i="4"/>
  <c r="CL7" i="4"/>
  <c r="CK7" i="4"/>
  <c r="CJ7" i="4"/>
  <c r="CI7" i="4"/>
  <c r="CG7" i="4"/>
  <c r="CC7" i="4"/>
  <c r="CB7" i="4"/>
  <c r="BV7" i="4"/>
  <c r="BU7" i="4"/>
  <c r="BT7" i="4"/>
  <c r="BJ7" i="4"/>
  <c r="BH7" i="4"/>
  <c r="BF7" i="4"/>
  <c r="AX7" i="4"/>
  <c r="AW7" i="4"/>
  <c r="AV7" i="4"/>
  <c r="AT7" i="4"/>
  <c r="AH7" i="4"/>
  <c r="AB7" i="4"/>
  <c r="U7" i="4"/>
  <c r="S7" i="4"/>
  <c r="R7" i="4"/>
  <c r="Q7" i="4"/>
  <c r="P7" i="4"/>
  <c r="N7" i="4"/>
  <c r="H7" i="4"/>
  <c r="G7" i="4"/>
  <c r="E7" i="4"/>
  <c r="D7" i="4"/>
  <c r="EL6" i="4" a="1"/>
  <c r="EL6" i="4" s="1"/>
  <c r="EK6" i="4" a="1"/>
  <c r="EK6" i="4"/>
  <c r="EK7" i="4" s="1"/>
  <c r="EJ6" i="4" a="1"/>
  <c r="EJ6" i="4"/>
  <c r="EJ8" i="4" s="1"/>
  <c r="EI6" i="4" a="1"/>
  <c r="EI6" i="4"/>
  <c r="EH6" i="4" a="1"/>
  <c r="EH6" i="4"/>
  <c r="EG6" i="4" a="1"/>
  <c r="EG6" i="4"/>
  <c r="EG8" i="4" s="1"/>
  <c r="EF6" i="4" a="1"/>
  <c r="EF6" i="4" s="1"/>
  <c r="EF7" i="4" s="1"/>
  <c r="EE6" i="4" a="1"/>
  <c r="EE6" i="4" s="1"/>
  <c r="ED6" i="4" a="1"/>
  <c r="ED6" i="4"/>
  <c r="EC6" i="4" a="1"/>
  <c r="EC6" i="4"/>
  <c r="EB6" i="4" a="1"/>
  <c r="EB6" i="4"/>
  <c r="EA6" i="4" a="1"/>
  <c r="EA6" i="4"/>
  <c r="EA8" i="4" s="1"/>
  <c r="DZ6" i="4" a="1"/>
  <c r="DZ6" i="4"/>
  <c r="DZ8" i="4" s="1"/>
  <c r="DY6" i="4" a="1"/>
  <c r="DY6" i="4"/>
  <c r="DY8" i="4" s="1"/>
  <c r="DX6" i="4" a="1"/>
  <c r="DX6" i="4" s="1"/>
  <c r="DX8" i="4" s="1"/>
  <c r="DW6" i="4" a="1"/>
  <c r="DW6" i="4"/>
  <c r="DW8" i="4" s="1"/>
  <c r="DV6" i="4" a="1"/>
  <c r="DV6" i="4" s="1"/>
  <c r="DU6" i="4" a="1"/>
  <c r="DU6" i="4"/>
  <c r="DT6" i="4" a="1"/>
  <c r="DT6" i="4" s="1"/>
  <c r="DS6" i="4" a="1"/>
  <c r="DS6" i="4"/>
  <c r="DR6" i="4" a="1"/>
  <c r="DR6" i="4"/>
  <c r="DR7" i="4" s="1"/>
  <c r="DQ6" i="4" a="1"/>
  <c r="DQ6" i="4"/>
  <c r="DP6" i="4" a="1"/>
  <c r="DP6" i="4"/>
  <c r="DP8" i="4" s="1"/>
  <c r="DO6" i="4" a="1"/>
  <c r="DO6" i="4" s="1"/>
  <c r="DN6" i="4" a="1"/>
  <c r="DN6" i="4"/>
  <c r="DM6" i="4" a="1"/>
  <c r="DM6" i="4" s="1"/>
  <c r="DL6" i="4" a="1"/>
  <c r="DL6" i="4"/>
  <c r="DL7" i="4" s="1"/>
  <c r="DK6" i="4" a="1"/>
  <c r="DK6" i="4"/>
  <c r="DK8" i="4" s="1"/>
  <c r="DJ6" i="4" a="1"/>
  <c r="DJ6" i="4"/>
  <c r="DJ8" i="4" s="1"/>
  <c r="DI6" i="4" a="1"/>
  <c r="DI6" i="4" s="1"/>
  <c r="DH6" i="4" a="1"/>
  <c r="DH6" i="4" s="1"/>
  <c r="DH7" i="4" s="1"/>
  <c r="DG6" i="4" a="1"/>
  <c r="DG6" i="4" s="1"/>
  <c r="DF6" i="4" a="1"/>
  <c r="DF6" i="4"/>
  <c r="DE6" i="4" a="1"/>
  <c r="DE6" i="4" s="1"/>
  <c r="DD6" i="4" a="1"/>
  <c r="DD6" i="4"/>
  <c r="DD7" i="4" s="1"/>
  <c r="DC6" i="4" a="1"/>
  <c r="DC6" i="4"/>
  <c r="DC7" i="4" s="1"/>
  <c r="DB6" i="4" a="1"/>
  <c r="DB6" i="4" s="1"/>
  <c r="DB7" i="4" s="1"/>
  <c r="DA6" i="4" a="1"/>
  <c r="DA6" i="4" s="1"/>
  <c r="CZ6" i="4" a="1"/>
  <c r="CZ6" i="4"/>
  <c r="CZ8" i="4" s="1"/>
  <c r="CY6" i="4" a="1"/>
  <c r="CY6" i="4" s="1"/>
  <c r="CY8" i="4" s="1"/>
  <c r="CX6" i="4" a="1"/>
  <c r="CX6" i="4" s="1"/>
  <c r="CX8" i="4" s="1"/>
  <c r="CW6" i="4" a="1"/>
  <c r="CW6" i="4" s="1"/>
  <c r="CW8" i="4" s="1"/>
  <c r="CV6" i="4" a="1"/>
  <c r="CV6" i="4"/>
  <c r="CV8" i="4" s="1"/>
  <c r="CU6" i="4" a="1"/>
  <c r="CU6" i="4" s="1"/>
  <c r="CT6" i="4" a="1"/>
  <c r="CT6" i="4"/>
  <c r="CS6" i="4" a="1"/>
  <c r="CS6" i="4" s="1"/>
  <c r="CS7" i="4" s="1"/>
  <c r="CR6" i="4" a="1"/>
  <c r="CR6" i="4" s="1"/>
  <c r="CR7" i="4" s="1"/>
  <c r="CQ6" i="4" a="1"/>
  <c r="CQ6" i="4"/>
  <c r="CQ7" i="4" s="1"/>
  <c r="CP6" i="4" a="1"/>
  <c r="CP6" i="4"/>
  <c r="CO6" i="4" a="1"/>
  <c r="CO6" i="4"/>
  <c r="CN6" i="4" a="1"/>
  <c r="CN6" i="4" s="1"/>
  <c r="CM6" i="4" a="1"/>
  <c r="CM6" i="4" s="1"/>
  <c r="CM8" i="4" s="1"/>
  <c r="CL6" i="4" a="1"/>
  <c r="CL6" i="4"/>
  <c r="CL8" i="4" s="1"/>
  <c r="CK6" i="4" a="1"/>
  <c r="CK6" i="4" s="1"/>
  <c r="CK8" i="4" s="1"/>
  <c r="CJ6" i="4" a="1"/>
  <c r="CJ6" i="4"/>
  <c r="CI6" i="4" a="1"/>
  <c r="CI6" i="4"/>
  <c r="CI8" i="4" s="1"/>
  <c r="CH6" i="4" a="1"/>
  <c r="CH6" i="4"/>
  <c r="CG6" i="4" a="1"/>
  <c r="CG6" i="4"/>
  <c r="CF6" i="4" a="1"/>
  <c r="CF6" i="4"/>
  <c r="CF8" i="4" s="1"/>
  <c r="CE6" i="4" a="1"/>
  <c r="CE6" i="4"/>
  <c r="CD6" i="4" a="1"/>
  <c r="CD6" i="4"/>
  <c r="CC6" i="4" a="1"/>
  <c r="CC6" i="4"/>
  <c r="CC8" i="4" s="1"/>
  <c r="CB6" i="4" a="1"/>
  <c r="CB6" i="4" s="1"/>
  <c r="CA6" i="4" a="1"/>
  <c r="CA6" i="4"/>
  <c r="BZ6" i="4" a="1"/>
  <c r="BZ6" i="4"/>
  <c r="BY6" i="4" a="1"/>
  <c r="BY6" i="4"/>
  <c r="BX6" i="4" a="1"/>
  <c r="BX6" i="4" s="1"/>
  <c r="BX7" i="4" s="1"/>
  <c r="BW6" i="4" a="1"/>
  <c r="BW6" i="4" s="1"/>
  <c r="BV6" i="4" a="1"/>
  <c r="BV6" i="4" s="1"/>
  <c r="BV8" i="4" s="1"/>
  <c r="BU6" i="4" a="1"/>
  <c r="BU6" i="4"/>
  <c r="BU8" i="4" s="1"/>
  <c r="BT6" i="4" a="1"/>
  <c r="BT6" i="4" s="1"/>
  <c r="BT8" i="4" s="1"/>
  <c r="BS6" i="4" a="1"/>
  <c r="BS6" i="4"/>
  <c r="BR6" i="4" a="1"/>
  <c r="BR6" i="4"/>
  <c r="BQ6" i="4" a="1"/>
  <c r="BQ6" i="4" s="1"/>
  <c r="BP6" i="4" a="1"/>
  <c r="BP6" i="4"/>
  <c r="BO6" i="4" a="1"/>
  <c r="BO6" i="4" s="1"/>
  <c r="BN6" i="4" a="1"/>
  <c r="BN6" i="4"/>
  <c r="BM6" i="4" a="1"/>
  <c r="BM6" i="4"/>
  <c r="BL6" i="4" a="1"/>
  <c r="BL6" i="4"/>
  <c r="BL7" i="4" s="1"/>
  <c r="BK6" i="4" a="1"/>
  <c r="BK6" i="4"/>
  <c r="BK7" i="4" s="1"/>
  <c r="BJ6" i="4" a="1"/>
  <c r="BJ6" i="4"/>
  <c r="BI6" i="4" a="1"/>
  <c r="BI6" i="4" s="1"/>
  <c r="BI7" i="4" s="1"/>
  <c r="BH6" i="4" a="1"/>
  <c r="BH6" i="4"/>
  <c r="BG6" i="4" a="1"/>
  <c r="BG6" i="4" s="1"/>
  <c r="BG7" i="4" s="1"/>
  <c r="BF6" i="4" a="1"/>
  <c r="BF6" i="4" s="1"/>
  <c r="BE6" i="4" a="1"/>
  <c r="BE6" i="4"/>
  <c r="BE7" i="4" s="1"/>
  <c r="BD6" i="4" a="1"/>
  <c r="BD6" i="4"/>
  <c r="BD8" i="4" s="1"/>
  <c r="BC6" i="4" a="1"/>
  <c r="BC6" i="4" s="1"/>
  <c r="BB6" i="4" a="1"/>
  <c r="BB6" i="4"/>
  <c r="BA6" i="4" a="1"/>
  <c r="BA6" i="4" s="1"/>
  <c r="AZ6" i="4" a="1"/>
  <c r="AZ6" i="4"/>
  <c r="AZ7" i="4" s="1"/>
  <c r="AY6" i="4" a="1"/>
  <c r="AY6" i="4" s="1"/>
  <c r="AX6" i="4" a="1"/>
  <c r="AX6" i="4" s="1"/>
  <c r="AX8" i="4" s="1"/>
  <c r="AW6" i="4" a="1"/>
  <c r="AW6" i="4"/>
  <c r="AW8" i="4" s="1"/>
  <c r="AV6" i="4" a="1"/>
  <c r="AV6" i="4" s="1"/>
  <c r="AV8" i="4" s="1"/>
  <c r="AU6" i="4" a="1"/>
  <c r="AU6" i="4" s="1"/>
  <c r="AT6" i="4" a="1"/>
  <c r="AT6" i="4"/>
  <c r="AT8" i="4" s="1"/>
  <c r="AS6" i="4" a="1"/>
  <c r="AS6" i="4"/>
  <c r="AR6" i="4" a="1"/>
  <c r="AR6" i="4"/>
  <c r="AQ6" i="4" a="1"/>
  <c r="AQ6" i="4"/>
  <c r="AP6" i="4" a="1"/>
  <c r="AP6" i="4"/>
  <c r="AO6" i="4" a="1"/>
  <c r="AO6" i="4"/>
  <c r="AN6" i="4" a="1"/>
  <c r="AN6" i="4"/>
  <c r="AM6" i="4" a="1"/>
  <c r="AM6" i="4"/>
  <c r="AL6" i="4" a="1"/>
  <c r="AL6" i="4"/>
  <c r="AK6" i="4" a="1"/>
  <c r="AK6" i="4" s="1"/>
  <c r="AK7" i="4" s="1"/>
  <c r="AJ6" i="4" a="1"/>
  <c r="AJ6" i="4" s="1"/>
  <c r="AJ7" i="4" s="1"/>
  <c r="AI6" i="4" a="1"/>
  <c r="AI6" i="4" s="1"/>
  <c r="AI7" i="4" s="1"/>
  <c r="AH6" i="4" a="1"/>
  <c r="AH6" i="4"/>
  <c r="AG6" i="4" a="1"/>
  <c r="AG6" i="4"/>
  <c r="AG7" i="4" s="1"/>
  <c r="AF6" i="4" a="1"/>
  <c r="AF6" i="4" s="1"/>
  <c r="AF7" i="4" s="1"/>
  <c r="AE6" i="4" a="1"/>
  <c r="AE6" i="4"/>
  <c r="AE7" i="4" s="1"/>
  <c r="AD6" i="4" a="1"/>
  <c r="AD6" i="4" s="1"/>
  <c r="AC6" i="4" a="1"/>
  <c r="AC6" i="4" s="1"/>
  <c r="AC8" i="4" s="1"/>
  <c r="AB6" i="4" a="1"/>
  <c r="AB6" i="4" s="1"/>
  <c r="AB8" i="4" s="1"/>
  <c r="AA6" i="4" a="1"/>
  <c r="AA6" i="4"/>
  <c r="Z6" i="4" a="1"/>
  <c r="Z6" i="4" s="1"/>
  <c r="Y6" i="4" a="1"/>
  <c r="Y6" i="4" s="1"/>
  <c r="X6" i="4" a="1"/>
  <c r="X6" i="4" s="1"/>
  <c r="W6" i="4" a="1"/>
  <c r="W6" i="4" s="1"/>
  <c r="V6" i="4" a="1"/>
  <c r="V6" i="4"/>
  <c r="U6" i="4" a="1"/>
  <c r="U6" i="4" s="1"/>
  <c r="U8" i="4" s="1"/>
  <c r="T6" i="4" a="1"/>
  <c r="T6" i="4"/>
  <c r="S6" i="4" a="1"/>
  <c r="S6" i="4" s="1"/>
  <c r="S8" i="4" s="1"/>
  <c r="R6" i="4" a="1"/>
  <c r="R6" i="4"/>
  <c r="R8" i="4" s="1"/>
  <c r="Q6" i="4" a="1"/>
  <c r="Q6" i="4" s="1"/>
  <c r="P6" i="4" a="1"/>
  <c r="P6" i="4"/>
  <c r="O6" i="4" a="1"/>
  <c r="O6" i="4"/>
  <c r="N6" i="4" a="1"/>
  <c r="N6" i="4" s="1"/>
  <c r="N8" i="4" s="1"/>
  <c r="M6" i="4" a="1"/>
  <c r="M6" i="4"/>
  <c r="L6" i="4" a="1"/>
  <c r="L6" i="4"/>
  <c r="K6" i="4" a="1"/>
  <c r="K6" i="4"/>
  <c r="J6" i="4" a="1"/>
  <c r="J6" i="4"/>
  <c r="I6" i="4" a="1"/>
  <c r="I6" i="4"/>
  <c r="I7" i="4" s="1"/>
  <c r="H6" i="4" a="1"/>
  <c r="H6" i="4"/>
  <c r="H8" i="4" s="1"/>
  <c r="G6" i="4" a="1"/>
  <c r="G6" i="4" s="1"/>
  <c r="G8" i="4" s="1"/>
  <c r="F6" i="4" a="1"/>
  <c r="F6" i="4"/>
  <c r="E6" i="4" a="1"/>
  <c r="E6" i="4" s="1"/>
  <c r="D6" i="4" a="1"/>
  <c r="D6" i="4"/>
  <c r="D8" i="4" s="1"/>
  <c r="C6" i="4" a="1"/>
  <c r="C6" i="4" s="1"/>
  <c r="C8" i="4" s="1"/>
  <c r="V25" i="3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AK25" i="3" s="1"/>
  <c r="AL25" i="3" s="1"/>
  <c r="AM25" i="3" s="1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X25" i="3" s="1"/>
  <c r="AY25" i="3" s="1"/>
  <c r="AZ25" i="3" s="1"/>
  <c r="BA25" i="3" s="1"/>
  <c r="BB25" i="3" s="1"/>
  <c r="BC25" i="3" s="1"/>
  <c r="BD25" i="3" s="1"/>
  <c r="BE25" i="3" s="1"/>
  <c r="BF25" i="3" s="1"/>
  <c r="BG25" i="3" s="1"/>
  <c r="BH25" i="3" s="1"/>
  <c r="BI25" i="3" s="1"/>
  <c r="BJ25" i="3" s="1"/>
  <c r="BK25" i="3" s="1"/>
  <c r="BL25" i="3" s="1"/>
  <c r="BM25" i="3" s="1"/>
  <c r="BN25" i="3" s="1"/>
  <c r="BO25" i="3" s="1"/>
  <c r="BP25" i="3" s="1"/>
  <c r="BQ25" i="3" s="1"/>
  <c r="BR25" i="3" s="1"/>
  <c r="BS25" i="3" s="1"/>
  <c r="BT25" i="3" s="1"/>
  <c r="BU25" i="3" s="1"/>
  <c r="BV25" i="3" s="1"/>
  <c r="BW25" i="3" s="1"/>
  <c r="BX25" i="3" s="1"/>
  <c r="BY25" i="3" s="1"/>
  <c r="BZ25" i="3" s="1"/>
  <c r="CA25" i="3" s="1"/>
  <c r="CB25" i="3" s="1"/>
  <c r="CC25" i="3" s="1"/>
  <c r="CD25" i="3" s="1"/>
  <c r="CE25" i="3" s="1"/>
  <c r="CF25" i="3" s="1"/>
  <c r="CG25" i="3" s="1"/>
  <c r="CH25" i="3" s="1"/>
  <c r="CI25" i="3" s="1"/>
  <c r="CJ25" i="3" s="1"/>
  <c r="CK25" i="3" s="1"/>
  <c r="CL25" i="3" s="1"/>
  <c r="CM25" i="3" s="1"/>
  <c r="CN25" i="3" s="1"/>
  <c r="CO25" i="3" s="1"/>
  <c r="CP25" i="3" s="1"/>
  <c r="CQ25" i="3" s="1"/>
  <c r="CR25" i="3" s="1"/>
  <c r="CS25" i="3" s="1"/>
  <c r="CT25" i="3" s="1"/>
  <c r="CU25" i="3" s="1"/>
  <c r="CV25" i="3" s="1"/>
  <c r="CW25" i="3" s="1"/>
  <c r="CX25" i="3" s="1"/>
  <c r="CY25" i="3" s="1"/>
  <c r="CZ25" i="3" s="1"/>
  <c r="DA25" i="3" s="1"/>
  <c r="DB25" i="3" s="1"/>
  <c r="DC25" i="3" s="1"/>
  <c r="DD25" i="3" s="1"/>
  <c r="DE25" i="3" s="1"/>
  <c r="DF25" i="3" s="1"/>
  <c r="DG25" i="3" s="1"/>
  <c r="DH25" i="3" s="1"/>
  <c r="DI25" i="3" s="1"/>
  <c r="DJ25" i="3" s="1"/>
  <c r="DK25" i="3" s="1"/>
  <c r="DL25" i="3" s="1"/>
  <c r="DM25" i="3" s="1"/>
  <c r="DN25" i="3" s="1"/>
  <c r="DO25" i="3" s="1"/>
  <c r="DP25" i="3" s="1"/>
  <c r="DQ25" i="3" s="1"/>
  <c r="DR25" i="3" s="1"/>
  <c r="DS25" i="3" s="1"/>
  <c r="DT25" i="3" s="1"/>
  <c r="DU25" i="3" s="1"/>
  <c r="DV25" i="3" s="1"/>
  <c r="DW25" i="3" s="1"/>
  <c r="DX25" i="3" s="1"/>
  <c r="DY25" i="3" s="1"/>
  <c r="DZ25" i="3" s="1"/>
  <c r="EA25" i="3" s="1"/>
  <c r="EB25" i="3" s="1"/>
  <c r="EC25" i="3" s="1"/>
  <c r="ED25" i="3" s="1"/>
  <c r="EE25" i="3" s="1"/>
  <c r="EF25" i="3" s="1"/>
  <c r="EG25" i="3" s="1"/>
  <c r="EH25" i="3" s="1"/>
  <c r="EI25" i="3" s="1"/>
  <c r="EJ25" i="3" s="1"/>
  <c r="EK25" i="3" s="1"/>
  <c r="EL25" i="3" s="1"/>
  <c r="D25" i="3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Q24" i="3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AZ24" i="3" s="1"/>
  <c r="BA24" i="3" s="1"/>
  <c r="BB24" i="3" s="1"/>
  <c r="BC24" i="3" s="1"/>
  <c r="BD24" i="3" s="1"/>
  <c r="BE24" i="3" s="1"/>
  <c r="BF24" i="3" s="1"/>
  <c r="BG24" i="3" s="1"/>
  <c r="BH24" i="3" s="1"/>
  <c r="BI24" i="3" s="1"/>
  <c r="BJ24" i="3" s="1"/>
  <c r="BK24" i="3" s="1"/>
  <c r="BL24" i="3" s="1"/>
  <c r="BM24" i="3" s="1"/>
  <c r="BN24" i="3" s="1"/>
  <c r="BO24" i="3" s="1"/>
  <c r="BP24" i="3" s="1"/>
  <c r="BQ24" i="3" s="1"/>
  <c r="BR24" i="3" s="1"/>
  <c r="BS24" i="3" s="1"/>
  <c r="BT24" i="3" s="1"/>
  <c r="BU24" i="3" s="1"/>
  <c r="BV24" i="3" s="1"/>
  <c r="BW24" i="3" s="1"/>
  <c r="BX24" i="3" s="1"/>
  <c r="BY24" i="3" s="1"/>
  <c r="BZ24" i="3" s="1"/>
  <c r="CA24" i="3" s="1"/>
  <c r="CB24" i="3" s="1"/>
  <c r="CC24" i="3" s="1"/>
  <c r="CD24" i="3" s="1"/>
  <c r="CE24" i="3" s="1"/>
  <c r="CF24" i="3" s="1"/>
  <c r="CG24" i="3" s="1"/>
  <c r="CH24" i="3" s="1"/>
  <c r="CI24" i="3" s="1"/>
  <c r="CJ24" i="3" s="1"/>
  <c r="CK24" i="3" s="1"/>
  <c r="CL24" i="3" s="1"/>
  <c r="CM24" i="3" s="1"/>
  <c r="CN24" i="3" s="1"/>
  <c r="CO24" i="3" s="1"/>
  <c r="CP24" i="3" s="1"/>
  <c r="CQ24" i="3" s="1"/>
  <c r="CR24" i="3" s="1"/>
  <c r="CS24" i="3" s="1"/>
  <c r="CT24" i="3" s="1"/>
  <c r="CU24" i="3" s="1"/>
  <c r="CV24" i="3" s="1"/>
  <c r="CW24" i="3" s="1"/>
  <c r="CX24" i="3" s="1"/>
  <c r="CY24" i="3" s="1"/>
  <c r="CZ24" i="3" s="1"/>
  <c r="DA24" i="3" s="1"/>
  <c r="DB24" i="3" s="1"/>
  <c r="DC24" i="3" s="1"/>
  <c r="DD24" i="3" s="1"/>
  <c r="DE24" i="3" s="1"/>
  <c r="DF24" i="3" s="1"/>
  <c r="DG24" i="3" s="1"/>
  <c r="DH24" i="3" s="1"/>
  <c r="DI24" i="3" s="1"/>
  <c r="DJ24" i="3" s="1"/>
  <c r="DK24" i="3" s="1"/>
  <c r="DL24" i="3" s="1"/>
  <c r="DM24" i="3" s="1"/>
  <c r="DN24" i="3" s="1"/>
  <c r="DO24" i="3" s="1"/>
  <c r="DP24" i="3" s="1"/>
  <c r="DQ24" i="3" s="1"/>
  <c r="DR24" i="3" s="1"/>
  <c r="DS24" i="3" s="1"/>
  <c r="DT24" i="3" s="1"/>
  <c r="DU24" i="3" s="1"/>
  <c r="DV24" i="3" s="1"/>
  <c r="DW24" i="3" s="1"/>
  <c r="DX24" i="3" s="1"/>
  <c r="DY24" i="3" s="1"/>
  <c r="DZ24" i="3" s="1"/>
  <c r="EA24" i="3" s="1"/>
  <c r="EB24" i="3" s="1"/>
  <c r="EC24" i="3" s="1"/>
  <c r="ED24" i="3" s="1"/>
  <c r="EE24" i="3" s="1"/>
  <c r="EF24" i="3" s="1"/>
  <c r="EG24" i="3" s="1"/>
  <c r="EH24" i="3" s="1"/>
  <c r="EI24" i="3" s="1"/>
  <c r="EJ24" i="3" s="1"/>
  <c r="EK24" i="3" s="1"/>
  <c r="EL24" i="3" s="1"/>
  <c r="H24" i="3"/>
  <c r="I24" i="3" s="1"/>
  <c r="J24" i="3" s="1"/>
  <c r="K24" i="3" s="1"/>
  <c r="L24" i="3" s="1"/>
  <c r="M24" i="3" s="1"/>
  <c r="N24" i="3" s="1"/>
  <c r="O24" i="3" s="1"/>
  <c r="P24" i="3" s="1"/>
  <c r="G24" i="3"/>
  <c r="D24" i="3"/>
  <c r="E24" i="3" s="1"/>
  <c r="F24" i="3" s="1"/>
  <c r="B24" i="3"/>
  <c r="F23" i="3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BX23" i="3" s="1"/>
  <c r="BY23" i="3" s="1"/>
  <c r="BZ23" i="3" s="1"/>
  <c r="CA23" i="3" s="1"/>
  <c r="CB23" i="3" s="1"/>
  <c r="CC23" i="3" s="1"/>
  <c r="CD23" i="3" s="1"/>
  <c r="CE23" i="3" s="1"/>
  <c r="CF23" i="3" s="1"/>
  <c r="CG23" i="3" s="1"/>
  <c r="CH23" i="3" s="1"/>
  <c r="CI23" i="3" s="1"/>
  <c r="CJ23" i="3" s="1"/>
  <c r="CK23" i="3" s="1"/>
  <c r="CL23" i="3" s="1"/>
  <c r="CM23" i="3" s="1"/>
  <c r="CN23" i="3" s="1"/>
  <c r="CO23" i="3" s="1"/>
  <c r="CP23" i="3" s="1"/>
  <c r="CQ23" i="3" s="1"/>
  <c r="CR23" i="3" s="1"/>
  <c r="CS23" i="3" s="1"/>
  <c r="CT23" i="3" s="1"/>
  <c r="CU23" i="3" s="1"/>
  <c r="CV23" i="3" s="1"/>
  <c r="CW23" i="3" s="1"/>
  <c r="CX23" i="3" s="1"/>
  <c r="CY23" i="3" s="1"/>
  <c r="CZ23" i="3" s="1"/>
  <c r="DA23" i="3" s="1"/>
  <c r="DB23" i="3" s="1"/>
  <c r="DC23" i="3" s="1"/>
  <c r="DD23" i="3" s="1"/>
  <c r="DE23" i="3" s="1"/>
  <c r="DF23" i="3" s="1"/>
  <c r="DG23" i="3" s="1"/>
  <c r="DH23" i="3" s="1"/>
  <c r="DI23" i="3" s="1"/>
  <c r="DJ23" i="3" s="1"/>
  <c r="DK23" i="3" s="1"/>
  <c r="DL23" i="3" s="1"/>
  <c r="DM23" i="3" s="1"/>
  <c r="DN23" i="3" s="1"/>
  <c r="DO23" i="3" s="1"/>
  <c r="DP23" i="3" s="1"/>
  <c r="DQ23" i="3" s="1"/>
  <c r="DR23" i="3" s="1"/>
  <c r="DS23" i="3" s="1"/>
  <c r="DT23" i="3" s="1"/>
  <c r="DU23" i="3" s="1"/>
  <c r="DV23" i="3" s="1"/>
  <c r="DW23" i="3" s="1"/>
  <c r="DX23" i="3" s="1"/>
  <c r="DY23" i="3" s="1"/>
  <c r="DZ23" i="3" s="1"/>
  <c r="EA23" i="3" s="1"/>
  <c r="EB23" i="3" s="1"/>
  <c r="EC23" i="3" s="1"/>
  <c r="ED23" i="3" s="1"/>
  <c r="EE23" i="3" s="1"/>
  <c r="EF23" i="3" s="1"/>
  <c r="EG23" i="3" s="1"/>
  <c r="EH23" i="3" s="1"/>
  <c r="EI23" i="3" s="1"/>
  <c r="EJ23" i="3" s="1"/>
  <c r="EK23" i="3" s="1"/>
  <c r="EL23" i="3" s="1"/>
  <c r="E23" i="3"/>
  <c r="D23" i="3"/>
  <c r="B23" i="3"/>
  <c r="E22" i="3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AZ22" i="3" s="1"/>
  <c r="BA22" i="3" s="1"/>
  <c r="BB22" i="3" s="1"/>
  <c r="BC22" i="3" s="1"/>
  <c r="BD22" i="3" s="1"/>
  <c r="BE22" i="3" s="1"/>
  <c r="BF22" i="3" s="1"/>
  <c r="BG22" i="3" s="1"/>
  <c r="BH22" i="3" s="1"/>
  <c r="BI22" i="3" s="1"/>
  <c r="BJ22" i="3" s="1"/>
  <c r="BK22" i="3" s="1"/>
  <c r="BL22" i="3" s="1"/>
  <c r="BM22" i="3" s="1"/>
  <c r="BN22" i="3" s="1"/>
  <c r="BO22" i="3" s="1"/>
  <c r="BP22" i="3" s="1"/>
  <c r="BQ22" i="3" s="1"/>
  <c r="BR22" i="3" s="1"/>
  <c r="BS22" i="3" s="1"/>
  <c r="BT22" i="3" s="1"/>
  <c r="BU22" i="3" s="1"/>
  <c r="BV22" i="3" s="1"/>
  <c r="BW22" i="3" s="1"/>
  <c r="BX22" i="3" s="1"/>
  <c r="BY22" i="3" s="1"/>
  <c r="BZ22" i="3" s="1"/>
  <c r="CA22" i="3" s="1"/>
  <c r="CB22" i="3" s="1"/>
  <c r="CC22" i="3" s="1"/>
  <c r="CD22" i="3" s="1"/>
  <c r="CE22" i="3" s="1"/>
  <c r="CF22" i="3" s="1"/>
  <c r="CG22" i="3" s="1"/>
  <c r="CH22" i="3" s="1"/>
  <c r="CI22" i="3" s="1"/>
  <c r="CJ22" i="3" s="1"/>
  <c r="CK22" i="3" s="1"/>
  <c r="CL22" i="3" s="1"/>
  <c r="CM22" i="3" s="1"/>
  <c r="CN22" i="3" s="1"/>
  <c r="CO22" i="3" s="1"/>
  <c r="CP22" i="3" s="1"/>
  <c r="CQ22" i="3" s="1"/>
  <c r="CR22" i="3" s="1"/>
  <c r="CS22" i="3" s="1"/>
  <c r="CT22" i="3" s="1"/>
  <c r="CU22" i="3" s="1"/>
  <c r="CV22" i="3" s="1"/>
  <c r="CW22" i="3" s="1"/>
  <c r="CX22" i="3" s="1"/>
  <c r="CY22" i="3" s="1"/>
  <c r="CZ22" i="3" s="1"/>
  <c r="DA22" i="3" s="1"/>
  <c r="DB22" i="3" s="1"/>
  <c r="DC22" i="3" s="1"/>
  <c r="DD22" i="3" s="1"/>
  <c r="DE22" i="3" s="1"/>
  <c r="DF22" i="3" s="1"/>
  <c r="DG22" i="3" s="1"/>
  <c r="DH22" i="3" s="1"/>
  <c r="DI22" i="3" s="1"/>
  <c r="DJ22" i="3" s="1"/>
  <c r="DK22" i="3" s="1"/>
  <c r="DL22" i="3" s="1"/>
  <c r="DM22" i="3" s="1"/>
  <c r="DN22" i="3" s="1"/>
  <c r="DO22" i="3" s="1"/>
  <c r="DP22" i="3" s="1"/>
  <c r="DQ22" i="3" s="1"/>
  <c r="DR22" i="3" s="1"/>
  <c r="DS22" i="3" s="1"/>
  <c r="DT22" i="3" s="1"/>
  <c r="DU22" i="3" s="1"/>
  <c r="DV22" i="3" s="1"/>
  <c r="DW22" i="3" s="1"/>
  <c r="DX22" i="3" s="1"/>
  <c r="DY22" i="3" s="1"/>
  <c r="DZ22" i="3" s="1"/>
  <c r="EA22" i="3" s="1"/>
  <c r="EB22" i="3" s="1"/>
  <c r="EC22" i="3" s="1"/>
  <c r="ED22" i="3" s="1"/>
  <c r="EE22" i="3" s="1"/>
  <c r="EF22" i="3" s="1"/>
  <c r="EG22" i="3" s="1"/>
  <c r="EH22" i="3" s="1"/>
  <c r="EI22" i="3" s="1"/>
  <c r="EJ22" i="3" s="1"/>
  <c r="EK22" i="3" s="1"/>
  <c r="EL22" i="3" s="1"/>
  <c r="D22" i="3"/>
  <c r="B22" i="3"/>
  <c r="F21" i="3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AK21" i="3" s="1"/>
  <c r="AL21" i="3" s="1"/>
  <c r="AM21" i="3" s="1"/>
  <c r="AN21" i="3" s="1"/>
  <c r="AO21" i="3" s="1"/>
  <c r="AP21" i="3" s="1"/>
  <c r="AQ21" i="3" s="1"/>
  <c r="AR21" i="3" s="1"/>
  <c r="AS21" i="3" s="1"/>
  <c r="AT21" i="3" s="1"/>
  <c r="AU21" i="3" s="1"/>
  <c r="AV21" i="3" s="1"/>
  <c r="AW21" i="3" s="1"/>
  <c r="AX21" i="3" s="1"/>
  <c r="AY21" i="3" s="1"/>
  <c r="AZ21" i="3" s="1"/>
  <c r="BA21" i="3" s="1"/>
  <c r="BB21" i="3" s="1"/>
  <c r="BC21" i="3" s="1"/>
  <c r="BD21" i="3" s="1"/>
  <c r="BE21" i="3" s="1"/>
  <c r="BF21" i="3" s="1"/>
  <c r="BG21" i="3" s="1"/>
  <c r="BH21" i="3" s="1"/>
  <c r="BI21" i="3" s="1"/>
  <c r="BJ21" i="3" s="1"/>
  <c r="BK21" i="3" s="1"/>
  <c r="BL21" i="3" s="1"/>
  <c r="BM21" i="3" s="1"/>
  <c r="BN21" i="3" s="1"/>
  <c r="BO21" i="3" s="1"/>
  <c r="BP21" i="3" s="1"/>
  <c r="BQ21" i="3" s="1"/>
  <c r="BR21" i="3" s="1"/>
  <c r="BS21" i="3" s="1"/>
  <c r="BT21" i="3" s="1"/>
  <c r="BU21" i="3" s="1"/>
  <c r="BV21" i="3" s="1"/>
  <c r="BW21" i="3" s="1"/>
  <c r="BX21" i="3" s="1"/>
  <c r="BY21" i="3" s="1"/>
  <c r="BZ21" i="3" s="1"/>
  <c r="CA21" i="3" s="1"/>
  <c r="CB21" i="3" s="1"/>
  <c r="CC21" i="3" s="1"/>
  <c r="CD21" i="3" s="1"/>
  <c r="CE21" i="3" s="1"/>
  <c r="CF21" i="3" s="1"/>
  <c r="CG21" i="3" s="1"/>
  <c r="CH21" i="3" s="1"/>
  <c r="CI21" i="3" s="1"/>
  <c r="CJ21" i="3" s="1"/>
  <c r="CK21" i="3" s="1"/>
  <c r="CL21" i="3" s="1"/>
  <c r="CM21" i="3" s="1"/>
  <c r="CN21" i="3" s="1"/>
  <c r="CO21" i="3" s="1"/>
  <c r="CP21" i="3" s="1"/>
  <c r="CQ21" i="3" s="1"/>
  <c r="CR21" i="3" s="1"/>
  <c r="CS21" i="3" s="1"/>
  <c r="CT21" i="3" s="1"/>
  <c r="CU21" i="3" s="1"/>
  <c r="CV21" i="3" s="1"/>
  <c r="CW21" i="3" s="1"/>
  <c r="CX21" i="3" s="1"/>
  <c r="CY21" i="3" s="1"/>
  <c r="CZ21" i="3" s="1"/>
  <c r="DA21" i="3" s="1"/>
  <c r="DB21" i="3" s="1"/>
  <c r="DC21" i="3" s="1"/>
  <c r="DD21" i="3" s="1"/>
  <c r="DE21" i="3" s="1"/>
  <c r="DF21" i="3" s="1"/>
  <c r="DG21" i="3" s="1"/>
  <c r="DH21" i="3" s="1"/>
  <c r="DI21" i="3" s="1"/>
  <c r="DJ21" i="3" s="1"/>
  <c r="DK21" i="3" s="1"/>
  <c r="DL21" i="3" s="1"/>
  <c r="DM21" i="3" s="1"/>
  <c r="DN21" i="3" s="1"/>
  <c r="DO21" i="3" s="1"/>
  <c r="DP21" i="3" s="1"/>
  <c r="DQ21" i="3" s="1"/>
  <c r="DR21" i="3" s="1"/>
  <c r="DS21" i="3" s="1"/>
  <c r="DT21" i="3" s="1"/>
  <c r="DU21" i="3" s="1"/>
  <c r="DV21" i="3" s="1"/>
  <c r="DW21" i="3" s="1"/>
  <c r="DX21" i="3" s="1"/>
  <c r="DY21" i="3" s="1"/>
  <c r="DZ21" i="3" s="1"/>
  <c r="EA21" i="3" s="1"/>
  <c r="EB21" i="3" s="1"/>
  <c r="EC21" i="3" s="1"/>
  <c r="ED21" i="3" s="1"/>
  <c r="EE21" i="3" s="1"/>
  <c r="EF21" i="3" s="1"/>
  <c r="EG21" i="3" s="1"/>
  <c r="EH21" i="3" s="1"/>
  <c r="EI21" i="3" s="1"/>
  <c r="EJ21" i="3" s="1"/>
  <c r="EK21" i="3" s="1"/>
  <c r="EL21" i="3" s="1"/>
  <c r="E21" i="3"/>
  <c r="D21" i="3"/>
  <c r="B21" i="3"/>
  <c r="D20" i="3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CU20" i="3" s="1"/>
  <c r="CV20" i="3" s="1"/>
  <c r="CW20" i="3" s="1"/>
  <c r="CX20" i="3" s="1"/>
  <c r="CY20" i="3" s="1"/>
  <c r="CZ20" i="3" s="1"/>
  <c r="DA20" i="3" s="1"/>
  <c r="DB20" i="3" s="1"/>
  <c r="DC20" i="3" s="1"/>
  <c r="DD20" i="3" s="1"/>
  <c r="DE20" i="3" s="1"/>
  <c r="DF20" i="3" s="1"/>
  <c r="DG20" i="3" s="1"/>
  <c r="DH20" i="3" s="1"/>
  <c r="DI20" i="3" s="1"/>
  <c r="DJ20" i="3" s="1"/>
  <c r="DK20" i="3" s="1"/>
  <c r="DL20" i="3" s="1"/>
  <c r="DM20" i="3" s="1"/>
  <c r="DN20" i="3" s="1"/>
  <c r="DO20" i="3" s="1"/>
  <c r="DP20" i="3" s="1"/>
  <c r="DQ20" i="3" s="1"/>
  <c r="DR20" i="3" s="1"/>
  <c r="DS20" i="3" s="1"/>
  <c r="DT20" i="3" s="1"/>
  <c r="DU20" i="3" s="1"/>
  <c r="DV20" i="3" s="1"/>
  <c r="DW20" i="3" s="1"/>
  <c r="DX20" i="3" s="1"/>
  <c r="DY20" i="3" s="1"/>
  <c r="DZ20" i="3" s="1"/>
  <c r="EA20" i="3" s="1"/>
  <c r="EB20" i="3" s="1"/>
  <c r="EC20" i="3" s="1"/>
  <c r="ED20" i="3" s="1"/>
  <c r="EE20" i="3" s="1"/>
  <c r="EF20" i="3" s="1"/>
  <c r="EG20" i="3" s="1"/>
  <c r="EH20" i="3" s="1"/>
  <c r="EI20" i="3" s="1"/>
  <c r="EJ20" i="3" s="1"/>
  <c r="EK20" i="3" s="1"/>
  <c r="EL20" i="3" s="1"/>
  <c r="B20" i="3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CH19" i="3" s="1"/>
  <c r="CI19" i="3" s="1"/>
  <c r="CJ19" i="3" s="1"/>
  <c r="CK19" i="3" s="1"/>
  <c r="CL19" i="3" s="1"/>
  <c r="CM19" i="3" s="1"/>
  <c r="CN19" i="3" s="1"/>
  <c r="CO19" i="3" s="1"/>
  <c r="CP19" i="3" s="1"/>
  <c r="CQ19" i="3" s="1"/>
  <c r="CR19" i="3" s="1"/>
  <c r="CS19" i="3" s="1"/>
  <c r="CT19" i="3" s="1"/>
  <c r="CU19" i="3" s="1"/>
  <c r="CV19" i="3" s="1"/>
  <c r="CW19" i="3" s="1"/>
  <c r="CX19" i="3" s="1"/>
  <c r="CY19" i="3" s="1"/>
  <c r="CZ19" i="3" s="1"/>
  <c r="DA19" i="3" s="1"/>
  <c r="DB19" i="3" s="1"/>
  <c r="DC19" i="3" s="1"/>
  <c r="DD19" i="3" s="1"/>
  <c r="DE19" i="3" s="1"/>
  <c r="DF19" i="3" s="1"/>
  <c r="DG19" i="3" s="1"/>
  <c r="DH19" i="3" s="1"/>
  <c r="DI19" i="3" s="1"/>
  <c r="DJ19" i="3" s="1"/>
  <c r="DK19" i="3" s="1"/>
  <c r="DL19" i="3" s="1"/>
  <c r="DM19" i="3" s="1"/>
  <c r="DN19" i="3" s="1"/>
  <c r="DO19" i="3" s="1"/>
  <c r="DP19" i="3" s="1"/>
  <c r="DQ19" i="3" s="1"/>
  <c r="DR19" i="3" s="1"/>
  <c r="DS19" i="3" s="1"/>
  <c r="DT19" i="3" s="1"/>
  <c r="DU19" i="3" s="1"/>
  <c r="DV19" i="3" s="1"/>
  <c r="DW19" i="3" s="1"/>
  <c r="DX19" i="3" s="1"/>
  <c r="DY19" i="3" s="1"/>
  <c r="DZ19" i="3" s="1"/>
  <c r="EA19" i="3" s="1"/>
  <c r="EB19" i="3" s="1"/>
  <c r="EC19" i="3" s="1"/>
  <c r="ED19" i="3" s="1"/>
  <c r="EE19" i="3" s="1"/>
  <c r="EF19" i="3" s="1"/>
  <c r="EG19" i="3" s="1"/>
  <c r="EH19" i="3" s="1"/>
  <c r="EI19" i="3" s="1"/>
  <c r="EJ19" i="3" s="1"/>
  <c r="EK19" i="3" s="1"/>
  <c r="EL19" i="3" s="1"/>
  <c r="B19" i="3"/>
  <c r="E18" i="3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AV18" i="3" s="1"/>
  <c r="AW18" i="3" s="1"/>
  <c r="AX18" i="3" s="1"/>
  <c r="AY18" i="3" s="1"/>
  <c r="AZ18" i="3" s="1"/>
  <c r="BA18" i="3" s="1"/>
  <c r="BB18" i="3" s="1"/>
  <c r="BC18" i="3" s="1"/>
  <c r="BD18" i="3" s="1"/>
  <c r="BE18" i="3" s="1"/>
  <c r="BF18" i="3" s="1"/>
  <c r="BG18" i="3" s="1"/>
  <c r="BH18" i="3" s="1"/>
  <c r="BI18" i="3" s="1"/>
  <c r="BJ18" i="3" s="1"/>
  <c r="BK18" i="3" s="1"/>
  <c r="BL18" i="3" s="1"/>
  <c r="BM18" i="3" s="1"/>
  <c r="BN18" i="3" s="1"/>
  <c r="BO18" i="3" s="1"/>
  <c r="BP18" i="3" s="1"/>
  <c r="BQ18" i="3" s="1"/>
  <c r="BR18" i="3" s="1"/>
  <c r="BS18" i="3" s="1"/>
  <c r="BT18" i="3" s="1"/>
  <c r="BU18" i="3" s="1"/>
  <c r="BV18" i="3" s="1"/>
  <c r="BW18" i="3" s="1"/>
  <c r="BX18" i="3" s="1"/>
  <c r="BY18" i="3" s="1"/>
  <c r="BZ18" i="3" s="1"/>
  <c r="CA18" i="3" s="1"/>
  <c r="CB18" i="3" s="1"/>
  <c r="CC18" i="3" s="1"/>
  <c r="CD18" i="3" s="1"/>
  <c r="CE18" i="3" s="1"/>
  <c r="CF18" i="3" s="1"/>
  <c r="CG18" i="3" s="1"/>
  <c r="CH18" i="3" s="1"/>
  <c r="CI18" i="3" s="1"/>
  <c r="CJ18" i="3" s="1"/>
  <c r="CK18" i="3" s="1"/>
  <c r="CL18" i="3" s="1"/>
  <c r="CM18" i="3" s="1"/>
  <c r="CN18" i="3" s="1"/>
  <c r="CO18" i="3" s="1"/>
  <c r="CP18" i="3" s="1"/>
  <c r="CQ18" i="3" s="1"/>
  <c r="CR18" i="3" s="1"/>
  <c r="CS18" i="3" s="1"/>
  <c r="CT18" i="3" s="1"/>
  <c r="CU18" i="3" s="1"/>
  <c r="CV18" i="3" s="1"/>
  <c r="CW18" i="3" s="1"/>
  <c r="CX18" i="3" s="1"/>
  <c r="CY18" i="3" s="1"/>
  <c r="CZ18" i="3" s="1"/>
  <c r="DA18" i="3" s="1"/>
  <c r="DB18" i="3" s="1"/>
  <c r="DC18" i="3" s="1"/>
  <c r="DD18" i="3" s="1"/>
  <c r="DE18" i="3" s="1"/>
  <c r="DF18" i="3" s="1"/>
  <c r="DG18" i="3" s="1"/>
  <c r="DH18" i="3" s="1"/>
  <c r="DI18" i="3" s="1"/>
  <c r="DJ18" i="3" s="1"/>
  <c r="DK18" i="3" s="1"/>
  <c r="DL18" i="3" s="1"/>
  <c r="DM18" i="3" s="1"/>
  <c r="DN18" i="3" s="1"/>
  <c r="DO18" i="3" s="1"/>
  <c r="DP18" i="3" s="1"/>
  <c r="DQ18" i="3" s="1"/>
  <c r="DR18" i="3" s="1"/>
  <c r="DS18" i="3" s="1"/>
  <c r="DT18" i="3" s="1"/>
  <c r="DU18" i="3" s="1"/>
  <c r="DV18" i="3" s="1"/>
  <c r="DW18" i="3" s="1"/>
  <c r="DX18" i="3" s="1"/>
  <c r="DY18" i="3" s="1"/>
  <c r="DZ18" i="3" s="1"/>
  <c r="EA18" i="3" s="1"/>
  <c r="EB18" i="3" s="1"/>
  <c r="EC18" i="3" s="1"/>
  <c r="ED18" i="3" s="1"/>
  <c r="EE18" i="3" s="1"/>
  <c r="EF18" i="3" s="1"/>
  <c r="EG18" i="3" s="1"/>
  <c r="EH18" i="3" s="1"/>
  <c r="EI18" i="3" s="1"/>
  <c r="EJ18" i="3" s="1"/>
  <c r="EK18" i="3" s="1"/>
  <c r="EL18" i="3" s="1"/>
  <c r="D18" i="3"/>
  <c r="B18" i="3"/>
  <c r="E17" i="3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Z17" i="3" s="1"/>
  <c r="BA17" i="3" s="1"/>
  <c r="BB17" i="3" s="1"/>
  <c r="BC17" i="3" s="1"/>
  <c r="BD17" i="3" s="1"/>
  <c r="BE17" i="3" s="1"/>
  <c r="BF17" i="3" s="1"/>
  <c r="BG17" i="3" s="1"/>
  <c r="BH17" i="3" s="1"/>
  <c r="BI17" i="3" s="1"/>
  <c r="BJ17" i="3" s="1"/>
  <c r="BK17" i="3" s="1"/>
  <c r="BL17" i="3" s="1"/>
  <c r="BM17" i="3" s="1"/>
  <c r="BN17" i="3" s="1"/>
  <c r="BO17" i="3" s="1"/>
  <c r="BP17" i="3" s="1"/>
  <c r="BQ17" i="3" s="1"/>
  <c r="BR17" i="3" s="1"/>
  <c r="BS17" i="3" s="1"/>
  <c r="BT17" i="3" s="1"/>
  <c r="BU17" i="3" s="1"/>
  <c r="BV17" i="3" s="1"/>
  <c r="BW17" i="3" s="1"/>
  <c r="BX17" i="3" s="1"/>
  <c r="BY17" i="3" s="1"/>
  <c r="BZ17" i="3" s="1"/>
  <c r="CA17" i="3" s="1"/>
  <c r="CB17" i="3" s="1"/>
  <c r="CC17" i="3" s="1"/>
  <c r="CD17" i="3" s="1"/>
  <c r="CE17" i="3" s="1"/>
  <c r="CF17" i="3" s="1"/>
  <c r="CG17" i="3" s="1"/>
  <c r="CH17" i="3" s="1"/>
  <c r="CI17" i="3" s="1"/>
  <c r="CJ17" i="3" s="1"/>
  <c r="CK17" i="3" s="1"/>
  <c r="CL17" i="3" s="1"/>
  <c r="CM17" i="3" s="1"/>
  <c r="CN17" i="3" s="1"/>
  <c r="CO17" i="3" s="1"/>
  <c r="CP17" i="3" s="1"/>
  <c r="CQ17" i="3" s="1"/>
  <c r="CR17" i="3" s="1"/>
  <c r="CS17" i="3" s="1"/>
  <c r="CT17" i="3" s="1"/>
  <c r="CU17" i="3" s="1"/>
  <c r="CV17" i="3" s="1"/>
  <c r="CW17" i="3" s="1"/>
  <c r="CX17" i="3" s="1"/>
  <c r="CY17" i="3" s="1"/>
  <c r="CZ17" i="3" s="1"/>
  <c r="DA17" i="3" s="1"/>
  <c r="DB17" i="3" s="1"/>
  <c r="DC17" i="3" s="1"/>
  <c r="DD17" i="3" s="1"/>
  <c r="DE17" i="3" s="1"/>
  <c r="DF17" i="3" s="1"/>
  <c r="DG17" i="3" s="1"/>
  <c r="DH17" i="3" s="1"/>
  <c r="DI17" i="3" s="1"/>
  <c r="DJ17" i="3" s="1"/>
  <c r="DK17" i="3" s="1"/>
  <c r="DL17" i="3" s="1"/>
  <c r="DM17" i="3" s="1"/>
  <c r="DN17" i="3" s="1"/>
  <c r="DO17" i="3" s="1"/>
  <c r="DP17" i="3" s="1"/>
  <c r="DQ17" i="3" s="1"/>
  <c r="DR17" i="3" s="1"/>
  <c r="DS17" i="3" s="1"/>
  <c r="DT17" i="3" s="1"/>
  <c r="DU17" i="3" s="1"/>
  <c r="DV17" i="3" s="1"/>
  <c r="DW17" i="3" s="1"/>
  <c r="DX17" i="3" s="1"/>
  <c r="DY17" i="3" s="1"/>
  <c r="DZ17" i="3" s="1"/>
  <c r="EA17" i="3" s="1"/>
  <c r="EB17" i="3" s="1"/>
  <c r="EC17" i="3" s="1"/>
  <c r="ED17" i="3" s="1"/>
  <c r="EE17" i="3" s="1"/>
  <c r="EF17" i="3" s="1"/>
  <c r="EG17" i="3" s="1"/>
  <c r="EH17" i="3" s="1"/>
  <c r="EI17" i="3" s="1"/>
  <c r="EJ17" i="3" s="1"/>
  <c r="EK17" i="3" s="1"/>
  <c r="EL17" i="3" s="1"/>
  <c r="D17" i="3"/>
  <c r="B17" i="3"/>
  <c r="D16" i="3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AZ16" i="3" s="1"/>
  <c r="BA16" i="3" s="1"/>
  <c r="BB16" i="3" s="1"/>
  <c r="BC16" i="3" s="1"/>
  <c r="BD16" i="3" s="1"/>
  <c r="BE16" i="3" s="1"/>
  <c r="BF16" i="3" s="1"/>
  <c r="BG16" i="3" s="1"/>
  <c r="BH16" i="3" s="1"/>
  <c r="BI16" i="3" s="1"/>
  <c r="BJ16" i="3" s="1"/>
  <c r="BK16" i="3" s="1"/>
  <c r="BL16" i="3" s="1"/>
  <c r="BM16" i="3" s="1"/>
  <c r="BN16" i="3" s="1"/>
  <c r="BO16" i="3" s="1"/>
  <c r="BP16" i="3" s="1"/>
  <c r="BQ16" i="3" s="1"/>
  <c r="BR16" i="3" s="1"/>
  <c r="BS16" i="3" s="1"/>
  <c r="BT16" i="3" s="1"/>
  <c r="BU16" i="3" s="1"/>
  <c r="BV16" i="3" s="1"/>
  <c r="BW16" i="3" s="1"/>
  <c r="BX16" i="3" s="1"/>
  <c r="BY16" i="3" s="1"/>
  <c r="BZ16" i="3" s="1"/>
  <c r="CA16" i="3" s="1"/>
  <c r="CB16" i="3" s="1"/>
  <c r="CC16" i="3" s="1"/>
  <c r="CD16" i="3" s="1"/>
  <c r="CE16" i="3" s="1"/>
  <c r="CF16" i="3" s="1"/>
  <c r="CG16" i="3" s="1"/>
  <c r="CH16" i="3" s="1"/>
  <c r="CI16" i="3" s="1"/>
  <c r="CJ16" i="3" s="1"/>
  <c r="CK16" i="3" s="1"/>
  <c r="CL16" i="3" s="1"/>
  <c r="CM16" i="3" s="1"/>
  <c r="CN16" i="3" s="1"/>
  <c r="CO16" i="3" s="1"/>
  <c r="CP16" i="3" s="1"/>
  <c r="CQ16" i="3" s="1"/>
  <c r="CR16" i="3" s="1"/>
  <c r="CS16" i="3" s="1"/>
  <c r="CT16" i="3" s="1"/>
  <c r="CU16" i="3" s="1"/>
  <c r="CV16" i="3" s="1"/>
  <c r="CW16" i="3" s="1"/>
  <c r="CX16" i="3" s="1"/>
  <c r="CY16" i="3" s="1"/>
  <c r="CZ16" i="3" s="1"/>
  <c r="DA16" i="3" s="1"/>
  <c r="DB16" i="3" s="1"/>
  <c r="DC16" i="3" s="1"/>
  <c r="DD16" i="3" s="1"/>
  <c r="DE16" i="3" s="1"/>
  <c r="DF16" i="3" s="1"/>
  <c r="DG16" i="3" s="1"/>
  <c r="DH16" i="3" s="1"/>
  <c r="DI16" i="3" s="1"/>
  <c r="DJ16" i="3" s="1"/>
  <c r="DK16" i="3" s="1"/>
  <c r="DL16" i="3" s="1"/>
  <c r="DM16" i="3" s="1"/>
  <c r="DN16" i="3" s="1"/>
  <c r="DO16" i="3" s="1"/>
  <c r="DP16" i="3" s="1"/>
  <c r="DQ16" i="3" s="1"/>
  <c r="DR16" i="3" s="1"/>
  <c r="DS16" i="3" s="1"/>
  <c r="DT16" i="3" s="1"/>
  <c r="DU16" i="3" s="1"/>
  <c r="DV16" i="3" s="1"/>
  <c r="DW16" i="3" s="1"/>
  <c r="DX16" i="3" s="1"/>
  <c r="DY16" i="3" s="1"/>
  <c r="DZ16" i="3" s="1"/>
  <c r="EA16" i="3" s="1"/>
  <c r="EB16" i="3" s="1"/>
  <c r="EC16" i="3" s="1"/>
  <c r="ED16" i="3" s="1"/>
  <c r="EE16" i="3" s="1"/>
  <c r="EF16" i="3" s="1"/>
  <c r="EG16" i="3" s="1"/>
  <c r="EH16" i="3" s="1"/>
  <c r="EI16" i="3" s="1"/>
  <c r="EJ16" i="3" s="1"/>
  <c r="EK16" i="3" s="1"/>
  <c r="EL16" i="3" s="1"/>
  <c r="B16" i="3"/>
  <c r="E15" i="3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AW15" i="3" s="1"/>
  <c r="AX15" i="3" s="1"/>
  <c r="AY15" i="3" s="1"/>
  <c r="AZ15" i="3" s="1"/>
  <c r="BA15" i="3" s="1"/>
  <c r="BB15" i="3" s="1"/>
  <c r="BC15" i="3" s="1"/>
  <c r="BD15" i="3" s="1"/>
  <c r="BE15" i="3" s="1"/>
  <c r="BF15" i="3" s="1"/>
  <c r="BG15" i="3" s="1"/>
  <c r="BH15" i="3" s="1"/>
  <c r="BI15" i="3" s="1"/>
  <c r="BJ15" i="3" s="1"/>
  <c r="BK15" i="3" s="1"/>
  <c r="BL15" i="3" s="1"/>
  <c r="BM15" i="3" s="1"/>
  <c r="BN15" i="3" s="1"/>
  <c r="BO15" i="3" s="1"/>
  <c r="BP15" i="3" s="1"/>
  <c r="BQ15" i="3" s="1"/>
  <c r="BR15" i="3" s="1"/>
  <c r="BS15" i="3" s="1"/>
  <c r="BT15" i="3" s="1"/>
  <c r="BU15" i="3" s="1"/>
  <c r="BV15" i="3" s="1"/>
  <c r="BW15" i="3" s="1"/>
  <c r="BX15" i="3" s="1"/>
  <c r="BY15" i="3" s="1"/>
  <c r="BZ15" i="3" s="1"/>
  <c r="CA15" i="3" s="1"/>
  <c r="CB15" i="3" s="1"/>
  <c r="CC15" i="3" s="1"/>
  <c r="CD15" i="3" s="1"/>
  <c r="CE15" i="3" s="1"/>
  <c r="CF15" i="3" s="1"/>
  <c r="CG15" i="3" s="1"/>
  <c r="CH15" i="3" s="1"/>
  <c r="CI15" i="3" s="1"/>
  <c r="CJ15" i="3" s="1"/>
  <c r="CK15" i="3" s="1"/>
  <c r="CL15" i="3" s="1"/>
  <c r="CM15" i="3" s="1"/>
  <c r="CN15" i="3" s="1"/>
  <c r="CO15" i="3" s="1"/>
  <c r="CP15" i="3" s="1"/>
  <c r="CQ15" i="3" s="1"/>
  <c r="CR15" i="3" s="1"/>
  <c r="CS15" i="3" s="1"/>
  <c r="CT15" i="3" s="1"/>
  <c r="CU15" i="3" s="1"/>
  <c r="CV15" i="3" s="1"/>
  <c r="CW15" i="3" s="1"/>
  <c r="CX15" i="3" s="1"/>
  <c r="CY15" i="3" s="1"/>
  <c r="CZ15" i="3" s="1"/>
  <c r="DA15" i="3" s="1"/>
  <c r="DB15" i="3" s="1"/>
  <c r="DC15" i="3" s="1"/>
  <c r="DD15" i="3" s="1"/>
  <c r="DE15" i="3" s="1"/>
  <c r="DF15" i="3" s="1"/>
  <c r="DG15" i="3" s="1"/>
  <c r="DH15" i="3" s="1"/>
  <c r="DI15" i="3" s="1"/>
  <c r="DJ15" i="3" s="1"/>
  <c r="DK15" i="3" s="1"/>
  <c r="DL15" i="3" s="1"/>
  <c r="DM15" i="3" s="1"/>
  <c r="DN15" i="3" s="1"/>
  <c r="DO15" i="3" s="1"/>
  <c r="DP15" i="3" s="1"/>
  <c r="DQ15" i="3" s="1"/>
  <c r="DR15" i="3" s="1"/>
  <c r="DS15" i="3" s="1"/>
  <c r="DT15" i="3" s="1"/>
  <c r="DU15" i="3" s="1"/>
  <c r="DV15" i="3" s="1"/>
  <c r="DW15" i="3" s="1"/>
  <c r="DX15" i="3" s="1"/>
  <c r="DY15" i="3" s="1"/>
  <c r="DZ15" i="3" s="1"/>
  <c r="EA15" i="3" s="1"/>
  <c r="EB15" i="3" s="1"/>
  <c r="EC15" i="3" s="1"/>
  <c r="ED15" i="3" s="1"/>
  <c r="EE15" i="3" s="1"/>
  <c r="EF15" i="3" s="1"/>
  <c r="EG15" i="3" s="1"/>
  <c r="EH15" i="3" s="1"/>
  <c r="EI15" i="3" s="1"/>
  <c r="EJ15" i="3" s="1"/>
  <c r="EK15" i="3" s="1"/>
  <c r="EL15" i="3" s="1"/>
  <c r="D15" i="3"/>
  <c r="B15" i="3"/>
  <c r="G14" i="3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AK14" i="3" s="1"/>
  <c r="AL14" i="3" s="1"/>
  <c r="AM14" i="3" s="1"/>
  <c r="AN14" i="3" s="1"/>
  <c r="AO14" i="3" s="1"/>
  <c r="AP14" i="3" s="1"/>
  <c r="AQ14" i="3" s="1"/>
  <c r="AR14" i="3" s="1"/>
  <c r="AS14" i="3" s="1"/>
  <c r="AT14" i="3" s="1"/>
  <c r="AU14" i="3" s="1"/>
  <c r="AV14" i="3" s="1"/>
  <c r="AW14" i="3" s="1"/>
  <c r="AX14" i="3" s="1"/>
  <c r="AY14" i="3" s="1"/>
  <c r="AZ14" i="3" s="1"/>
  <c r="BA14" i="3" s="1"/>
  <c r="BB14" i="3" s="1"/>
  <c r="BC14" i="3" s="1"/>
  <c r="BD14" i="3" s="1"/>
  <c r="BE14" i="3" s="1"/>
  <c r="BF14" i="3" s="1"/>
  <c r="BG14" i="3" s="1"/>
  <c r="BH14" i="3" s="1"/>
  <c r="BI14" i="3" s="1"/>
  <c r="BJ14" i="3" s="1"/>
  <c r="BK14" i="3" s="1"/>
  <c r="BL14" i="3" s="1"/>
  <c r="BM14" i="3" s="1"/>
  <c r="BN14" i="3" s="1"/>
  <c r="BO14" i="3" s="1"/>
  <c r="BP14" i="3" s="1"/>
  <c r="BQ14" i="3" s="1"/>
  <c r="BR14" i="3" s="1"/>
  <c r="BS14" i="3" s="1"/>
  <c r="BT14" i="3" s="1"/>
  <c r="BU14" i="3" s="1"/>
  <c r="BV14" i="3" s="1"/>
  <c r="BW14" i="3" s="1"/>
  <c r="BX14" i="3" s="1"/>
  <c r="BY14" i="3" s="1"/>
  <c r="BZ14" i="3" s="1"/>
  <c r="CA14" i="3" s="1"/>
  <c r="CB14" i="3" s="1"/>
  <c r="CC14" i="3" s="1"/>
  <c r="CD14" i="3" s="1"/>
  <c r="CE14" i="3" s="1"/>
  <c r="CF14" i="3" s="1"/>
  <c r="CG14" i="3" s="1"/>
  <c r="CH14" i="3" s="1"/>
  <c r="CI14" i="3" s="1"/>
  <c r="CJ14" i="3" s="1"/>
  <c r="CK14" i="3" s="1"/>
  <c r="CL14" i="3" s="1"/>
  <c r="CM14" i="3" s="1"/>
  <c r="CN14" i="3" s="1"/>
  <c r="CO14" i="3" s="1"/>
  <c r="CP14" i="3" s="1"/>
  <c r="CQ14" i="3" s="1"/>
  <c r="CR14" i="3" s="1"/>
  <c r="CS14" i="3" s="1"/>
  <c r="CT14" i="3" s="1"/>
  <c r="CU14" i="3" s="1"/>
  <c r="CV14" i="3" s="1"/>
  <c r="CW14" i="3" s="1"/>
  <c r="CX14" i="3" s="1"/>
  <c r="CY14" i="3" s="1"/>
  <c r="CZ14" i="3" s="1"/>
  <c r="DA14" i="3" s="1"/>
  <c r="DB14" i="3" s="1"/>
  <c r="DC14" i="3" s="1"/>
  <c r="DD14" i="3" s="1"/>
  <c r="DE14" i="3" s="1"/>
  <c r="DF14" i="3" s="1"/>
  <c r="DG14" i="3" s="1"/>
  <c r="DH14" i="3" s="1"/>
  <c r="DI14" i="3" s="1"/>
  <c r="DJ14" i="3" s="1"/>
  <c r="DK14" i="3" s="1"/>
  <c r="DL14" i="3" s="1"/>
  <c r="DM14" i="3" s="1"/>
  <c r="DN14" i="3" s="1"/>
  <c r="DO14" i="3" s="1"/>
  <c r="DP14" i="3" s="1"/>
  <c r="DQ14" i="3" s="1"/>
  <c r="DR14" i="3" s="1"/>
  <c r="DS14" i="3" s="1"/>
  <c r="DT14" i="3" s="1"/>
  <c r="DU14" i="3" s="1"/>
  <c r="DV14" i="3" s="1"/>
  <c r="DW14" i="3" s="1"/>
  <c r="DX14" i="3" s="1"/>
  <c r="DY14" i="3" s="1"/>
  <c r="DZ14" i="3" s="1"/>
  <c r="EA14" i="3" s="1"/>
  <c r="EB14" i="3" s="1"/>
  <c r="EC14" i="3" s="1"/>
  <c r="ED14" i="3" s="1"/>
  <c r="EE14" i="3" s="1"/>
  <c r="EF14" i="3" s="1"/>
  <c r="EG14" i="3" s="1"/>
  <c r="EH14" i="3" s="1"/>
  <c r="EI14" i="3" s="1"/>
  <c r="EJ14" i="3" s="1"/>
  <c r="EK14" i="3" s="1"/>
  <c r="EL14" i="3" s="1"/>
  <c r="E14" i="3"/>
  <c r="F14" i="3" s="1"/>
  <c r="D14" i="3"/>
  <c r="B14" i="3"/>
  <c r="W13" i="3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CU13" i="3" s="1"/>
  <c r="CV13" i="3" s="1"/>
  <c r="CW13" i="3" s="1"/>
  <c r="CX13" i="3" s="1"/>
  <c r="CY13" i="3" s="1"/>
  <c r="CZ13" i="3" s="1"/>
  <c r="DA13" i="3" s="1"/>
  <c r="DB13" i="3" s="1"/>
  <c r="DC13" i="3" s="1"/>
  <c r="DD13" i="3" s="1"/>
  <c r="DE13" i="3" s="1"/>
  <c r="DF13" i="3" s="1"/>
  <c r="DG13" i="3" s="1"/>
  <c r="DH13" i="3" s="1"/>
  <c r="DI13" i="3" s="1"/>
  <c r="DJ13" i="3" s="1"/>
  <c r="DK13" i="3" s="1"/>
  <c r="DL13" i="3" s="1"/>
  <c r="DM13" i="3" s="1"/>
  <c r="DN13" i="3" s="1"/>
  <c r="DO13" i="3" s="1"/>
  <c r="DP13" i="3" s="1"/>
  <c r="DQ13" i="3" s="1"/>
  <c r="DR13" i="3" s="1"/>
  <c r="DS13" i="3" s="1"/>
  <c r="DT13" i="3" s="1"/>
  <c r="DU13" i="3" s="1"/>
  <c r="DV13" i="3" s="1"/>
  <c r="DW13" i="3" s="1"/>
  <c r="DX13" i="3" s="1"/>
  <c r="DY13" i="3" s="1"/>
  <c r="DZ13" i="3" s="1"/>
  <c r="EA13" i="3" s="1"/>
  <c r="EB13" i="3" s="1"/>
  <c r="EC13" i="3" s="1"/>
  <c r="ED13" i="3" s="1"/>
  <c r="EE13" i="3" s="1"/>
  <c r="EF13" i="3" s="1"/>
  <c r="EG13" i="3" s="1"/>
  <c r="EH13" i="3" s="1"/>
  <c r="EI13" i="3" s="1"/>
  <c r="EJ13" i="3" s="1"/>
  <c r="EK13" i="3" s="1"/>
  <c r="EL13" i="3" s="1"/>
  <c r="E13" i="3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D13" i="3"/>
  <c r="B13" i="3"/>
  <c r="E12" i="3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X12" i="3" s="1"/>
  <c r="AY12" i="3" s="1"/>
  <c r="AZ12" i="3" s="1"/>
  <c r="BA12" i="3" s="1"/>
  <c r="BB12" i="3" s="1"/>
  <c r="BC12" i="3" s="1"/>
  <c r="BD12" i="3" s="1"/>
  <c r="BE12" i="3" s="1"/>
  <c r="BF12" i="3" s="1"/>
  <c r="BG12" i="3" s="1"/>
  <c r="BH12" i="3" s="1"/>
  <c r="BI12" i="3" s="1"/>
  <c r="BJ12" i="3" s="1"/>
  <c r="BK12" i="3" s="1"/>
  <c r="BL12" i="3" s="1"/>
  <c r="BM12" i="3" s="1"/>
  <c r="BN12" i="3" s="1"/>
  <c r="BO12" i="3" s="1"/>
  <c r="BP12" i="3" s="1"/>
  <c r="BQ12" i="3" s="1"/>
  <c r="BR12" i="3" s="1"/>
  <c r="BS12" i="3" s="1"/>
  <c r="BT12" i="3" s="1"/>
  <c r="BU12" i="3" s="1"/>
  <c r="BV12" i="3" s="1"/>
  <c r="BW12" i="3" s="1"/>
  <c r="BX12" i="3" s="1"/>
  <c r="BY12" i="3" s="1"/>
  <c r="BZ12" i="3" s="1"/>
  <c r="CA12" i="3" s="1"/>
  <c r="CB12" i="3" s="1"/>
  <c r="CC12" i="3" s="1"/>
  <c r="CD12" i="3" s="1"/>
  <c r="CE12" i="3" s="1"/>
  <c r="CF12" i="3" s="1"/>
  <c r="CG12" i="3" s="1"/>
  <c r="CH12" i="3" s="1"/>
  <c r="CI12" i="3" s="1"/>
  <c r="CJ12" i="3" s="1"/>
  <c r="CK12" i="3" s="1"/>
  <c r="CL12" i="3" s="1"/>
  <c r="CM12" i="3" s="1"/>
  <c r="CN12" i="3" s="1"/>
  <c r="CO12" i="3" s="1"/>
  <c r="CP12" i="3" s="1"/>
  <c r="CQ12" i="3" s="1"/>
  <c r="CR12" i="3" s="1"/>
  <c r="CS12" i="3" s="1"/>
  <c r="CT12" i="3" s="1"/>
  <c r="CU12" i="3" s="1"/>
  <c r="CV12" i="3" s="1"/>
  <c r="CW12" i="3" s="1"/>
  <c r="CX12" i="3" s="1"/>
  <c r="CY12" i="3" s="1"/>
  <c r="CZ12" i="3" s="1"/>
  <c r="DA12" i="3" s="1"/>
  <c r="DB12" i="3" s="1"/>
  <c r="DC12" i="3" s="1"/>
  <c r="DD12" i="3" s="1"/>
  <c r="DE12" i="3" s="1"/>
  <c r="DF12" i="3" s="1"/>
  <c r="DG12" i="3" s="1"/>
  <c r="DH12" i="3" s="1"/>
  <c r="DI12" i="3" s="1"/>
  <c r="DJ12" i="3" s="1"/>
  <c r="DK12" i="3" s="1"/>
  <c r="DL12" i="3" s="1"/>
  <c r="DM12" i="3" s="1"/>
  <c r="DN12" i="3" s="1"/>
  <c r="DO12" i="3" s="1"/>
  <c r="DP12" i="3" s="1"/>
  <c r="DQ12" i="3" s="1"/>
  <c r="DR12" i="3" s="1"/>
  <c r="DS12" i="3" s="1"/>
  <c r="DT12" i="3" s="1"/>
  <c r="DU12" i="3" s="1"/>
  <c r="DV12" i="3" s="1"/>
  <c r="DW12" i="3" s="1"/>
  <c r="DX12" i="3" s="1"/>
  <c r="DY12" i="3" s="1"/>
  <c r="DZ12" i="3" s="1"/>
  <c r="EA12" i="3" s="1"/>
  <c r="EB12" i="3" s="1"/>
  <c r="EC12" i="3" s="1"/>
  <c r="ED12" i="3" s="1"/>
  <c r="EE12" i="3" s="1"/>
  <c r="EF12" i="3" s="1"/>
  <c r="EG12" i="3" s="1"/>
  <c r="EH12" i="3" s="1"/>
  <c r="EI12" i="3" s="1"/>
  <c r="EJ12" i="3" s="1"/>
  <c r="EK12" i="3" s="1"/>
  <c r="EL12" i="3" s="1"/>
  <c r="D12" i="3"/>
  <c r="B12" i="3"/>
  <c r="EL8" i="3"/>
  <c r="EK8" i="3"/>
  <c r="EJ8" i="3"/>
  <c r="EI8" i="3"/>
  <c r="EG8" i="3"/>
  <c r="EB8" i="3"/>
  <c r="DY8" i="3"/>
  <c r="DW8" i="3"/>
  <c r="DV8" i="3"/>
  <c r="DN8" i="3"/>
  <c r="DM8" i="3"/>
  <c r="DL8" i="3"/>
  <c r="DK8" i="3"/>
  <c r="DJ8" i="3"/>
  <c r="DI8" i="3"/>
  <c r="DE8" i="3"/>
  <c r="DA8" i="3"/>
  <c r="CZ8" i="3"/>
  <c r="CW8" i="3"/>
  <c r="CV8" i="3"/>
  <c r="CS8" i="3"/>
  <c r="CP8" i="3"/>
  <c r="CN8" i="3"/>
  <c r="CM8" i="3"/>
  <c r="CL8" i="3"/>
  <c r="CK8" i="3"/>
  <c r="CE8" i="3"/>
  <c r="CD8" i="3"/>
  <c r="BY8" i="3"/>
  <c r="BV8" i="3"/>
  <c r="BQ8" i="3"/>
  <c r="BP8" i="3"/>
  <c r="BO8" i="3"/>
  <c r="BL8" i="3"/>
  <c r="BK8" i="3"/>
  <c r="BJ8" i="3"/>
  <c r="BI8" i="3"/>
  <c r="BF8" i="3"/>
  <c r="BA8" i="3"/>
  <c r="AY8" i="3"/>
  <c r="AS8" i="3"/>
  <c r="AR8" i="3"/>
  <c r="AQ8" i="3"/>
  <c r="AN8" i="3"/>
  <c r="AM8" i="3"/>
  <c r="AE8" i="3"/>
  <c r="AB8" i="3"/>
  <c r="AA8" i="3"/>
  <c r="X8" i="3"/>
  <c r="W8" i="3"/>
  <c r="V8" i="3"/>
  <c r="T8" i="3"/>
  <c r="R8" i="3"/>
  <c r="Q8" i="3"/>
  <c r="P8" i="3"/>
  <c r="O8" i="3"/>
  <c r="J8" i="3"/>
  <c r="E8" i="3"/>
  <c r="EK7" i="3"/>
  <c r="EJ7" i="3"/>
  <c r="EI7" i="3"/>
  <c r="EH7" i="3"/>
  <c r="EG7" i="3"/>
  <c r="EB7" i="3"/>
  <c r="DZ7" i="3"/>
  <c r="DY7" i="3"/>
  <c r="DX7" i="3"/>
  <c r="DW7" i="3"/>
  <c r="DV7" i="3"/>
  <c r="DL7" i="3"/>
  <c r="DK7" i="3"/>
  <c r="DB7" i="3"/>
  <c r="CZ7" i="3"/>
  <c r="CY7" i="3"/>
  <c r="CX7" i="3"/>
  <c r="CW7" i="3"/>
  <c r="CP7" i="3"/>
  <c r="CM7" i="3"/>
  <c r="CL7" i="3"/>
  <c r="CH7" i="3"/>
  <c r="CC7" i="3"/>
  <c r="CB7" i="3"/>
  <c r="CA7" i="3"/>
  <c r="BY7" i="3"/>
  <c r="BQ7" i="3"/>
  <c r="BE7" i="3"/>
  <c r="BD7" i="3"/>
  <c r="BC7" i="3"/>
  <c r="BA7" i="3"/>
  <c r="AZ7" i="3"/>
  <c r="AW7" i="3"/>
  <c r="AV7" i="3"/>
  <c r="AS7" i="3"/>
  <c r="AN7" i="3"/>
  <c r="AE7" i="3"/>
  <c r="Y7" i="3"/>
  <c r="T7" i="3"/>
  <c r="R7" i="3"/>
  <c r="O7" i="3"/>
  <c r="N7" i="3"/>
  <c r="M7" i="3"/>
  <c r="L7" i="3"/>
  <c r="K7" i="3"/>
  <c r="J7" i="3"/>
  <c r="C7" i="3"/>
  <c r="EL6" i="3" a="1"/>
  <c r="EL6" i="3"/>
  <c r="EL7" i="3" s="1"/>
  <c r="EK6" i="3" a="1"/>
  <c r="EK6" i="3" s="1"/>
  <c r="EJ6" i="3" a="1"/>
  <c r="EJ6" i="3"/>
  <c r="EI6" i="3" a="1"/>
  <c r="EI6" i="3"/>
  <c r="EH6" i="3" a="1"/>
  <c r="EH6" i="3"/>
  <c r="EH8" i="3" s="1"/>
  <c r="EG6" i="3" a="1"/>
  <c r="EG6" i="3"/>
  <c r="EF6" i="3" a="1"/>
  <c r="EF6" i="3"/>
  <c r="EE6" i="3" a="1"/>
  <c r="EE6" i="3"/>
  <c r="ED6" i="3" a="1"/>
  <c r="ED6" i="3"/>
  <c r="ED8" i="3" s="1"/>
  <c r="EC6" i="3" a="1"/>
  <c r="EC6" i="3" s="1"/>
  <c r="EC8" i="3" s="1"/>
  <c r="EB6" i="3" a="1"/>
  <c r="EB6" i="3"/>
  <c r="EA6" i="3" a="1"/>
  <c r="EA6" i="3" s="1"/>
  <c r="DZ6" i="3" a="1"/>
  <c r="DZ6" i="3" s="1"/>
  <c r="DZ8" i="3" s="1"/>
  <c r="DY6" i="3" a="1"/>
  <c r="DY6" i="3"/>
  <c r="DX6" i="3" a="1"/>
  <c r="DX6" i="3" s="1"/>
  <c r="DX8" i="3" s="1"/>
  <c r="DW6" i="3" a="1"/>
  <c r="DW6" i="3"/>
  <c r="DV6" i="3" a="1"/>
  <c r="DV6" i="3" s="1"/>
  <c r="DU6" i="3" a="1"/>
  <c r="DU6" i="3"/>
  <c r="DU8" i="3" s="1"/>
  <c r="DT6" i="3" a="1"/>
  <c r="DT6" i="3"/>
  <c r="DS6" i="3" a="1"/>
  <c r="DS6" i="3"/>
  <c r="DR6" i="3" a="1"/>
  <c r="DR6" i="3"/>
  <c r="DQ6" i="3" a="1"/>
  <c r="DQ6" i="3" s="1"/>
  <c r="DP6" i="3" a="1"/>
  <c r="DP6" i="3"/>
  <c r="DO6" i="3" a="1"/>
  <c r="DO6" i="3" s="1"/>
  <c r="DN6" i="3" a="1"/>
  <c r="DN6" i="3"/>
  <c r="DN7" i="3" s="1"/>
  <c r="DM6" i="3" a="1"/>
  <c r="DM6" i="3"/>
  <c r="DM7" i="3" s="1"/>
  <c r="DL6" i="3" a="1"/>
  <c r="DL6" i="3" s="1"/>
  <c r="DK6" i="3" a="1"/>
  <c r="DK6" i="3"/>
  <c r="DJ6" i="3" a="1"/>
  <c r="DJ6" i="3" s="1"/>
  <c r="DJ7" i="3" s="1"/>
  <c r="DI6" i="3" a="1"/>
  <c r="DI6" i="3"/>
  <c r="DI7" i="3" s="1"/>
  <c r="DH6" i="3" a="1"/>
  <c r="DH6" i="3"/>
  <c r="DG6" i="3" a="1"/>
  <c r="DG6" i="3"/>
  <c r="DF6" i="3" a="1"/>
  <c r="DF6" i="3"/>
  <c r="DE6" i="3" a="1"/>
  <c r="DE6" i="3"/>
  <c r="DE7" i="3" s="1"/>
  <c r="DD6" i="3" a="1"/>
  <c r="DD6" i="3" s="1"/>
  <c r="DC6" i="3" a="1"/>
  <c r="DC6" i="3" s="1"/>
  <c r="DB6" i="3" a="1"/>
  <c r="DB6" i="3"/>
  <c r="DB8" i="3" s="1"/>
  <c r="DA6" i="3" a="1"/>
  <c r="DA6" i="3" s="1"/>
  <c r="DA7" i="3" s="1"/>
  <c r="CZ6" i="3" a="1"/>
  <c r="CZ6" i="3"/>
  <c r="CY6" i="3" a="1"/>
  <c r="CY6" i="3"/>
  <c r="CY8" i="3" s="1"/>
  <c r="CX6" i="3" a="1"/>
  <c r="CX6" i="3"/>
  <c r="CX8" i="3" s="1"/>
  <c r="CW6" i="3" a="1"/>
  <c r="CW6" i="3"/>
  <c r="CV6" i="3" a="1"/>
  <c r="CV6" i="3"/>
  <c r="CV7" i="3" s="1"/>
  <c r="CU6" i="3" a="1"/>
  <c r="CU6" i="3"/>
  <c r="CT6" i="3" a="1"/>
  <c r="CT6" i="3" s="1"/>
  <c r="CS6" i="3" a="1"/>
  <c r="CS6" i="3" s="1"/>
  <c r="CS7" i="3" s="1"/>
  <c r="CR6" i="3" a="1"/>
  <c r="CR6" i="3"/>
  <c r="CQ6" i="3" a="1"/>
  <c r="CQ6" i="3" s="1"/>
  <c r="CQ8" i="3" s="1"/>
  <c r="CP6" i="3" a="1"/>
  <c r="CP6" i="3"/>
  <c r="CO6" i="3" a="1"/>
  <c r="CO6" i="3" s="1"/>
  <c r="CN6" i="3" a="1"/>
  <c r="CN6" i="3"/>
  <c r="CN7" i="3" s="1"/>
  <c r="CM6" i="3" a="1"/>
  <c r="CM6" i="3"/>
  <c r="CL6" i="3" a="1"/>
  <c r="CL6" i="3"/>
  <c r="CK6" i="3" a="1"/>
  <c r="CK6" i="3"/>
  <c r="CK7" i="3" s="1"/>
  <c r="CJ6" i="3" a="1"/>
  <c r="CJ6" i="3"/>
  <c r="CJ7" i="3" s="1"/>
  <c r="CI6" i="3" a="1"/>
  <c r="CI6" i="3"/>
  <c r="CH6" i="3" a="1"/>
  <c r="CH6" i="3" s="1"/>
  <c r="CH8" i="3" s="1"/>
  <c r="CG6" i="3" a="1"/>
  <c r="CG6" i="3"/>
  <c r="CG8" i="3" s="1"/>
  <c r="CF6" i="3" a="1"/>
  <c r="CF6" i="3"/>
  <c r="CE6" i="3" a="1"/>
  <c r="CE6" i="3"/>
  <c r="CE7" i="3" s="1"/>
  <c r="CD6" i="3" a="1"/>
  <c r="CD6" i="3"/>
  <c r="CD7" i="3" s="1"/>
  <c r="CC6" i="3" a="1"/>
  <c r="CC6" i="3" s="1"/>
  <c r="CC8" i="3" s="1"/>
  <c r="CB6" i="3" a="1"/>
  <c r="CB6" i="3"/>
  <c r="CB8" i="3" s="1"/>
  <c r="CA6" i="3" a="1"/>
  <c r="CA6" i="3" s="1"/>
  <c r="CA8" i="3" s="1"/>
  <c r="BZ6" i="3" a="1"/>
  <c r="BZ6" i="3"/>
  <c r="BZ7" i="3" s="1"/>
  <c r="BY6" i="3" a="1"/>
  <c r="BY6" i="3"/>
  <c r="BX6" i="3" a="1"/>
  <c r="BX6" i="3"/>
  <c r="BX8" i="3" s="1"/>
  <c r="BW6" i="3" a="1"/>
  <c r="BW6" i="3" s="1"/>
  <c r="BW8" i="3" s="1"/>
  <c r="BV6" i="3" a="1"/>
  <c r="BV6" i="3"/>
  <c r="BV7" i="3" s="1"/>
  <c r="BU6" i="3" a="1"/>
  <c r="BU6" i="3"/>
  <c r="BT6" i="3" a="1"/>
  <c r="BT6" i="3"/>
  <c r="BS6" i="3" a="1"/>
  <c r="BS6" i="3" s="1"/>
  <c r="BR6" i="3" a="1"/>
  <c r="BR6" i="3"/>
  <c r="BR8" i="3" s="1"/>
  <c r="BQ6" i="3" a="1"/>
  <c r="BQ6" i="3"/>
  <c r="BP6" i="3" a="1"/>
  <c r="BP6" i="3" s="1"/>
  <c r="BP7" i="3" s="1"/>
  <c r="BO6" i="3" a="1"/>
  <c r="BO6" i="3"/>
  <c r="BO7" i="3" s="1"/>
  <c r="BN6" i="3" a="1"/>
  <c r="BN6" i="3" s="1"/>
  <c r="BN8" i="3" s="1"/>
  <c r="BM6" i="3" a="1"/>
  <c r="BM6" i="3"/>
  <c r="BM7" i="3" s="1"/>
  <c r="BL6" i="3" a="1"/>
  <c r="BL6" i="3" s="1"/>
  <c r="BL7" i="3" s="1"/>
  <c r="BK6" i="3" a="1"/>
  <c r="BK6" i="3" s="1"/>
  <c r="BK7" i="3" s="1"/>
  <c r="BJ6" i="3" a="1"/>
  <c r="BJ6" i="3"/>
  <c r="BJ7" i="3" s="1"/>
  <c r="BI6" i="3" a="1"/>
  <c r="BI6" i="3"/>
  <c r="BI7" i="3" s="1"/>
  <c r="BH6" i="3" a="1"/>
  <c r="BH6" i="3"/>
  <c r="BG6" i="3" a="1"/>
  <c r="BG6" i="3"/>
  <c r="BF6" i="3" a="1"/>
  <c r="BF6" i="3" s="1"/>
  <c r="BF7" i="3" s="1"/>
  <c r="BE6" i="3" a="1"/>
  <c r="BE6" i="3"/>
  <c r="BE8" i="3" s="1"/>
  <c r="BD6" i="3" a="1"/>
  <c r="BD6" i="3" s="1"/>
  <c r="BD8" i="3" s="1"/>
  <c r="BC6" i="3" a="1"/>
  <c r="BC6" i="3"/>
  <c r="BC8" i="3" s="1"/>
  <c r="BB6" i="3" a="1"/>
  <c r="BB6" i="3" s="1"/>
  <c r="BA6" i="3" a="1"/>
  <c r="BA6" i="3" s="1"/>
  <c r="AZ6" i="3" a="1"/>
  <c r="AZ6" i="3"/>
  <c r="AZ8" i="3" s="1"/>
  <c r="AY6" i="3" a="1"/>
  <c r="AY6" i="3"/>
  <c r="AY7" i="3" s="1"/>
  <c r="AX6" i="3" a="1"/>
  <c r="AX6" i="3"/>
  <c r="AX7" i="3" s="1"/>
  <c r="AW6" i="3" a="1"/>
  <c r="AW6" i="3"/>
  <c r="AW8" i="3" s="1"/>
  <c r="AV6" i="3" a="1"/>
  <c r="AV6" i="3"/>
  <c r="AV8" i="3" s="1"/>
  <c r="AU6" i="3" a="1"/>
  <c r="AU6" i="3"/>
  <c r="AT6" i="3" a="1"/>
  <c r="AT6" i="3" s="1"/>
  <c r="AS6" i="3" a="1"/>
  <c r="AS6" i="3"/>
  <c r="AR6" i="3" a="1"/>
  <c r="AR6" i="3" s="1"/>
  <c r="AR7" i="3" s="1"/>
  <c r="AQ6" i="3" a="1"/>
  <c r="AQ6" i="3"/>
  <c r="AQ7" i="3" s="1"/>
  <c r="AP6" i="3" a="1"/>
  <c r="AP6" i="3" s="1"/>
  <c r="AP7" i="3" s="1"/>
  <c r="AO6" i="3" a="1"/>
  <c r="AO6" i="3" s="1"/>
  <c r="AN6" i="3" a="1"/>
  <c r="AN6" i="3" s="1"/>
  <c r="AM6" i="3" a="1"/>
  <c r="AM6" i="3"/>
  <c r="AM7" i="3" s="1"/>
  <c r="AL6" i="3" a="1"/>
  <c r="AL6" i="3"/>
  <c r="AL8" i="3" s="1"/>
  <c r="AK6" i="3" a="1"/>
  <c r="AK6" i="3"/>
  <c r="AK8" i="3" s="1"/>
  <c r="AJ6" i="3" a="1"/>
  <c r="AJ6" i="3"/>
  <c r="AJ8" i="3" s="1"/>
  <c r="AI6" i="3" a="1"/>
  <c r="AI6" i="3"/>
  <c r="AH6" i="3" a="1"/>
  <c r="AH6" i="3" s="1"/>
  <c r="AG6" i="3" a="1"/>
  <c r="AG6" i="3"/>
  <c r="AF6" i="3" a="1"/>
  <c r="AF6" i="3" s="1"/>
  <c r="AE6" i="3" a="1"/>
  <c r="AE6" i="3" s="1"/>
  <c r="AD6" i="3" a="1"/>
  <c r="AD6" i="3" s="1"/>
  <c r="AC6" i="3" a="1"/>
  <c r="AC6" i="3"/>
  <c r="AC8" i="3" s="1"/>
  <c r="AB6" i="3" a="1"/>
  <c r="AB6" i="3"/>
  <c r="AB7" i="3" s="1"/>
  <c r="AA6" i="3" a="1"/>
  <c r="AA6" i="3"/>
  <c r="AA7" i="3" s="1"/>
  <c r="Z6" i="3" a="1"/>
  <c r="Z6" i="3"/>
  <c r="Y6" i="3" a="1"/>
  <c r="Y6" i="3"/>
  <c r="Y8" i="3" s="1"/>
  <c r="X6" i="3" a="1"/>
  <c r="X6" i="3"/>
  <c r="X7" i="3" s="1"/>
  <c r="W6" i="3" a="1"/>
  <c r="W6" i="3"/>
  <c r="W7" i="3" s="1"/>
  <c r="V6" i="3" a="1"/>
  <c r="V6" i="3"/>
  <c r="V7" i="3" s="1"/>
  <c r="U6" i="3" a="1"/>
  <c r="U6" i="3"/>
  <c r="U7" i="3" s="1"/>
  <c r="T6" i="3" a="1"/>
  <c r="T6" i="3" s="1"/>
  <c r="S6" i="3" a="1"/>
  <c r="S6" i="3"/>
  <c r="S7" i="3" s="1"/>
  <c r="R6" i="3" a="1"/>
  <c r="R6" i="3"/>
  <c r="Q6" i="3" a="1"/>
  <c r="Q6" i="3" s="1"/>
  <c r="Q7" i="3" s="1"/>
  <c r="P6" i="3" a="1"/>
  <c r="P6" i="3"/>
  <c r="P7" i="3" s="1"/>
  <c r="O6" i="3" a="1"/>
  <c r="O6" i="3"/>
  <c r="N6" i="3" a="1"/>
  <c r="N6" i="3"/>
  <c r="N8" i="3" s="1"/>
  <c r="M6" i="3" a="1"/>
  <c r="M6" i="3"/>
  <c r="M8" i="3" s="1"/>
  <c r="L6" i="3" a="1"/>
  <c r="L6" i="3"/>
  <c r="L8" i="3" s="1"/>
  <c r="K6" i="3" a="1"/>
  <c r="K6" i="3"/>
  <c r="K8" i="3" s="1"/>
  <c r="J6" i="3" a="1"/>
  <c r="J6" i="3"/>
  <c r="I6" i="3" a="1"/>
  <c r="I6" i="3" s="1"/>
  <c r="I8" i="3" s="1"/>
  <c r="H6" i="3" a="1"/>
  <c r="H6" i="3" s="1"/>
  <c r="G6" i="3" a="1"/>
  <c r="G6" i="3"/>
  <c r="F6" i="3" a="1"/>
  <c r="F6" i="3" s="1"/>
  <c r="E6" i="3" a="1"/>
  <c r="E6" i="3"/>
  <c r="E7" i="3" s="1"/>
  <c r="D6" i="3" a="1"/>
  <c r="D6" i="3" s="1"/>
  <c r="C6" i="3" a="1"/>
  <c r="C6" i="3"/>
  <c r="C8" i="3" s="1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EL23" i="2"/>
  <c r="EK23" i="2"/>
  <c r="EJ23" i="2"/>
  <c r="EI23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EL22" i="2"/>
  <c r="EK22" i="2"/>
  <c r="EJ22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EL18" i="2"/>
  <c r="EK18" i="2"/>
  <c r="EJ18" i="2"/>
  <c r="EI18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EL17" i="2"/>
  <c r="EK17" i="2"/>
  <c r="EJ17" i="2"/>
  <c r="EI17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EL15" i="2"/>
  <c r="EK15" i="2"/>
  <c r="EJ15" i="2"/>
  <c r="EI15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EL14" i="2"/>
  <c r="EK14" i="2"/>
  <c r="EJ14" i="2"/>
  <c r="EI14" i="2"/>
  <c r="EH14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EL12" i="2"/>
  <c r="EK12" i="2"/>
  <c r="EJ12" i="2"/>
  <c r="EI12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EM12" i="2" s="1"/>
  <c r="EN12" i="2" s="1"/>
  <c r="G12" i="2"/>
  <c r="F12" i="2"/>
  <c r="E12" i="2"/>
  <c r="D12" i="2"/>
  <c r="C12" i="2"/>
  <c r="B12" i="2"/>
  <c r="EK8" i="2"/>
  <c r="EJ8" i="2"/>
  <c r="EI8" i="2"/>
  <c r="EE8" i="2"/>
  <c r="DY8" i="2"/>
  <c r="DW8" i="2"/>
  <c r="DV8" i="2"/>
  <c r="DM8" i="2"/>
  <c r="DJ8" i="2"/>
  <c r="DF8" i="2"/>
  <c r="DE8" i="2"/>
  <c r="DD8" i="2"/>
  <c r="DC8" i="2"/>
  <c r="DB8" i="2"/>
  <c r="DA8" i="2"/>
  <c r="CZ8" i="2"/>
  <c r="CY8" i="2"/>
  <c r="CM8" i="2"/>
  <c r="CE8" i="2"/>
  <c r="CD8" i="2"/>
  <c r="CC8" i="2"/>
  <c r="CA8" i="2"/>
  <c r="BY8" i="2"/>
  <c r="BU8" i="2"/>
  <c r="BR8" i="2"/>
  <c r="BO8" i="2"/>
  <c r="BJ8" i="2"/>
  <c r="BH8" i="2"/>
  <c r="BF8" i="2"/>
  <c r="AU8" i="2"/>
  <c r="AT8" i="2"/>
  <c r="AQ8" i="2"/>
  <c r="AM8" i="2"/>
  <c r="AK8" i="2"/>
  <c r="AJ8" i="2"/>
  <c r="AI8" i="2"/>
  <c r="AH8" i="2"/>
  <c r="S8" i="2"/>
  <c r="L8" i="2"/>
  <c r="J8" i="2"/>
  <c r="I8" i="2"/>
  <c r="H8" i="2"/>
  <c r="G8" i="2"/>
  <c r="EI7" i="2"/>
  <c r="EC7" i="2"/>
  <c r="EB7" i="2"/>
  <c r="EA7" i="2"/>
  <c r="DZ7" i="2"/>
  <c r="DY7" i="2"/>
  <c r="DX7" i="2"/>
  <c r="DW7" i="2"/>
  <c r="DV7" i="2"/>
  <c r="DS7" i="2"/>
  <c r="DL7" i="2"/>
  <c r="DK7" i="2"/>
  <c r="DE7" i="2"/>
  <c r="DB7" i="2"/>
  <c r="DA7" i="2"/>
  <c r="CZ7" i="2"/>
  <c r="CU7" i="2"/>
  <c r="CS7" i="2"/>
  <c r="CR7" i="2"/>
  <c r="CQ7" i="2"/>
  <c r="CN7" i="2"/>
  <c r="CM7" i="2"/>
  <c r="CG7" i="2"/>
  <c r="CE7" i="2"/>
  <c r="CA7" i="2"/>
  <c r="BW7" i="2"/>
  <c r="BU7" i="2"/>
  <c r="BT7" i="2"/>
  <c r="BS7" i="2"/>
  <c r="BO7" i="2"/>
  <c r="BJ7" i="2"/>
  <c r="BI7" i="2"/>
  <c r="BH7" i="2"/>
  <c r="BE7" i="2"/>
  <c r="BD7" i="2"/>
  <c r="AQ7" i="2"/>
  <c r="AI7" i="2"/>
  <c r="AH7" i="2"/>
  <c r="AF7" i="2"/>
  <c r="AA7" i="2"/>
  <c r="X7" i="2"/>
  <c r="W7" i="2"/>
  <c r="M7" i="2"/>
  <c r="L7" i="2"/>
  <c r="K7" i="2"/>
  <c r="J7" i="2"/>
  <c r="H7" i="2"/>
  <c r="G7" i="2"/>
  <c r="EM6" i="2" a="1"/>
  <c r="EM6" i="2" s="1"/>
  <c r="EL6" i="2" a="1"/>
  <c r="EL6" i="2"/>
  <c r="EK6" i="2" a="1"/>
  <c r="EK6" i="2"/>
  <c r="EK7" i="2" s="1"/>
  <c r="EJ6" i="2" a="1"/>
  <c r="EJ6" i="2"/>
  <c r="EJ7" i="2" s="1"/>
  <c r="EI6" i="2" a="1"/>
  <c r="EI6" i="2" s="1"/>
  <c r="EH6" i="2" a="1"/>
  <c r="EH6" i="2"/>
  <c r="EG6" i="2" a="1"/>
  <c r="EG6" i="2"/>
  <c r="EF6" i="2" a="1"/>
  <c r="EF6" i="2"/>
  <c r="EE6" i="2" a="1"/>
  <c r="EE6" i="2"/>
  <c r="EE7" i="2" s="1"/>
  <c r="ED6" i="2" a="1"/>
  <c r="ED6" i="2"/>
  <c r="ED7" i="2" s="1"/>
  <c r="EC6" i="2" a="1"/>
  <c r="EC6" i="2"/>
  <c r="EC8" i="2" s="1"/>
  <c r="EB6" i="2" a="1"/>
  <c r="EB6" i="2"/>
  <c r="EB8" i="2" s="1"/>
  <c r="EA6" i="2" a="1"/>
  <c r="EA6" i="2"/>
  <c r="EA8" i="2" s="1"/>
  <c r="DZ6" i="2" a="1"/>
  <c r="DZ6" i="2" s="1"/>
  <c r="DZ8" i="2" s="1"/>
  <c r="DY6" i="2" a="1"/>
  <c r="DY6" i="2"/>
  <c r="DX6" i="2" a="1"/>
  <c r="DX6" i="2" s="1"/>
  <c r="DX8" i="2" s="1"/>
  <c r="DW6" i="2" a="1"/>
  <c r="DW6" i="2"/>
  <c r="DV6" i="2" a="1"/>
  <c r="DV6" i="2"/>
  <c r="DU6" i="2" a="1"/>
  <c r="DU6" i="2"/>
  <c r="DT6" i="2" a="1"/>
  <c r="DT6" i="2"/>
  <c r="DS6" i="2" a="1"/>
  <c r="DS6" i="2"/>
  <c r="DS8" i="2" s="1"/>
  <c r="DR6" i="2" a="1"/>
  <c r="DR6" i="2"/>
  <c r="DR8" i="2" s="1"/>
  <c r="DQ6" i="2" a="1"/>
  <c r="DQ6" i="2"/>
  <c r="DQ8" i="2" s="1"/>
  <c r="DP6" i="2" a="1"/>
  <c r="DP6" i="2"/>
  <c r="DP8" i="2" s="1"/>
  <c r="DO6" i="2" a="1"/>
  <c r="DO6" i="2"/>
  <c r="DO8" i="2" s="1"/>
  <c r="DN6" i="2" a="1"/>
  <c r="DN6" i="2"/>
  <c r="DN7" i="2" s="1"/>
  <c r="DM6" i="2" a="1"/>
  <c r="DM6" i="2" s="1"/>
  <c r="DM7" i="2" s="1"/>
  <c r="DL6" i="2" a="1"/>
  <c r="DL6" i="2"/>
  <c r="DL8" i="2" s="1"/>
  <c r="DK6" i="2" a="1"/>
  <c r="DK6" i="2"/>
  <c r="DK8" i="2" s="1"/>
  <c r="DJ6" i="2" a="1"/>
  <c r="DJ6" i="2"/>
  <c r="DJ7" i="2" s="1"/>
  <c r="DI6" i="2" a="1"/>
  <c r="DI6" i="2"/>
  <c r="DH6" i="2" a="1"/>
  <c r="DH6" i="2" s="1"/>
  <c r="DG6" i="2" a="1"/>
  <c r="DG6" i="2"/>
  <c r="DF6" i="2" a="1"/>
  <c r="DF6" i="2" s="1"/>
  <c r="DF7" i="2" s="1"/>
  <c r="DE6" i="2" a="1"/>
  <c r="DE6" i="2"/>
  <c r="DD6" i="2" a="1"/>
  <c r="DD6" i="2"/>
  <c r="DD7" i="2" s="1"/>
  <c r="DC6" i="2" a="1"/>
  <c r="DC6" i="2" s="1"/>
  <c r="DC7" i="2" s="1"/>
  <c r="DB6" i="2" a="1"/>
  <c r="DB6" i="2" s="1"/>
  <c r="DA6" i="2" a="1"/>
  <c r="DA6" i="2"/>
  <c r="CZ6" i="2" a="1"/>
  <c r="CZ6" i="2"/>
  <c r="CY6" i="2" a="1"/>
  <c r="CY6" i="2"/>
  <c r="CY7" i="2" s="1"/>
  <c r="CX6" i="2" a="1"/>
  <c r="CX6" i="2"/>
  <c r="CW6" i="2" a="1"/>
  <c r="CW6" i="2"/>
  <c r="CV6" i="2" a="1"/>
  <c r="CV6" i="2" s="1"/>
  <c r="CU6" i="2" a="1"/>
  <c r="CU6" i="2"/>
  <c r="CU8" i="2" s="1"/>
  <c r="CT6" i="2" a="1"/>
  <c r="CT6" i="2" s="1"/>
  <c r="CT8" i="2" s="1"/>
  <c r="CS6" i="2" a="1"/>
  <c r="CS6" i="2"/>
  <c r="CS8" i="2" s="1"/>
  <c r="CR6" i="2" a="1"/>
  <c r="CR6" i="2"/>
  <c r="CR8" i="2" s="1"/>
  <c r="CQ6" i="2" a="1"/>
  <c r="CQ6" i="2" s="1"/>
  <c r="CQ8" i="2" s="1"/>
  <c r="CP6" i="2" a="1"/>
  <c r="CP6" i="2"/>
  <c r="CO6" i="2" a="1"/>
  <c r="CO6" i="2" s="1"/>
  <c r="CN6" i="2" a="1"/>
  <c r="CN6" i="2"/>
  <c r="CN8" i="2" s="1"/>
  <c r="CM6" i="2" a="1"/>
  <c r="CM6" i="2"/>
  <c r="CL6" i="2" a="1"/>
  <c r="CL6" i="2"/>
  <c r="CK6" i="2" a="1"/>
  <c r="CK6" i="2"/>
  <c r="CJ6" i="2" a="1"/>
  <c r="CJ6" i="2" s="1"/>
  <c r="CI6" i="2" a="1"/>
  <c r="CI6" i="2"/>
  <c r="CI8" i="2" s="1"/>
  <c r="CH6" i="2" a="1"/>
  <c r="CH6" i="2" s="1"/>
  <c r="CG6" i="2" a="1"/>
  <c r="CG6" i="2"/>
  <c r="CG8" i="2" s="1"/>
  <c r="CF6" i="2" a="1"/>
  <c r="CF6" i="2" s="1"/>
  <c r="CE6" i="2" a="1"/>
  <c r="CE6" i="2"/>
  <c r="CD6" i="2" a="1"/>
  <c r="CD6" i="2" s="1"/>
  <c r="CD7" i="2" s="1"/>
  <c r="CC6" i="2" a="1"/>
  <c r="CC6" i="2"/>
  <c r="CC7" i="2" s="1"/>
  <c r="CB6" i="2" a="1"/>
  <c r="CB6" i="2" s="1"/>
  <c r="CB7" i="2" s="1"/>
  <c r="CA6" i="2" a="1"/>
  <c r="CA6" i="2"/>
  <c r="BZ6" i="2" a="1"/>
  <c r="BZ6" i="2" s="1"/>
  <c r="BY6" i="2" a="1"/>
  <c r="BY6" i="2"/>
  <c r="BY7" i="2" s="1"/>
  <c r="BX6" i="2" a="1"/>
  <c r="BX6" i="2" s="1"/>
  <c r="BW6" i="2" a="1"/>
  <c r="BW6" i="2"/>
  <c r="BW8" i="2" s="1"/>
  <c r="BV6" i="2" a="1"/>
  <c r="BV6" i="2"/>
  <c r="BV8" i="2" s="1"/>
  <c r="BU6" i="2" a="1"/>
  <c r="BU6" i="2" s="1"/>
  <c r="BT6" i="2" a="1"/>
  <c r="BT6" i="2"/>
  <c r="BT8" i="2" s="1"/>
  <c r="BS6" i="2" a="1"/>
  <c r="BS6" i="2"/>
  <c r="BS8" i="2" s="1"/>
  <c r="BR6" i="2" a="1"/>
  <c r="BR6" i="2" s="1"/>
  <c r="BR7" i="2" s="1"/>
  <c r="BQ6" i="2" a="1"/>
  <c r="BQ6" i="2"/>
  <c r="BP6" i="2" a="1"/>
  <c r="BP6" i="2" s="1"/>
  <c r="BP8" i="2" s="1"/>
  <c r="BO6" i="2" a="1"/>
  <c r="BO6" i="2"/>
  <c r="BN6" i="2" a="1"/>
  <c r="BN6" i="2"/>
  <c r="BN7" i="2" s="1"/>
  <c r="BM6" i="2" a="1"/>
  <c r="BM6" i="2"/>
  <c r="BL6" i="2" a="1"/>
  <c r="BL6" i="2"/>
  <c r="BK6" i="2" a="1"/>
  <c r="BK6" i="2" s="1"/>
  <c r="BJ6" i="2" a="1"/>
  <c r="BJ6" i="2" s="1"/>
  <c r="BI6" i="2" a="1"/>
  <c r="BI6" i="2"/>
  <c r="BI8" i="2" s="1"/>
  <c r="BH6" i="2" a="1"/>
  <c r="BH6" i="2"/>
  <c r="BG6" i="2" a="1"/>
  <c r="BG6" i="2"/>
  <c r="BF6" i="2" a="1"/>
  <c r="BF6" i="2"/>
  <c r="BF7" i="2" s="1"/>
  <c r="BE6" i="2" a="1"/>
  <c r="BE6" i="2"/>
  <c r="BE8" i="2" s="1"/>
  <c r="BD6" i="2" a="1"/>
  <c r="BD6" i="2"/>
  <c r="BD8" i="2" s="1"/>
  <c r="BC6" i="2" a="1"/>
  <c r="BC6" i="2"/>
  <c r="BC8" i="2" s="1"/>
  <c r="BB6" i="2" a="1"/>
  <c r="BB6" i="2"/>
  <c r="BA6" i="2" a="1"/>
  <c r="BA6" i="2"/>
  <c r="AZ6" i="2" a="1"/>
  <c r="AZ6" i="2"/>
  <c r="AZ8" i="2" s="1"/>
  <c r="AY6" i="2" a="1"/>
  <c r="AY6" i="2" s="1"/>
  <c r="AY8" i="2" s="1"/>
  <c r="AX6" i="2" a="1"/>
  <c r="AX6" i="2"/>
  <c r="AW6" i="2" a="1"/>
  <c r="AW6" i="2" s="1"/>
  <c r="AV6" i="2" a="1"/>
  <c r="AV6" i="2"/>
  <c r="AU6" i="2" a="1"/>
  <c r="AU6" i="2" s="1"/>
  <c r="AU7" i="2" s="1"/>
  <c r="AT6" i="2" a="1"/>
  <c r="AT6" i="2"/>
  <c r="AT7" i="2" s="1"/>
  <c r="AS6" i="2" a="1"/>
  <c r="AS6" i="2"/>
  <c r="AR6" i="2" a="1"/>
  <c r="AR6" i="2" s="1"/>
  <c r="AR8" i="2" s="1"/>
  <c r="AQ6" i="2" a="1"/>
  <c r="AQ6" i="2"/>
  <c r="AP6" i="2" a="1"/>
  <c r="AP6" i="2"/>
  <c r="AO6" i="2" a="1"/>
  <c r="AO6" i="2"/>
  <c r="AN6" i="2" a="1"/>
  <c r="AN6" i="2" s="1"/>
  <c r="AM6" i="2" a="1"/>
  <c r="AM6" i="2"/>
  <c r="AM7" i="2" s="1"/>
  <c r="AL6" i="2" a="1"/>
  <c r="AL6" i="2" s="1"/>
  <c r="AL7" i="2" s="1"/>
  <c r="AK6" i="2" a="1"/>
  <c r="AK6" i="2"/>
  <c r="AK7" i="2" s="1"/>
  <c r="AJ6" i="2" a="1"/>
  <c r="AJ6" i="2" s="1"/>
  <c r="AJ7" i="2" s="1"/>
  <c r="AI6" i="2" a="1"/>
  <c r="AI6" i="2"/>
  <c r="AH6" i="2" a="1"/>
  <c r="AH6" i="2"/>
  <c r="AG6" i="2" a="1"/>
  <c r="AG6" i="2"/>
  <c r="AG8" i="2" s="1"/>
  <c r="AF6" i="2" a="1"/>
  <c r="AF6" i="2"/>
  <c r="AF8" i="2" s="1"/>
  <c r="AE6" i="2" a="1"/>
  <c r="AE6" i="2"/>
  <c r="AE8" i="2" s="1"/>
  <c r="AD6" i="2" a="1"/>
  <c r="AD6" i="2"/>
  <c r="AD7" i="2" s="1"/>
  <c r="AC6" i="2" a="1"/>
  <c r="AC6" i="2" s="1"/>
  <c r="AB6" i="2" a="1"/>
  <c r="AB6" i="2"/>
  <c r="AA6" i="2" a="1"/>
  <c r="AA6" i="2"/>
  <c r="AA8" i="2" s="1"/>
  <c r="Z6" i="2" a="1"/>
  <c r="Z6" i="2" s="1"/>
  <c r="Y6" i="2" a="1"/>
  <c r="Y6" i="2"/>
  <c r="X6" i="2" a="1"/>
  <c r="X6" i="2" s="1"/>
  <c r="X8" i="2" s="1"/>
  <c r="W6" i="2" a="1"/>
  <c r="W6" i="2"/>
  <c r="W8" i="2" s="1"/>
  <c r="V6" i="2" a="1"/>
  <c r="V6" i="2" s="1"/>
  <c r="V7" i="2" s="1"/>
  <c r="U6" i="2" a="1"/>
  <c r="U6" i="2"/>
  <c r="T6" i="2" a="1"/>
  <c r="T6" i="2" s="1"/>
  <c r="S6" i="2" a="1"/>
  <c r="S6" i="2"/>
  <c r="S7" i="2" s="1"/>
  <c r="R6" i="2" a="1"/>
  <c r="R6" i="2" s="1"/>
  <c r="R7" i="2" s="1"/>
  <c r="Q6" i="2" a="1"/>
  <c r="Q6" i="2"/>
  <c r="Q7" i="2" s="1"/>
  <c r="P6" i="2" a="1"/>
  <c r="P6" i="2"/>
  <c r="O6" i="2" a="1"/>
  <c r="O6" i="2"/>
  <c r="N6" i="2" a="1"/>
  <c r="N6" i="2"/>
  <c r="M6" i="2" a="1"/>
  <c r="M6" i="2" s="1"/>
  <c r="M8" i="2" s="1"/>
  <c r="L6" i="2" a="1"/>
  <c r="L6" i="2"/>
  <c r="K6" i="2" a="1"/>
  <c r="K6" i="2" s="1"/>
  <c r="K8" i="2" s="1"/>
  <c r="J6" i="2" a="1"/>
  <c r="J6" i="2"/>
  <c r="I6" i="2" a="1"/>
  <c r="I6" i="2"/>
  <c r="I7" i="2" s="1"/>
  <c r="H6" i="2" a="1"/>
  <c r="H6" i="2"/>
  <c r="G6" i="2" a="1"/>
  <c r="G6" i="2" s="1"/>
  <c r="F6" i="2" a="1"/>
  <c r="F6" i="2"/>
  <c r="F8" i="2" s="1"/>
  <c r="E6" i="2" a="1"/>
  <c r="E6" i="2"/>
  <c r="D6" i="2" a="1"/>
  <c r="D6" i="2"/>
  <c r="C6" i="2" a="1"/>
  <c r="C6" i="2" s="1"/>
  <c r="EN25" i="1"/>
  <c r="EM25" i="1"/>
  <c r="EO25" i="1" s="1"/>
  <c r="EN24" i="1"/>
  <c r="EO24" i="1" s="1"/>
  <c r="B24" i="1"/>
  <c r="EN23" i="1"/>
  <c r="EO23" i="1" s="1"/>
  <c r="B23" i="1"/>
  <c r="EN22" i="1"/>
  <c r="EO22" i="1" s="1"/>
  <c r="B22" i="1"/>
  <c r="EO21" i="1"/>
  <c r="EN21" i="1"/>
  <c r="B21" i="1"/>
  <c r="EN20" i="1"/>
  <c r="EO20" i="1" s="1"/>
  <c r="B20" i="1"/>
  <c r="EN19" i="1"/>
  <c r="EO19" i="1" s="1"/>
  <c r="B19" i="1"/>
  <c r="EN18" i="1"/>
  <c r="EO18" i="1" s="1"/>
  <c r="B18" i="1"/>
  <c r="EO17" i="1"/>
  <c r="EN17" i="1"/>
  <c r="B17" i="1"/>
  <c r="EN16" i="1"/>
  <c r="EO16" i="1" s="1"/>
  <c r="B16" i="1"/>
  <c r="EN15" i="1"/>
  <c r="EO15" i="1" s="1"/>
  <c r="B15" i="1"/>
  <c r="EN14" i="1"/>
  <c r="EO14" i="1" s="1"/>
  <c r="B14" i="1"/>
  <c r="EN13" i="1"/>
  <c r="EO13" i="1" s="1"/>
  <c r="B13" i="1"/>
  <c r="EN12" i="1"/>
  <c r="EO12" i="1" s="1"/>
  <c r="B12" i="1"/>
  <c r="EL8" i="1"/>
  <c r="EJ8" i="1"/>
  <c r="EI8" i="1"/>
  <c r="EH8" i="1"/>
  <c r="EE8" i="1"/>
  <c r="ED8" i="1"/>
  <c r="EC8" i="1"/>
  <c r="EB8" i="1"/>
  <c r="EA8" i="1"/>
  <c r="DZ8" i="1"/>
  <c r="DY8" i="1"/>
  <c r="DX8" i="1"/>
  <c r="DL8" i="1"/>
  <c r="DK8" i="1"/>
  <c r="DB8" i="1"/>
  <c r="CZ8" i="1"/>
  <c r="CY8" i="1"/>
  <c r="CX8" i="1"/>
  <c r="CW8" i="1"/>
  <c r="CT8" i="1"/>
  <c r="CN8" i="1"/>
  <c r="CK8" i="1"/>
  <c r="CD8" i="1"/>
  <c r="CC8" i="1"/>
  <c r="CB8" i="1"/>
  <c r="CA8" i="1"/>
  <c r="BZ8" i="1"/>
  <c r="BY8" i="1"/>
  <c r="BX8" i="1"/>
  <c r="BW8" i="1"/>
  <c r="BR8" i="1"/>
  <c r="BL8" i="1"/>
  <c r="BK8" i="1"/>
  <c r="BJ8" i="1"/>
  <c r="BH8" i="1"/>
  <c r="BG8" i="1"/>
  <c r="BF8" i="1"/>
  <c r="BE8" i="1"/>
  <c r="BD8" i="1"/>
  <c r="BC8" i="1"/>
  <c r="BB8" i="1"/>
  <c r="AT8" i="1"/>
  <c r="AQ8" i="1"/>
  <c r="AP8" i="1"/>
  <c r="AH8" i="1"/>
  <c r="AG8" i="1"/>
  <c r="AF8" i="1"/>
  <c r="AE8" i="1"/>
  <c r="AD8" i="1"/>
  <c r="AC8" i="1"/>
  <c r="AB8" i="1"/>
  <c r="AA8" i="1"/>
  <c r="T8" i="1"/>
  <c r="I8" i="1"/>
  <c r="H8" i="1"/>
  <c r="G8" i="1"/>
  <c r="F8" i="1"/>
  <c r="E8" i="1"/>
  <c r="D8" i="1"/>
  <c r="EL7" i="1"/>
  <c r="EK7" i="1"/>
  <c r="EH7" i="1"/>
  <c r="EG7" i="1"/>
  <c r="EE7" i="1"/>
  <c r="ED7" i="1"/>
  <c r="DZ7" i="1"/>
  <c r="DN7" i="1"/>
  <c r="DK7" i="1"/>
  <c r="DI7" i="1"/>
  <c r="DH7" i="1"/>
  <c r="DD7" i="1"/>
  <c r="DA7" i="1"/>
  <c r="CZ7" i="1"/>
  <c r="CV7" i="1"/>
  <c r="CU7" i="1"/>
  <c r="CS7" i="1"/>
  <c r="CR7" i="1"/>
  <c r="CM7" i="1"/>
  <c r="CL7" i="1"/>
  <c r="CD7" i="1"/>
  <c r="CB7" i="1"/>
  <c r="CA7" i="1"/>
  <c r="BZ7" i="1"/>
  <c r="BP7" i="1"/>
  <c r="BO7" i="1"/>
  <c r="BN7" i="1"/>
  <c r="BM7" i="1"/>
  <c r="BL7" i="1"/>
  <c r="BK7" i="1"/>
  <c r="BF7" i="1"/>
  <c r="BE7" i="1"/>
  <c r="BD7" i="1"/>
  <c r="AR7" i="1"/>
  <c r="AQ7" i="1"/>
  <c r="AP7" i="1"/>
  <c r="AO7" i="1"/>
  <c r="AN7" i="1"/>
  <c r="AM7" i="1"/>
  <c r="AL7" i="1"/>
  <c r="AK7" i="1"/>
  <c r="AH7" i="1"/>
  <c r="AG7" i="1"/>
  <c r="AF7" i="1"/>
  <c r="AE7" i="1"/>
  <c r="AD7" i="1"/>
  <c r="S7" i="1"/>
  <c r="I7" i="1"/>
  <c r="H7" i="1"/>
  <c r="G7" i="1"/>
  <c r="E7" i="1"/>
  <c r="C7" i="1"/>
  <c r="EM6" i="1" a="1"/>
  <c r="EM6" i="1" s="1"/>
  <c r="EL6" i="1" a="1"/>
  <c r="EL6" i="1"/>
  <c r="EK6" i="1" a="1"/>
  <c r="EK6" i="1"/>
  <c r="EK8" i="1" s="1"/>
  <c r="EJ6" i="1" a="1"/>
  <c r="EJ6" i="1"/>
  <c r="EJ7" i="1" s="1"/>
  <c r="EI6" i="1" a="1"/>
  <c r="EI6" i="1"/>
  <c r="EI7" i="1" s="1"/>
  <c r="EH6" i="1" a="1"/>
  <c r="EH6" i="1"/>
  <c r="EG6" i="1" a="1"/>
  <c r="EG6" i="1"/>
  <c r="EG8" i="1" s="1"/>
  <c r="EF6" i="1" a="1"/>
  <c r="EF6" i="1"/>
  <c r="EE6" i="1" a="1"/>
  <c r="EE6" i="1"/>
  <c r="ED6" i="1" a="1"/>
  <c r="ED6" i="1" s="1"/>
  <c r="EC6" i="1" a="1"/>
  <c r="EC6" i="1"/>
  <c r="EC7" i="1" s="1"/>
  <c r="EB6" i="1" a="1"/>
  <c r="EB6" i="1" s="1"/>
  <c r="EB7" i="1" s="1"/>
  <c r="EA6" i="1" a="1"/>
  <c r="EA6" i="1"/>
  <c r="EA7" i="1" s="1"/>
  <c r="DZ6" i="1" a="1"/>
  <c r="DZ6" i="1"/>
  <c r="DY6" i="1" a="1"/>
  <c r="DY6" i="1"/>
  <c r="DY7" i="1" s="1"/>
  <c r="DX6" i="1" a="1"/>
  <c r="DX6" i="1"/>
  <c r="DX7" i="1" s="1"/>
  <c r="DW6" i="1" a="1"/>
  <c r="DW6" i="1"/>
  <c r="DV6" i="1" a="1"/>
  <c r="DV6" i="1"/>
  <c r="DV8" i="1" s="1"/>
  <c r="DU6" i="1" a="1"/>
  <c r="DU6" i="1"/>
  <c r="DU8" i="1" s="1"/>
  <c r="DT6" i="1" a="1"/>
  <c r="DT6" i="1"/>
  <c r="DT8" i="1" s="1"/>
  <c r="DS6" i="1" a="1"/>
  <c r="DS6" i="1" s="1"/>
  <c r="DS8" i="1" s="1"/>
  <c r="DR6" i="1" a="1"/>
  <c r="DR6" i="1"/>
  <c r="DR8" i="1" s="1"/>
  <c r="DQ6" i="1" a="1"/>
  <c r="DQ6" i="1" s="1"/>
  <c r="DP6" i="1" a="1"/>
  <c r="DP6" i="1"/>
  <c r="DO6" i="1" a="1"/>
  <c r="DO6" i="1"/>
  <c r="DN6" i="1" a="1"/>
  <c r="DN6" i="1"/>
  <c r="DN8" i="1" s="1"/>
  <c r="DM6" i="1" a="1"/>
  <c r="DM6" i="1"/>
  <c r="DM7" i="1" s="1"/>
  <c r="DL6" i="1" a="1"/>
  <c r="DL6" i="1"/>
  <c r="DL7" i="1" s="1"/>
  <c r="DK6" i="1" a="1"/>
  <c r="DK6" i="1"/>
  <c r="DJ6" i="1" a="1"/>
  <c r="DJ6" i="1"/>
  <c r="DI6" i="1" a="1"/>
  <c r="DI6" i="1"/>
  <c r="DI8" i="1" s="1"/>
  <c r="DH6" i="1" a="1"/>
  <c r="DH6" i="1" s="1"/>
  <c r="DH8" i="1" s="1"/>
  <c r="DG6" i="1" a="1"/>
  <c r="DG6" i="1"/>
  <c r="DG8" i="1" s="1"/>
  <c r="DF6" i="1" a="1"/>
  <c r="DF6" i="1" s="1"/>
  <c r="DF8" i="1" s="1"/>
  <c r="DE6" i="1" a="1"/>
  <c r="DE6" i="1"/>
  <c r="DD6" i="1" a="1"/>
  <c r="DD6" i="1"/>
  <c r="DD8" i="1" s="1"/>
  <c r="DC6" i="1" a="1"/>
  <c r="DC6" i="1"/>
  <c r="DB6" i="1" a="1"/>
  <c r="DB6" i="1"/>
  <c r="DB7" i="1" s="1"/>
  <c r="DA6" i="1" a="1"/>
  <c r="DA6" i="1"/>
  <c r="DA8" i="1" s="1"/>
  <c r="CZ6" i="1" a="1"/>
  <c r="CZ6" i="1"/>
  <c r="CY6" i="1" a="1"/>
  <c r="CY6" i="1"/>
  <c r="CY7" i="1" s="1"/>
  <c r="CX6" i="1" a="1"/>
  <c r="CX6" i="1"/>
  <c r="CX7" i="1" s="1"/>
  <c r="CW6" i="1" a="1"/>
  <c r="CW6" i="1" s="1"/>
  <c r="CW7" i="1" s="1"/>
  <c r="CV6" i="1" a="1"/>
  <c r="CV6" i="1"/>
  <c r="CV8" i="1" s="1"/>
  <c r="CU6" i="1" a="1"/>
  <c r="CU6" i="1" s="1"/>
  <c r="CU8" i="1" s="1"/>
  <c r="CT6" i="1" a="1"/>
  <c r="CT6" i="1"/>
  <c r="CT7" i="1" s="1"/>
  <c r="CS6" i="1" a="1"/>
  <c r="CS6" i="1"/>
  <c r="CS8" i="1" s="1"/>
  <c r="CR6" i="1" a="1"/>
  <c r="CR6" i="1"/>
  <c r="CR8" i="1" s="1"/>
  <c r="CQ6" i="1" a="1"/>
  <c r="CQ6" i="1"/>
  <c r="CP6" i="1" a="1"/>
  <c r="CP6" i="1"/>
  <c r="CP7" i="1" s="1"/>
  <c r="CO6" i="1" a="1"/>
  <c r="CO6" i="1"/>
  <c r="CN6" i="1" a="1"/>
  <c r="CN6" i="1"/>
  <c r="CN7" i="1" s="1"/>
  <c r="CM6" i="1" a="1"/>
  <c r="CM6" i="1"/>
  <c r="CM8" i="1" s="1"/>
  <c r="CL6" i="1" a="1"/>
  <c r="CL6" i="1" s="1"/>
  <c r="CL8" i="1" s="1"/>
  <c r="CK6" i="1" a="1"/>
  <c r="CK6" i="1"/>
  <c r="CK7" i="1" s="1"/>
  <c r="CJ6" i="1" a="1"/>
  <c r="CJ6" i="1" s="1"/>
  <c r="CJ8" i="1" s="1"/>
  <c r="CI6" i="1" a="1"/>
  <c r="CI6" i="1"/>
  <c r="CI8" i="1" s="1"/>
  <c r="CH6" i="1" a="1"/>
  <c r="CH6" i="1"/>
  <c r="CH8" i="1" s="1"/>
  <c r="CG6" i="1" a="1"/>
  <c r="CG6" i="1"/>
  <c r="CF6" i="1" a="1"/>
  <c r="CF6" i="1"/>
  <c r="CE6" i="1" a="1"/>
  <c r="CE6" i="1"/>
  <c r="CD6" i="1" a="1"/>
  <c r="CD6" i="1"/>
  <c r="CC6" i="1" a="1"/>
  <c r="CC6" i="1"/>
  <c r="CC7" i="1" s="1"/>
  <c r="CB6" i="1" a="1"/>
  <c r="CB6" i="1"/>
  <c r="CA6" i="1" a="1"/>
  <c r="CA6" i="1" s="1"/>
  <c r="BZ6" i="1" a="1"/>
  <c r="BZ6" i="1"/>
  <c r="BY6" i="1" a="1"/>
  <c r="BY6" i="1" s="1"/>
  <c r="BY7" i="1" s="1"/>
  <c r="BX6" i="1" a="1"/>
  <c r="BX6" i="1"/>
  <c r="BX7" i="1" s="1"/>
  <c r="BW6" i="1" a="1"/>
  <c r="BW6" i="1"/>
  <c r="BW7" i="1" s="1"/>
  <c r="BV6" i="1" a="1"/>
  <c r="BV6" i="1"/>
  <c r="BU6" i="1" a="1"/>
  <c r="BU6" i="1"/>
  <c r="BT6" i="1" a="1"/>
  <c r="BT6" i="1"/>
  <c r="BT8" i="1" s="1"/>
  <c r="BS6" i="1" a="1"/>
  <c r="BS6" i="1"/>
  <c r="BR6" i="1" a="1"/>
  <c r="BR6" i="1"/>
  <c r="BR7" i="1" s="1"/>
  <c r="BQ6" i="1" a="1"/>
  <c r="BQ6" i="1"/>
  <c r="BP6" i="1" a="1"/>
  <c r="BP6" i="1" s="1"/>
  <c r="BP8" i="1" s="1"/>
  <c r="BO6" i="1" a="1"/>
  <c r="BO6" i="1"/>
  <c r="BO8" i="1" s="1"/>
  <c r="BN6" i="1" a="1"/>
  <c r="BN6" i="1" s="1"/>
  <c r="BN8" i="1" s="1"/>
  <c r="BM6" i="1" a="1"/>
  <c r="BM6" i="1"/>
  <c r="BM8" i="1" s="1"/>
  <c r="BL6" i="1" a="1"/>
  <c r="BL6" i="1"/>
  <c r="BK6" i="1" a="1"/>
  <c r="BK6" i="1"/>
  <c r="BJ6" i="1" a="1"/>
  <c r="BJ6" i="1"/>
  <c r="BJ7" i="1" s="1"/>
  <c r="BI6" i="1" a="1"/>
  <c r="BI6" i="1"/>
  <c r="BH6" i="1" a="1"/>
  <c r="BH6" i="1"/>
  <c r="BH7" i="1" s="1"/>
  <c r="BG6" i="1" a="1"/>
  <c r="BG6" i="1"/>
  <c r="BG7" i="1" s="1"/>
  <c r="BF6" i="1" a="1"/>
  <c r="BF6" i="1"/>
  <c r="BE6" i="1" a="1"/>
  <c r="BE6" i="1" s="1"/>
  <c r="BD6" i="1" a="1"/>
  <c r="BD6" i="1"/>
  <c r="BC6" i="1" a="1"/>
  <c r="BC6" i="1" s="1"/>
  <c r="BC7" i="1" s="1"/>
  <c r="BB6" i="1" a="1"/>
  <c r="BB6" i="1"/>
  <c r="BB7" i="1" s="1"/>
  <c r="BA6" i="1" a="1"/>
  <c r="BA6" i="1"/>
  <c r="BA8" i="1" s="1"/>
  <c r="AZ6" i="1" a="1"/>
  <c r="AZ6" i="1"/>
  <c r="AZ7" i="1" s="1"/>
  <c r="AY6" i="1" a="1"/>
  <c r="AY6" i="1"/>
  <c r="AY7" i="1" s="1"/>
  <c r="AX6" i="1" a="1"/>
  <c r="AX6" i="1"/>
  <c r="AX7" i="1" s="1"/>
  <c r="AW6" i="1" a="1"/>
  <c r="AW6" i="1"/>
  <c r="AV6" i="1" a="1"/>
  <c r="AV6" i="1"/>
  <c r="AU6" i="1" a="1"/>
  <c r="AU6" i="1"/>
  <c r="AT6" i="1" a="1"/>
  <c r="AT6" i="1" s="1"/>
  <c r="AT7" i="1" s="1"/>
  <c r="AS6" i="1" a="1"/>
  <c r="AS6" i="1"/>
  <c r="AR6" i="1" a="1"/>
  <c r="AR6" i="1" s="1"/>
  <c r="AR8" i="1" s="1"/>
  <c r="AQ6" i="1" a="1"/>
  <c r="AQ6" i="1"/>
  <c r="AP6" i="1" a="1"/>
  <c r="AP6" i="1"/>
  <c r="AO6" i="1" a="1"/>
  <c r="AO6" i="1"/>
  <c r="AO8" i="1" s="1"/>
  <c r="AN6" i="1" a="1"/>
  <c r="AN6" i="1"/>
  <c r="AN8" i="1" s="1"/>
  <c r="AM6" i="1" a="1"/>
  <c r="AM6" i="1"/>
  <c r="AM8" i="1" s="1"/>
  <c r="AL6" i="1" a="1"/>
  <c r="AL6" i="1"/>
  <c r="AL8" i="1" s="1"/>
  <c r="AK6" i="1" a="1"/>
  <c r="AK6" i="1"/>
  <c r="AK8" i="1" s="1"/>
  <c r="AJ6" i="1" a="1"/>
  <c r="AJ6" i="1"/>
  <c r="AJ8" i="1" s="1"/>
  <c r="AI6" i="1" a="1"/>
  <c r="AI6" i="1" s="1"/>
  <c r="AI8" i="1" s="1"/>
  <c r="AH6" i="1" a="1"/>
  <c r="AH6" i="1"/>
  <c r="AG6" i="1" a="1"/>
  <c r="AG6" i="1" s="1"/>
  <c r="AF6" i="1" a="1"/>
  <c r="AF6" i="1"/>
  <c r="AE6" i="1" a="1"/>
  <c r="AE6" i="1"/>
  <c r="AD6" i="1" a="1"/>
  <c r="AD6" i="1"/>
  <c r="AC6" i="1" a="1"/>
  <c r="AC6" i="1"/>
  <c r="AC7" i="1" s="1"/>
  <c r="AB6" i="1" a="1"/>
  <c r="AB6" i="1"/>
  <c r="AB7" i="1" s="1"/>
  <c r="AA6" i="1" a="1"/>
  <c r="AA6" i="1"/>
  <c r="AA7" i="1" s="1"/>
  <c r="Z6" i="1" a="1"/>
  <c r="Z6" i="1"/>
  <c r="Y6" i="1" a="1"/>
  <c r="Y6" i="1"/>
  <c r="X6" i="1" a="1"/>
  <c r="X6" i="1" s="1"/>
  <c r="W6" i="1" a="1"/>
  <c r="W6" i="1"/>
  <c r="V6" i="1" a="1"/>
  <c r="V6" i="1" s="1"/>
  <c r="U6" i="1" a="1"/>
  <c r="U6" i="1"/>
  <c r="U8" i="1" s="1"/>
  <c r="T6" i="1" a="1"/>
  <c r="T6" i="1"/>
  <c r="T7" i="1" s="1"/>
  <c r="S6" i="1" a="1"/>
  <c r="S6" i="1"/>
  <c r="S8" i="1" s="1"/>
  <c r="R6" i="1" a="1"/>
  <c r="R6" i="1"/>
  <c r="R8" i="1" s="1"/>
  <c r="Q6" i="1" a="1"/>
  <c r="Q6" i="1"/>
  <c r="Q8" i="1" s="1"/>
  <c r="P6" i="1" a="1"/>
  <c r="P6" i="1"/>
  <c r="P7" i="1" s="1"/>
  <c r="O6" i="1" a="1"/>
  <c r="O6" i="1"/>
  <c r="O7" i="1" s="1"/>
  <c r="N6" i="1" a="1"/>
  <c r="N6" i="1"/>
  <c r="N8" i="1" s="1"/>
  <c r="M6" i="1" a="1"/>
  <c r="M6" i="1" s="1"/>
  <c r="M8" i="1" s="1"/>
  <c r="L6" i="1" a="1"/>
  <c r="L6" i="1"/>
  <c r="K6" i="1" a="1"/>
  <c r="K6" i="1" s="1"/>
  <c r="J6" i="1" a="1"/>
  <c r="J6" i="1"/>
  <c r="I6" i="1" a="1"/>
  <c r="I6" i="1"/>
  <c r="H6" i="1" a="1"/>
  <c r="H6" i="1"/>
  <c r="G6" i="1" a="1"/>
  <c r="G6" i="1"/>
  <c r="F6" i="1" a="1"/>
  <c r="F6" i="1"/>
  <c r="F7" i="1" s="1"/>
  <c r="E6" i="1" a="1"/>
  <c r="E6" i="1"/>
  <c r="D6" i="1" a="1"/>
  <c r="D6" i="1"/>
  <c r="D7" i="1" s="1"/>
  <c r="C6" i="1" a="1"/>
  <c r="C6" i="1"/>
  <c r="C8" i="1" s="1"/>
  <c r="BX7" i="2" l="1"/>
  <c r="BX8" i="2"/>
  <c r="BZ7" i="2"/>
  <c r="BZ8" i="2"/>
  <c r="AB8" i="2"/>
  <c r="AB7" i="2"/>
  <c r="BB7" i="2"/>
  <c r="BB8" i="2"/>
  <c r="DD8" i="3"/>
  <c r="DD7" i="3"/>
  <c r="O7" i="2"/>
  <c r="O8" i="2"/>
  <c r="DR7" i="3"/>
  <c r="DR8" i="3"/>
  <c r="AC8" i="2"/>
  <c r="AC7" i="2"/>
  <c r="AP7" i="2"/>
  <c r="AP8" i="2"/>
  <c r="EM8" i="2"/>
  <c r="EM7" i="2"/>
  <c r="EF8" i="3"/>
  <c r="EF7" i="3"/>
  <c r="CQ7" i="3"/>
  <c r="DM7" i="4"/>
  <c r="DM8" i="4"/>
  <c r="C8" i="2"/>
  <c r="C7" i="2"/>
  <c r="P7" i="2"/>
  <c r="P8" i="2"/>
  <c r="BS8" i="3"/>
  <c r="BS7" i="3"/>
  <c r="CF8" i="3"/>
  <c r="CF7" i="3"/>
  <c r="DF8" i="3"/>
  <c r="DF7" i="3"/>
  <c r="DS7" i="3"/>
  <c r="DS8" i="3"/>
  <c r="D8" i="2"/>
  <c r="D7" i="2"/>
  <c r="F8" i="3"/>
  <c r="F7" i="3"/>
  <c r="BG8" i="3"/>
  <c r="BG7" i="3"/>
  <c r="CT7" i="3"/>
  <c r="CT8" i="3"/>
  <c r="DG8" i="3"/>
  <c r="DG7" i="3"/>
  <c r="DT7" i="3"/>
  <c r="DT8" i="3"/>
  <c r="DO7" i="4"/>
  <c r="DO8" i="4"/>
  <c r="EB7" i="4"/>
  <c r="EB8" i="4"/>
  <c r="E8" i="2"/>
  <c r="E7" i="2"/>
  <c r="G7" i="3"/>
  <c r="G8" i="3"/>
  <c r="AF7" i="3"/>
  <c r="AF8" i="3"/>
  <c r="CU7" i="3"/>
  <c r="CU8" i="3"/>
  <c r="BN8" i="2"/>
  <c r="AG8" i="3"/>
  <c r="AG7" i="3"/>
  <c r="AU7" i="3"/>
  <c r="AU8" i="3"/>
  <c r="S8" i="3"/>
  <c r="EC8" i="4"/>
  <c r="EC7" i="4"/>
  <c r="J7" i="1"/>
  <c r="J8" i="1"/>
  <c r="EM8" i="1"/>
  <c r="EM7" i="1"/>
  <c r="H8" i="3"/>
  <c r="H7" i="3"/>
  <c r="CI7" i="3"/>
  <c r="CI8" i="3"/>
  <c r="V8" i="4"/>
  <c r="V7" i="4"/>
  <c r="BM7" i="4"/>
  <c r="BM8" i="4"/>
  <c r="W7" i="1"/>
  <c r="W8" i="1"/>
  <c r="AM8" i="4"/>
  <c r="AM7" i="4"/>
  <c r="CN8" i="4"/>
  <c r="CN7" i="4"/>
  <c r="K7" i="1"/>
  <c r="K8" i="1"/>
  <c r="CF7" i="1"/>
  <c r="CF8" i="1"/>
  <c r="AI8" i="3"/>
  <c r="AI7" i="3"/>
  <c r="W8" i="4"/>
  <c r="W7" i="4"/>
  <c r="CO7" i="4"/>
  <c r="CO8" i="4"/>
  <c r="L8" i="1"/>
  <c r="L7" i="1"/>
  <c r="DT7" i="2"/>
  <c r="DT8" i="2"/>
  <c r="EF7" i="2"/>
  <c r="EF8" i="2"/>
  <c r="AW8" i="1"/>
  <c r="AW7" i="1"/>
  <c r="BI8" i="1"/>
  <c r="BI7" i="1"/>
  <c r="BU8" i="1"/>
  <c r="BU7" i="1"/>
  <c r="DQ7" i="1"/>
  <c r="DQ8" i="1"/>
  <c r="CH7" i="2"/>
  <c r="CH8" i="2"/>
  <c r="DI7" i="2"/>
  <c r="DI8" i="2"/>
  <c r="EM19" i="2"/>
  <c r="EN19" i="2" s="1"/>
  <c r="Y8" i="4"/>
  <c r="Y7" i="4"/>
  <c r="BB8" i="4"/>
  <c r="BB7" i="4"/>
  <c r="BO8" i="4"/>
  <c r="BO7" i="4"/>
  <c r="CP7" i="4"/>
  <c r="CP8" i="4"/>
  <c r="DC8" i="4"/>
  <c r="CV7" i="2"/>
  <c r="CV8" i="2"/>
  <c r="DU7" i="2"/>
  <c r="DU8" i="2"/>
  <c r="EG8" i="2"/>
  <c r="EG7" i="2"/>
  <c r="Z7" i="4"/>
  <c r="Z8" i="4"/>
  <c r="BP8" i="4"/>
  <c r="BP7" i="4"/>
  <c r="CD7" i="4"/>
  <c r="CD8" i="4"/>
  <c r="DD8" i="4"/>
  <c r="CW8" i="2"/>
  <c r="CW7" i="2"/>
  <c r="CT7" i="2"/>
  <c r="EM14" i="2"/>
  <c r="EN14" i="2" s="1"/>
  <c r="EM24" i="2"/>
  <c r="EN24" i="2" s="1"/>
  <c r="L8" i="4"/>
  <c r="L7" i="4"/>
  <c r="AA7" i="4"/>
  <c r="AA8" i="4"/>
  <c r="BC8" i="4"/>
  <c r="BC7" i="4"/>
  <c r="CJ8" i="2"/>
  <c r="CJ7" i="2"/>
  <c r="CK7" i="2"/>
  <c r="CK8" i="2"/>
  <c r="CX7" i="2"/>
  <c r="CX8" i="2"/>
  <c r="AZ7" i="2"/>
  <c r="AD8" i="2"/>
  <c r="EA7" i="3"/>
  <c r="EA8" i="3"/>
  <c r="I7" i="3"/>
  <c r="EC7" i="3"/>
  <c r="BT7" i="1"/>
  <c r="BK8" i="2"/>
  <c r="BK7" i="2"/>
  <c r="BC7" i="2"/>
  <c r="ED7" i="3"/>
  <c r="AO7" i="2"/>
  <c r="AO8" i="2"/>
  <c r="DQ7" i="3"/>
  <c r="DQ8" i="3"/>
  <c r="EE8" i="3"/>
  <c r="EE7" i="3"/>
  <c r="CR8" i="3"/>
  <c r="CR7" i="3"/>
  <c r="BT8" i="3"/>
  <c r="BT7" i="3"/>
  <c r="AT7" i="3"/>
  <c r="AT8" i="3"/>
  <c r="BU7" i="3"/>
  <c r="BU8" i="3"/>
  <c r="BH8" i="3"/>
  <c r="BH7" i="3"/>
  <c r="V8" i="1"/>
  <c r="V7" i="1"/>
  <c r="AU7" i="1"/>
  <c r="AU8" i="1"/>
  <c r="BS7" i="1"/>
  <c r="BS8" i="1"/>
  <c r="CE8" i="1"/>
  <c r="CE7" i="1"/>
  <c r="CQ8" i="1"/>
  <c r="CQ7" i="1"/>
  <c r="DC7" i="1"/>
  <c r="DC8" i="1"/>
  <c r="DO7" i="1"/>
  <c r="DO8" i="1"/>
  <c r="AY8" i="4"/>
  <c r="AY7" i="4"/>
  <c r="CA8" i="4"/>
  <c r="CA7" i="4"/>
  <c r="DQ7" i="4"/>
  <c r="DQ8" i="4"/>
  <c r="AH8" i="3"/>
  <c r="AH7" i="3"/>
  <c r="U8" i="3"/>
  <c r="AV7" i="1"/>
  <c r="AV8" i="1"/>
  <c r="DP8" i="1"/>
  <c r="DP7" i="1"/>
  <c r="J8" i="4"/>
  <c r="J7" i="4"/>
  <c r="BN7" i="4"/>
  <c r="BN8" i="4"/>
  <c r="X7" i="1"/>
  <c r="X8" i="1"/>
  <c r="DH7" i="2"/>
  <c r="DH8" i="2"/>
  <c r="X7" i="4"/>
  <c r="X8" i="4"/>
  <c r="AN8" i="4"/>
  <c r="AN7" i="4"/>
  <c r="BA7" i="4"/>
  <c r="BA8" i="4"/>
  <c r="EE8" i="4"/>
  <c r="EE7" i="4"/>
  <c r="DB8" i="4"/>
  <c r="Y8" i="1"/>
  <c r="Y7" i="1"/>
  <c r="CG8" i="1"/>
  <c r="CG7" i="1"/>
  <c r="DE8" i="1"/>
  <c r="DE7" i="1"/>
  <c r="BL8" i="2"/>
  <c r="BL7" i="2"/>
  <c r="CL7" i="2"/>
  <c r="CL8" i="2"/>
  <c r="AZ8" i="4"/>
  <c r="CG7" i="3"/>
  <c r="AI7" i="1"/>
  <c r="BA7" i="2"/>
  <c r="BA8" i="2"/>
  <c r="BM7" i="2"/>
  <c r="BM8" i="2"/>
  <c r="CO7" i="3"/>
  <c r="CO8" i="3"/>
  <c r="AJ7" i="1"/>
  <c r="N7" i="2"/>
  <c r="N8" i="2"/>
  <c r="AN8" i="2"/>
  <c r="AN7" i="2"/>
  <c r="AL8" i="2"/>
  <c r="DC8" i="3"/>
  <c r="DC7" i="3"/>
  <c r="DP7" i="4"/>
  <c r="BV7" i="2"/>
  <c r="EM13" i="2"/>
  <c r="EN13" i="2" s="1"/>
  <c r="EM20" i="2"/>
  <c r="EN20" i="2" s="1"/>
  <c r="BK8" i="4"/>
  <c r="EF8" i="4"/>
  <c r="Q7" i="1"/>
  <c r="CH7" i="1"/>
  <c r="AX8" i="1"/>
  <c r="DO7" i="2"/>
  <c r="BB8" i="3"/>
  <c r="BB7" i="3"/>
  <c r="BR7" i="3"/>
  <c r="DW8" i="1"/>
  <c r="DW7" i="1"/>
  <c r="R7" i="1"/>
  <c r="CI7" i="1"/>
  <c r="DR7" i="1"/>
  <c r="O8" i="1"/>
  <c r="AY8" i="1"/>
  <c r="AV8" i="2"/>
  <c r="AV7" i="2"/>
  <c r="DP7" i="2"/>
  <c r="AO7" i="3"/>
  <c r="AO8" i="3"/>
  <c r="AJ7" i="3"/>
  <c r="BW7" i="3"/>
  <c r="CJ8" i="3"/>
  <c r="BW7" i="4"/>
  <c r="BW8" i="4"/>
  <c r="CJ7" i="1"/>
  <c r="DS7" i="1"/>
  <c r="P8" i="1"/>
  <c r="AZ8" i="1"/>
  <c r="DM8" i="1"/>
  <c r="DQ7" i="2"/>
  <c r="AK7" i="3"/>
  <c r="BX7" i="3"/>
  <c r="AX8" i="3"/>
  <c r="CZ7" i="4"/>
  <c r="AP8" i="4"/>
  <c r="AP7" i="4"/>
  <c r="BQ8" i="4"/>
  <c r="BQ7" i="4"/>
  <c r="CE8" i="4"/>
  <c r="CE7" i="4"/>
  <c r="DS7" i="4"/>
  <c r="DS8" i="4"/>
  <c r="Z7" i="1"/>
  <c r="Z8" i="1"/>
  <c r="DF7" i="1"/>
  <c r="CB8" i="2"/>
  <c r="DG7" i="1"/>
  <c r="EM17" i="2"/>
  <c r="EN17" i="2" s="1"/>
  <c r="AQ8" i="4"/>
  <c r="AQ7" i="4"/>
  <c r="AC7" i="4"/>
  <c r="EF7" i="1"/>
  <c r="EF8" i="1"/>
  <c r="BQ7" i="2"/>
  <c r="BQ8" i="2"/>
  <c r="M7" i="1"/>
  <c r="EM22" i="2"/>
  <c r="EN22" i="2" s="1"/>
  <c r="O7" i="4"/>
  <c r="O8" i="4"/>
  <c r="N7" i="1"/>
  <c r="U7" i="2"/>
  <c r="U8" i="2"/>
  <c r="Z8" i="3"/>
  <c r="Z7" i="3"/>
  <c r="BN7" i="3"/>
  <c r="AS8" i="4"/>
  <c r="AS7" i="4"/>
  <c r="BA7" i="1"/>
  <c r="BG7" i="2"/>
  <c r="BG8" i="2"/>
  <c r="DT7" i="1"/>
  <c r="AW8" i="2"/>
  <c r="AW7" i="2"/>
  <c r="F7" i="2"/>
  <c r="DR7" i="2"/>
  <c r="ED8" i="2"/>
  <c r="EM18" i="2"/>
  <c r="EN18" i="2" s="1"/>
  <c r="AL7" i="3"/>
  <c r="BV8" i="1"/>
  <c r="BV7" i="1"/>
  <c r="DH8" i="3"/>
  <c r="DH7" i="3"/>
  <c r="M8" i="4"/>
  <c r="M7" i="4"/>
  <c r="BR7" i="4"/>
  <c r="BR8" i="4"/>
  <c r="AE7" i="2"/>
  <c r="BP7" i="2"/>
  <c r="AD7" i="4"/>
  <c r="AD8" i="4"/>
  <c r="AS7" i="2"/>
  <c r="AS8" i="2"/>
  <c r="EL7" i="2"/>
  <c r="EL8" i="2"/>
  <c r="T8" i="2"/>
  <c r="T7" i="2"/>
  <c r="AG7" i="2"/>
  <c r="EM15" i="2"/>
  <c r="EN15" i="2" s="1"/>
  <c r="BZ8" i="3"/>
  <c r="CU8" i="4"/>
  <c r="CU7" i="4"/>
  <c r="DJ7" i="1"/>
  <c r="DJ8" i="1"/>
  <c r="CF7" i="2"/>
  <c r="CF8" i="2"/>
  <c r="Q8" i="2"/>
  <c r="DU7" i="1"/>
  <c r="Y8" i="2"/>
  <c r="Y7" i="2"/>
  <c r="AX8" i="2"/>
  <c r="AX7" i="2"/>
  <c r="DG7" i="2"/>
  <c r="DG8" i="2"/>
  <c r="AR7" i="2"/>
  <c r="R8" i="2"/>
  <c r="D7" i="3"/>
  <c r="D8" i="3"/>
  <c r="T7" i="4"/>
  <c r="T8" i="4"/>
  <c r="BD7" i="4"/>
  <c r="BQ7" i="1"/>
  <c r="BQ8" i="1"/>
  <c r="CO7" i="1"/>
  <c r="CO8" i="1"/>
  <c r="DV7" i="1"/>
  <c r="CI7" i="2"/>
  <c r="EM23" i="2"/>
  <c r="EN23" i="2" s="1"/>
  <c r="DO8" i="3"/>
  <c r="DO7" i="3"/>
  <c r="DU7" i="3"/>
  <c r="BZ8" i="4"/>
  <c r="BZ7" i="4"/>
  <c r="AS8" i="1"/>
  <c r="AS7" i="1"/>
  <c r="Z7" i="2"/>
  <c r="Z8" i="2"/>
  <c r="AY7" i="2"/>
  <c r="V8" i="2"/>
  <c r="EM16" i="2"/>
  <c r="EN16" i="2" s="1"/>
  <c r="AD8" i="3"/>
  <c r="AD7" i="3"/>
  <c r="DP8" i="3"/>
  <c r="DP7" i="3"/>
  <c r="EH8" i="2"/>
  <c r="EH7" i="2"/>
  <c r="BM8" i="3"/>
  <c r="DG8" i="4"/>
  <c r="DG7" i="4"/>
  <c r="CP8" i="1"/>
  <c r="AR8" i="4"/>
  <c r="AR7" i="4"/>
  <c r="BS7" i="4"/>
  <c r="BS8" i="4"/>
  <c r="CT7" i="4"/>
  <c r="CT8" i="4"/>
  <c r="DT7" i="4"/>
  <c r="DT8" i="4"/>
  <c r="U7" i="1"/>
  <c r="DU8" i="4"/>
  <c r="DU7" i="4"/>
  <c r="F7" i="4"/>
  <c r="F8" i="4"/>
  <c r="CH7" i="4"/>
  <c r="CH8" i="4"/>
  <c r="DV7" i="4"/>
  <c r="DV8" i="4"/>
  <c r="EI7" i="4"/>
  <c r="EI8" i="4"/>
  <c r="CO8" i="2"/>
  <c r="CO7" i="2"/>
  <c r="EM21" i="2"/>
  <c r="EN21" i="2" s="1"/>
  <c r="AC7" i="3"/>
  <c r="CF7" i="4"/>
  <c r="DW7" i="4"/>
  <c r="CP8" i="2"/>
  <c r="CP7" i="2"/>
  <c r="AP8" i="3"/>
  <c r="AE8" i="4"/>
  <c r="DN8" i="2"/>
  <c r="EH8" i="4"/>
  <c r="EH7" i="4"/>
  <c r="AU7" i="4"/>
  <c r="AU8" i="4"/>
  <c r="K7" i="4"/>
  <c r="K8" i="4"/>
  <c r="BY8" i="4"/>
  <c r="BY7" i="4"/>
  <c r="AL8" i="4"/>
  <c r="AL7" i="4"/>
  <c r="AO8" i="4"/>
  <c r="AO7" i="4"/>
  <c r="C7" i="4"/>
  <c r="CS8" i="4"/>
</calcChain>
</file>

<file path=xl/sharedStrings.xml><?xml version="1.0" encoding="utf-8"?>
<sst xmlns="http://schemas.openxmlformats.org/spreadsheetml/2006/main" count="1739" uniqueCount="303">
  <si>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</si>
  <si>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</si>
  <si>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</si>
  <si>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</si>
  <si>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</si>
  <si>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</si>
  <si>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</si>
  <si>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</si>
  <si>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</si>
  <si>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</si>
  <si>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</si>
  <si>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</si>
  <si>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</si>
  <si>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</si>
  <si>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</si>
  <si>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</si>
  <si>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</si>
  <si>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</si>
  <si>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</si>
  <si>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</si>
  <si>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</si>
  <si>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</si>
  <si>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</si>
  <si>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</si>
  <si>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</si>
  <si>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</si>
  <si>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</si>
  <si>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</si>
  <si>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</si>
  <si>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</si>
  <si>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</si>
  <si>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</si>
  <si>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</si>
  <si>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</si>
  <si>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</si>
  <si>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</si>
  <si>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</si>
  <si>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</si>
  <si>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</si>
  <si>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</si>
  <si>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</si>
  <si>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</si>
  <si>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</si>
  <si>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</si>
  <si>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</si>
  <si>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</si>
  <si>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</si>
  <si>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</si>
  <si>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</si>
  <si>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</si>
  <si>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</si>
  <si>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</si>
  <si>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</si>
  <si>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</si>
  <si>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</si>
  <si>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</si>
  <si>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</si>
  <si>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</si>
  <si>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</si>
  <si>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</si>
  <si>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</si>
  <si>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</si>
  <si>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</si>
  <si>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</si>
  <si>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</si>
  <si>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</si>
  <si>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</si>
  <si>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</si>
  <si>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</si>
  <si>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</si>
  <si>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</si>
  <si>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</si>
  <si>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</si>
  <si>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</si>
  <si>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</si>
  <si>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</si>
  <si>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</si>
  <si>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</si>
  <si>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</si>
  <si>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</si>
  <si>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</si>
  <si>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</si>
  <si>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</si>
  <si>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</si>
  <si>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</si>
  <si>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</si>
  <si>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</si>
  <si>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</si>
  <si>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</si>
  <si>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</si>
  <si>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</si>
  <si>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</si>
  <si>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</si>
  <si>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</si>
  <si>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</si>
  <si>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</si>
  <si>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</si>
  <si>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</si>
  <si>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</si>
  <si>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</si>
  <si>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</si>
  <si>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</si>
  <si>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</si>
  <si>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</si>
  <si>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</si>
  <si>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</si>
  <si>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</si>
  <si>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</si>
  <si>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</si>
  <si>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</si>
  <si>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</si>
  <si>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</si>
  <si>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</si>
  <si>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</si>
  <si>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</si>
  <si>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</si>
  <si>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</si>
  <si>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</si>
  <si>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</si>
  <si>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</si>
  <si>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</si>
  <si>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</si>
  <si>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</si>
  <si>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</si>
  <si>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</si>
  <si>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</si>
  <si>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</si>
  <si>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</si>
  <si>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</si>
  <si>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</si>
  <si>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</si>
  <si>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</si>
  <si>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</si>
  <si>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</si>
  <si>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</si>
  <si>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</si>
  <si>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</si>
  <si>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</si>
  <si>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</si>
  <si>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</si>
  <si>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</si>
  <si>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</si>
  <si>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</si>
  <si>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</si>
  <si>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</si>
  <si>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</si>
  <si>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</si>
  <si>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</si>
  <si>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</si>
  <si>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</si>
  <si>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</si>
  <si>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</si>
  <si>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</si>
  <si>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</si>
  <si>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</si>
  <si>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</si>
  <si>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低</t>
  </si>
  <si>
    <t>5455</t>
  </si>
  <si>
    <t>8097</t>
  </si>
  <si>
    <t>6130</t>
  </si>
  <si>
    <t>6114</t>
  </si>
  <si>
    <t>6291</t>
  </si>
  <si>
    <t>5324</t>
  </si>
  <si>
    <t>3176</t>
  </si>
  <si>
    <t>6225</t>
  </si>
  <si>
    <t>2388</t>
  </si>
  <si>
    <t>8044</t>
  </si>
  <si>
    <t>3205</t>
  </si>
  <si>
    <t>6259</t>
  </si>
  <si>
    <t>3272</t>
  </si>
  <si>
    <t>3095</t>
  </si>
  <si>
    <t>3064</t>
  </si>
  <si>
    <t>4903</t>
  </si>
  <si>
    <t>6165</t>
  </si>
  <si>
    <t>4303</t>
  </si>
  <si>
    <t>1475</t>
  </si>
  <si>
    <t>5310</t>
  </si>
  <si>
    <t>5348</t>
  </si>
  <si>
    <t>5475</t>
  </si>
  <si>
    <t>4304</t>
  </si>
  <si>
    <t>8070</t>
  </si>
  <si>
    <t>3228</t>
  </si>
  <si>
    <t>3191</t>
  </si>
  <si>
    <t>9103</t>
  </si>
  <si>
    <t>3138</t>
  </si>
  <si>
    <t>6276</t>
  </si>
  <si>
    <t>1538</t>
  </si>
  <si>
    <t>5314</t>
  </si>
  <si>
    <t>2007</t>
  </si>
  <si>
    <t>2486</t>
  </si>
  <si>
    <t>2321</t>
  </si>
  <si>
    <t>8067</t>
  </si>
  <si>
    <t>3093</t>
  </si>
  <si>
    <t>3443</t>
  </si>
  <si>
    <t>8933</t>
  </si>
  <si>
    <t>5345</t>
  </si>
  <si>
    <t>1519</t>
  </si>
  <si>
    <t>3308</t>
  </si>
  <si>
    <t>1101</t>
  </si>
  <si>
    <t>公司名稱</t>
  </si>
  <si>
    <t>昇益</t>
  </si>
  <si>
    <t>常珵</t>
  </si>
  <si>
    <t>上亞科技</t>
  </si>
  <si>
    <t>久威</t>
  </si>
  <si>
    <t>沛亨</t>
  </si>
  <si>
    <t>士開</t>
  </si>
  <si>
    <t>基亞</t>
  </si>
  <si>
    <t>天瀚</t>
  </si>
  <si>
    <t>威盛</t>
  </si>
  <si>
    <t>網家</t>
  </si>
  <si>
    <t>佰研</t>
  </si>
  <si>
    <t>百徽</t>
  </si>
  <si>
    <t>東碩</t>
  </si>
  <si>
    <t>及成</t>
  </si>
  <si>
    <t>泰偉</t>
  </si>
  <si>
    <t>聯光通</t>
  </si>
  <si>
    <t>浪凡</t>
  </si>
  <si>
    <t>信立</t>
  </si>
  <si>
    <t>業旺</t>
  </si>
  <si>
    <t>天剛</t>
  </si>
  <si>
    <t>正能量智能</t>
  </si>
  <si>
    <t>德宏</t>
  </si>
  <si>
    <t>勝昱</t>
  </si>
  <si>
    <t>長華*</t>
  </si>
  <si>
    <t>金麗科</t>
  </si>
  <si>
    <t>雲嘉南</t>
  </si>
  <si>
    <t>美德醫療-DR</t>
  </si>
  <si>
    <t>耀登</t>
  </si>
  <si>
    <t>安鈦克</t>
  </si>
  <si>
    <t>正峰</t>
  </si>
  <si>
    <t>世紀*</t>
  </si>
  <si>
    <t>燁興</t>
  </si>
  <si>
    <t>一詮</t>
  </si>
  <si>
    <t>東訊</t>
  </si>
  <si>
    <t>志旭</t>
  </si>
  <si>
    <t>港建*</t>
  </si>
  <si>
    <t>創意</t>
  </si>
  <si>
    <t>愛地雅</t>
  </si>
  <si>
    <t>馥鴻</t>
  </si>
  <si>
    <t>華城</t>
  </si>
  <si>
    <t>聯德</t>
  </si>
  <si>
    <t>台泥</t>
  </si>
  <si>
    <t>高</t>
  </si>
  <si>
    <t>2330</t>
  </si>
  <si>
    <t>5364</t>
  </si>
  <si>
    <t>2323</t>
  </si>
  <si>
    <t>2408</t>
  </si>
  <si>
    <t>4502</t>
  </si>
  <si>
    <t>6283</t>
  </si>
  <si>
    <t>6246</t>
  </si>
  <si>
    <t>2496</t>
  </si>
  <si>
    <t>2337</t>
  </si>
  <si>
    <t>3252</t>
  </si>
  <si>
    <t>6150</t>
  </si>
  <si>
    <t>1906</t>
  </si>
  <si>
    <t>2342</t>
  </si>
  <si>
    <t>9958</t>
  </si>
  <si>
    <t>1529</t>
  </si>
  <si>
    <t>8085</t>
  </si>
  <si>
    <t>5340</t>
  </si>
  <si>
    <t>5608</t>
  </si>
  <si>
    <t>1325</t>
  </si>
  <si>
    <t>1314</t>
  </si>
  <si>
    <t>2609</t>
  </si>
  <si>
    <t>2364</t>
  </si>
  <si>
    <t>1312</t>
  </si>
  <si>
    <t>3043</t>
  </si>
  <si>
    <t>2603</t>
  </si>
  <si>
    <t>6103</t>
  </si>
  <si>
    <t>6228</t>
  </si>
  <si>
    <t>6144</t>
  </si>
  <si>
    <t>9962</t>
  </si>
  <si>
    <t>台積電</t>
  </si>
  <si>
    <t>力麗店</t>
  </si>
  <si>
    <t>中環</t>
  </si>
  <si>
    <t>南亞科</t>
  </si>
  <si>
    <t>健信</t>
  </si>
  <si>
    <t>淳安</t>
  </si>
  <si>
    <t>臺龍</t>
  </si>
  <si>
    <t>卓越</t>
  </si>
  <si>
    <t>旺宏</t>
  </si>
  <si>
    <t>海灣</t>
  </si>
  <si>
    <t>撼訊</t>
  </si>
  <si>
    <t>寶隆</t>
  </si>
  <si>
    <t>茂矽</t>
  </si>
  <si>
    <t>世紀鋼</t>
  </si>
  <si>
    <t>樂事綠能</t>
  </si>
  <si>
    <t>福華</t>
  </si>
  <si>
    <t>建榮</t>
  </si>
  <si>
    <t>四維航</t>
  </si>
  <si>
    <t>恒大</t>
  </si>
  <si>
    <t>中石化</t>
  </si>
  <si>
    <t>陽明</t>
  </si>
  <si>
    <t>倫飛</t>
  </si>
  <si>
    <t>國喬</t>
  </si>
  <si>
    <t>科風</t>
  </si>
  <si>
    <t>長榮</t>
  </si>
  <si>
    <t>合邦</t>
  </si>
  <si>
    <t>全譜</t>
  </si>
  <si>
    <t>得利影</t>
  </si>
  <si>
    <t>有益</t>
  </si>
  <si>
    <t>sum</t>
  </si>
  <si>
    <t>勝率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</si>
</sst>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16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5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2050904817695007E-2"/>
          <c:y val="8.846471126819648E-2"/>
          <c:w val="0.93477780059020543"/>
          <c:h val="0.78174412237569135"/>
        </c:manualLayout>
      </c:layout>
      <c:lineChart>
        <c:grouping val="standard"/>
        <c:varyColors val="0"/>
        <c:ser>
          <c:idx val="0"/>
          <c:order val="0"/>
          <c:tx>
            <c:strRef>
              <c:f>畫圖0!$B$12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畫圖0!$C$12:$EL$12</c:f>
              <c:numCache>
                <c:formatCode>General</c:formatCode>
                <c:ptCount val="140"/>
                <c:pt idx="0">
                  <c:v>9.8199501924411306E-2</c:v>
                </c:pt>
                <c:pt idx="1">
                  <c:v>0.2002592903022179</c:v>
                </c:pt>
                <c:pt idx="2">
                  <c:v>0.23986879725366572</c:v>
                </c:pt>
                <c:pt idx="3">
                  <c:v>0.26892447941723729</c:v>
                </c:pt>
                <c:pt idx="4">
                  <c:v>0.28838936929478143</c:v>
                </c:pt>
                <c:pt idx="5">
                  <c:v>0.33135999599960597</c:v>
                </c:pt>
                <c:pt idx="6">
                  <c:v>0.37860738008877848</c:v>
                </c:pt>
                <c:pt idx="7">
                  <c:v>0.42502170797482075</c:v>
                </c:pt>
                <c:pt idx="8">
                  <c:v>0.44868060482105609</c:v>
                </c:pt>
                <c:pt idx="9">
                  <c:v>0.47667885191574988</c:v>
                </c:pt>
                <c:pt idx="10">
                  <c:v>0.49580180399126783</c:v>
                </c:pt>
                <c:pt idx="11">
                  <c:v>0.58136536185456533</c:v>
                </c:pt>
                <c:pt idx="12">
                  <c:v>0.59200142641955233</c:v>
                </c:pt>
                <c:pt idx="13">
                  <c:v>0.6006625130312373</c:v>
                </c:pt>
                <c:pt idx="14">
                  <c:v>0.63476921319203483</c:v>
                </c:pt>
                <c:pt idx="15">
                  <c:v>0.63969818240001275</c:v>
                </c:pt>
                <c:pt idx="16">
                  <c:v>0.69453593758507803</c:v>
                </c:pt>
                <c:pt idx="17">
                  <c:v>0.74712360688090584</c:v>
                </c:pt>
                <c:pt idx="18">
                  <c:v>0.76879151262606193</c:v>
                </c:pt>
                <c:pt idx="19">
                  <c:v>0.81022026694606786</c:v>
                </c:pt>
                <c:pt idx="20">
                  <c:v>0.87393053511065943</c:v>
                </c:pt>
                <c:pt idx="21">
                  <c:v>0.97782669147002343</c:v>
                </c:pt>
                <c:pt idx="22">
                  <c:v>1.0290784724407962</c:v>
                </c:pt>
                <c:pt idx="23">
                  <c:v>1.0993088723440096</c:v>
                </c:pt>
                <c:pt idx="24">
                  <c:v>1.133434277326886</c:v>
                </c:pt>
                <c:pt idx="25">
                  <c:v>1.1517325910227389</c:v>
                </c:pt>
                <c:pt idx="26">
                  <c:v>1.1876131310376772</c:v>
                </c:pt>
                <c:pt idx="27">
                  <c:v>1.2084695402590471</c:v>
                </c:pt>
                <c:pt idx="28">
                  <c:v>1.2544867394438524</c:v>
                </c:pt>
                <c:pt idx="29">
                  <c:v>1.2948491427081263</c:v>
                </c:pt>
                <c:pt idx="30">
                  <c:v>1.3384869430270776</c:v>
                </c:pt>
                <c:pt idx="31">
                  <c:v>1.3622475609543929</c:v>
                </c:pt>
                <c:pt idx="32">
                  <c:v>1.3768096146211917</c:v>
                </c:pt>
                <c:pt idx="33">
                  <c:v>1.3867663426364563</c:v>
                </c:pt>
                <c:pt idx="34">
                  <c:v>1.4237134884542928</c:v>
                </c:pt>
                <c:pt idx="35">
                  <c:v>1.4659208595623414</c:v>
                </c:pt>
                <c:pt idx="36">
                  <c:v>1.5124345645012536</c:v>
                </c:pt>
                <c:pt idx="37">
                  <c:v>1.576787549905057</c:v>
                </c:pt>
                <c:pt idx="38">
                  <c:v>1.5949071268956538</c:v>
                </c:pt>
                <c:pt idx="39">
                  <c:v>1.6241646006812192</c:v>
                </c:pt>
                <c:pt idx="40">
                  <c:v>1.6388124318276829</c:v>
                </c:pt>
                <c:pt idx="41">
                  <c:v>1.6663756352870855</c:v>
                </c:pt>
                <c:pt idx="42">
                  <c:v>1.7002120446719227</c:v>
                </c:pt>
                <c:pt idx="43">
                  <c:v>1.7788356101896172</c:v>
                </c:pt>
                <c:pt idx="44">
                  <c:v>1.8541805360645469</c:v>
                </c:pt>
                <c:pt idx="45">
                  <c:v>1.9159135828456051</c:v>
                </c:pt>
                <c:pt idx="46">
                  <c:v>1.9467335493355784</c:v>
                </c:pt>
                <c:pt idx="47">
                  <c:v>2.0100418832412319</c:v>
                </c:pt>
                <c:pt idx="48">
                  <c:v>2.0210875407858762</c:v>
                </c:pt>
                <c:pt idx="49">
                  <c:v>2.0780548474525857</c:v>
                </c:pt>
                <c:pt idx="50">
                  <c:v>2.1617433504472494</c:v>
                </c:pt>
                <c:pt idx="51">
                  <c:v>2.2234059439757092</c:v>
                </c:pt>
                <c:pt idx="52">
                  <c:v>2.2370848221922341</c:v>
                </c:pt>
                <c:pt idx="53">
                  <c:v>2.291625300887798</c:v>
                </c:pt>
                <c:pt idx="54">
                  <c:v>2.3547551850843687</c:v>
                </c:pt>
                <c:pt idx="55">
                  <c:v>2.4234827876829117</c:v>
                </c:pt>
                <c:pt idx="56">
                  <c:v>2.4987272574914168</c:v>
                </c:pt>
                <c:pt idx="57">
                  <c:v>2.5601080117319506</c:v>
                </c:pt>
                <c:pt idx="58">
                  <c:v>2.6139383598523396</c:v>
                </c:pt>
                <c:pt idx="59">
                  <c:v>2.660931924410979</c:v>
                </c:pt>
                <c:pt idx="60">
                  <c:v>2.6925968964637113</c:v>
                </c:pt>
                <c:pt idx="61">
                  <c:v>2.7346396364645122</c:v>
                </c:pt>
                <c:pt idx="62">
                  <c:v>2.7773159968997025</c:v>
                </c:pt>
                <c:pt idx="63">
                  <c:v>2.8196381120378686</c:v>
                </c:pt>
                <c:pt idx="64">
                  <c:v>2.8460306534700406</c:v>
                </c:pt>
                <c:pt idx="65">
                  <c:v>2.8694317893577237</c:v>
                </c:pt>
                <c:pt idx="66">
                  <c:v>2.8871615469816803</c:v>
                </c:pt>
                <c:pt idx="67">
                  <c:v>2.9481640963509927</c:v>
                </c:pt>
                <c:pt idx="68">
                  <c:v>2.9727908404421224</c:v>
                </c:pt>
                <c:pt idx="69">
                  <c:v>3.0015137050725169</c:v>
                </c:pt>
                <c:pt idx="70">
                  <c:v>3.0374752709390789</c:v>
                </c:pt>
                <c:pt idx="71">
                  <c:v>3.0792375446562166</c:v>
                </c:pt>
                <c:pt idx="72">
                  <c:v>3.1218948079779425</c:v>
                </c:pt>
                <c:pt idx="73">
                  <c:v>3.1275163090650793</c:v>
                </c:pt>
                <c:pt idx="74">
                  <c:v>3.1777903002049066</c:v>
                </c:pt>
                <c:pt idx="75">
                  <c:v>3.2224370597580219</c:v>
                </c:pt>
                <c:pt idx="76">
                  <c:v>3.2824097584648166</c:v>
                </c:pt>
                <c:pt idx="77">
                  <c:v>3.3466419580630178</c:v>
                </c:pt>
                <c:pt idx="78">
                  <c:v>3.3799724634633761</c:v>
                </c:pt>
                <c:pt idx="79">
                  <c:v>3.4558557883020673</c:v>
                </c:pt>
                <c:pt idx="80">
                  <c:v>3.5769856409871581</c:v>
                </c:pt>
                <c:pt idx="81">
                  <c:v>3.5930798755636895</c:v>
                </c:pt>
                <c:pt idx="82">
                  <c:v>3.6336447436910166</c:v>
                </c:pt>
                <c:pt idx="83">
                  <c:v>3.7159975927720765</c:v>
                </c:pt>
                <c:pt idx="84">
                  <c:v>3.7308201735070354</c:v>
                </c:pt>
                <c:pt idx="85">
                  <c:v>3.7937251796912093</c:v>
                </c:pt>
                <c:pt idx="86">
                  <c:v>3.8581128833989853</c:v>
                </c:pt>
                <c:pt idx="87">
                  <c:v>4.0055373722295293</c:v>
                </c:pt>
                <c:pt idx="88">
                  <c:v>4.0795648431288249</c:v>
                </c:pt>
                <c:pt idx="89">
                  <c:v>4.1922840777872512</c:v>
                </c:pt>
                <c:pt idx="90">
                  <c:v>4.2776857396268735</c:v>
                </c:pt>
                <c:pt idx="91">
                  <c:v>4.3239248664575394</c:v>
                </c:pt>
                <c:pt idx="92">
                  <c:v>4.3891390045947904</c:v>
                </c:pt>
                <c:pt idx="93">
                  <c:v>4.4592869718714887</c:v>
                </c:pt>
                <c:pt idx="94">
                  <c:v>4.5000425094858114</c:v>
                </c:pt>
                <c:pt idx="95">
                  <c:v>4.5308325452522551</c:v>
                </c:pt>
                <c:pt idx="96">
                  <c:v>4.6192255358659793</c:v>
                </c:pt>
                <c:pt idx="97">
                  <c:v>4.6923416136740626</c:v>
                </c:pt>
                <c:pt idx="98">
                  <c:v>4.7317532061446475</c:v>
                </c:pt>
                <c:pt idx="99">
                  <c:v>4.8149439513973871</c:v>
                </c:pt>
                <c:pt idx="100">
                  <c:v>4.8546389393857963</c:v>
                </c:pt>
                <c:pt idx="101">
                  <c:v>4.9712990319752004</c:v>
                </c:pt>
                <c:pt idx="102">
                  <c:v>5.0103575283682851</c:v>
                </c:pt>
                <c:pt idx="103">
                  <c:v>5.081028319104397</c:v>
                </c:pt>
                <c:pt idx="104">
                  <c:v>5.1170823385487045</c:v>
                </c:pt>
                <c:pt idx="105">
                  <c:v>5.1584398331699344</c:v>
                </c:pt>
                <c:pt idx="106">
                  <c:v>5.1861737280813109</c:v>
                </c:pt>
                <c:pt idx="107">
                  <c:v>5.2421634779471669</c:v>
                </c:pt>
                <c:pt idx="108">
                  <c:v>5.2797324150029254</c:v>
                </c:pt>
                <c:pt idx="109">
                  <c:v>5.3250405914265393</c:v>
                </c:pt>
                <c:pt idx="110">
                  <c:v>5.3929162189041921</c:v>
                </c:pt>
                <c:pt idx="111">
                  <c:v>5.4091322500763486</c:v>
                </c:pt>
                <c:pt idx="112">
                  <c:v>5.4513466476741153</c:v>
                </c:pt>
                <c:pt idx="113">
                  <c:v>5.4895660543457927</c:v>
                </c:pt>
                <c:pt idx="114">
                  <c:v>5.5217684481637068</c:v>
                </c:pt>
                <c:pt idx="115">
                  <c:v>5.5441819336334106</c:v>
                </c:pt>
                <c:pt idx="116">
                  <c:v>5.5802439307359046</c:v>
                </c:pt>
                <c:pt idx="117">
                  <c:v>5.6516080909609716</c:v>
                </c:pt>
                <c:pt idx="118">
                  <c:v>5.7209625662571604</c:v>
                </c:pt>
                <c:pt idx="119">
                  <c:v>5.7445123266426439</c:v>
                </c:pt>
                <c:pt idx="120">
                  <c:v>5.826163886155558</c:v>
                </c:pt>
                <c:pt idx="121">
                  <c:v>5.8686840341474769</c:v>
                </c:pt>
                <c:pt idx="122">
                  <c:v>5.9210631291599682</c:v>
                </c:pt>
                <c:pt idx="123">
                  <c:v>5.9691898914234356</c:v>
                </c:pt>
                <c:pt idx="124">
                  <c:v>6.0316586443429845</c:v>
                </c:pt>
                <c:pt idx="125">
                  <c:v>6.0871142002255239</c:v>
                </c:pt>
                <c:pt idx="126">
                  <c:v>6.1436114700467188</c:v>
                </c:pt>
                <c:pt idx="127">
                  <c:v>6.1641119395772703</c:v>
                </c:pt>
                <c:pt idx="128">
                  <c:v>6.2999878972801744</c:v>
                </c:pt>
                <c:pt idx="129">
                  <c:v>6.3358525713387026</c:v>
                </c:pt>
                <c:pt idx="130">
                  <c:v>6.3705119370694572</c:v>
                </c:pt>
                <c:pt idx="131">
                  <c:v>6.4142592197206989</c:v>
                </c:pt>
                <c:pt idx="132">
                  <c:v>6.4545145861631399</c:v>
                </c:pt>
                <c:pt idx="133">
                  <c:v>6.5062982947717023</c:v>
                </c:pt>
                <c:pt idx="134">
                  <c:v>6.6043245311305778</c:v>
                </c:pt>
                <c:pt idx="135">
                  <c:v>6.6177551922750855</c:v>
                </c:pt>
                <c:pt idx="136">
                  <c:v>6.6341889217321137</c:v>
                </c:pt>
                <c:pt idx="137">
                  <c:v>6.7004331309032112</c:v>
                </c:pt>
                <c:pt idx="138">
                  <c:v>6.75288171063346</c:v>
                </c:pt>
                <c:pt idx="139">
                  <c:v>6.7908089688441375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A-48EC-841F-AC590EF49239}"/>
            </c:ext>
          </c:extLst>
        </c:ser>
        <c:ser>
          <c:idx val="1"/>
          <c:order val="1"/>
          <c:tx>
            <c:strRef>
              <c:f>畫圖0!$B$13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畫圖0!$C$13:$EL$13</c:f>
              <c:numCache>
                <c:formatCode>General</c:formatCode>
                <c:ptCount val="140"/>
                <c:pt idx="0">
                  <c:v>0.12107776166471761</c:v>
                </c:pt>
                <c:pt idx="1">
                  <c:v>0.25190549423931863</c:v>
                </c:pt>
                <c:pt idx="2">
                  <c:v>0.2908666957348981</c:v>
                </c:pt>
                <c:pt idx="3">
                  <c:v>0.31509780584269087</c:v>
                </c:pt>
                <c:pt idx="4">
                  <c:v>0.33090402694338289</c:v>
                </c:pt>
                <c:pt idx="5">
                  <c:v>0.39011115204687902</c:v>
                </c:pt>
                <c:pt idx="6">
                  <c:v>0.44841997666587768</c:v>
                </c:pt>
                <c:pt idx="7">
                  <c:v>0.49432274947091304</c:v>
                </c:pt>
                <c:pt idx="8">
                  <c:v>0.56144932679464588</c:v>
                </c:pt>
                <c:pt idx="9">
                  <c:v>0.58426392902543067</c:v>
                </c:pt>
                <c:pt idx="10">
                  <c:v>0.59084799680212052</c:v>
                </c:pt>
                <c:pt idx="11">
                  <c:v>0.71561715827228578</c:v>
                </c:pt>
                <c:pt idx="12">
                  <c:v>0.73045492332314521</c:v>
                </c:pt>
                <c:pt idx="13">
                  <c:v>0.74509990834072204</c:v>
                </c:pt>
                <c:pt idx="14">
                  <c:v>0.78004094027967019</c:v>
                </c:pt>
                <c:pt idx="15">
                  <c:v>0.77265275743251194</c:v>
                </c:pt>
                <c:pt idx="16">
                  <c:v>0.83935781338902804</c:v>
                </c:pt>
                <c:pt idx="17">
                  <c:v>0.9172068243547401</c:v>
                </c:pt>
                <c:pt idx="18">
                  <c:v>0.96428926633070755</c:v>
                </c:pt>
                <c:pt idx="19">
                  <c:v>1.0215783933816891</c:v>
                </c:pt>
                <c:pt idx="20">
                  <c:v>1.1108269300541129</c:v>
                </c:pt>
                <c:pt idx="21">
                  <c:v>1.2532241898998464</c:v>
                </c:pt>
                <c:pt idx="22">
                  <c:v>1.2729308165036493</c:v>
                </c:pt>
                <c:pt idx="23">
                  <c:v>1.3753280468177937</c:v>
                </c:pt>
                <c:pt idx="24">
                  <c:v>1.415853455684329</c:v>
                </c:pt>
                <c:pt idx="25">
                  <c:v>1.4592471538223115</c:v>
                </c:pt>
                <c:pt idx="26">
                  <c:v>1.490721094881563</c:v>
                </c:pt>
                <c:pt idx="27">
                  <c:v>1.5049252392661645</c:v>
                </c:pt>
                <c:pt idx="28">
                  <c:v>1.5674452097940179</c:v>
                </c:pt>
                <c:pt idx="29">
                  <c:v>1.6307076619206406</c:v>
                </c:pt>
                <c:pt idx="30">
                  <c:v>1.661663997184015</c:v>
                </c:pt>
                <c:pt idx="31">
                  <c:v>1.6870992882139593</c:v>
                </c:pt>
                <c:pt idx="32">
                  <c:v>1.7096581038554755</c:v>
                </c:pt>
                <c:pt idx="33">
                  <c:v>1.7440879819094413</c:v>
                </c:pt>
                <c:pt idx="34">
                  <c:v>1.7940450893675013</c:v>
                </c:pt>
                <c:pt idx="35">
                  <c:v>1.8383688509463176</c:v>
                </c:pt>
                <c:pt idx="36">
                  <c:v>1.8730200709872997</c:v>
                </c:pt>
                <c:pt idx="37">
                  <c:v>1.9686291018317998</c:v>
                </c:pt>
                <c:pt idx="38">
                  <c:v>1.9719662852451969</c:v>
                </c:pt>
                <c:pt idx="39">
                  <c:v>2.0208653839805808</c:v>
                </c:pt>
                <c:pt idx="40">
                  <c:v>2.0304530406116066</c:v>
                </c:pt>
                <c:pt idx="41">
                  <c:v>2.0419550617106053</c:v>
                </c:pt>
                <c:pt idx="42">
                  <c:v>2.0660409098260115</c:v>
                </c:pt>
                <c:pt idx="43">
                  <c:v>2.1944601487849384</c:v>
                </c:pt>
                <c:pt idx="44">
                  <c:v>2.2686977922140144</c:v>
                </c:pt>
                <c:pt idx="45">
                  <c:v>2.3491844204516394</c:v>
                </c:pt>
                <c:pt idx="46">
                  <c:v>2.3934233654782933</c:v>
                </c:pt>
                <c:pt idx="47">
                  <c:v>2.4764097398478038</c:v>
                </c:pt>
                <c:pt idx="48">
                  <c:v>2.4821527630351334</c:v>
                </c:pt>
                <c:pt idx="49">
                  <c:v>2.5552530763260837</c:v>
                </c:pt>
                <c:pt idx="50">
                  <c:v>2.6348324432274057</c:v>
                </c:pt>
                <c:pt idx="51">
                  <c:v>2.7195734892100996</c:v>
                </c:pt>
                <c:pt idx="52">
                  <c:v>2.7229778573769172</c:v>
                </c:pt>
                <c:pt idx="53">
                  <c:v>2.7549887613245949</c:v>
                </c:pt>
                <c:pt idx="54">
                  <c:v>2.81619223397115</c:v>
                </c:pt>
                <c:pt idx="55">
                  <c:v>2.9355806979903529</c:v>
                </c:pt>
                <c:pt idx="56">
                  <c:v>3.0464924590287379</c:v>
                </c:pt>
                <c:pt idx="57">
                  <c:v>3.1466157510597967</c:v>
                </c:pt>
                <c:pt idx="58">
                  <c:v>3.2179143193671673</c:v>
                </c:pt>
                <c:pt idx="59">
                  <c:v>3.2600120483700321</c:v>
                </c:pt>
                <c:pt idx="60">
                  <c:v>3.2728713982461346</c:v>
                </c:pt>
                <c:pt idx="61">
                  <c:v>3.3115421552312263</c:v>
                </c:pt>
                <c:pt idx="62">
                  <c:v>3.3475779103595191</c:v>
                </c:pt>
                <c:pt idx="63">
                  <c:v>3.3894297314152579</c:v>
                </c:pt>
                <c:pt idx="64">
                  <c:v>3.419703711507863</c:v>
                </c:pt>
                <c:pt idx="65">
                  <c:v>3.4357338480985207</c:v>
                </c:pt>
                <c:pt idx="66">
                  <c:v>3.4407749661459994</c:v>
                </c:pt>
                <c:pt idx="67">
                  <c:v>3.5000817411755709</c:v>
                </c:pt>
                <c:pt idx="68">
                  <c:v>3.5220864535927401</c:v>
                </c:pt>
                <c:pt idx="69">
                  <c:v>3.5307065219778488</c:v>
                </c:pt>
                <c:pt idx="70">
                  <c:v>3.5815996165934192</c:v>
                </c:pt>
                <c:pt idx="71">
                  <c:v>3.63714138034325</c:v>
                </c:pt>
                <c:pt idx="72">
                  <c:v>3.7072826376461396</c:v>
                </c:pt>
                <c:pt idx="73">
                  <c:v>3.7219869263447851</c:v>
                </c:pt>
                <c:pt idx="74">
                  <c:v>3.7946948939479475</c:v>
                </c:pt>
                <c:pt idx="75">
                  <c:v>3.8426368953596066</c:v>
                </c:pt>
                <c:pt idx="76">
                  <c:v>3.9038732699754033</c:v>
                </c:pt>
                <c:pt idx="77">
                  <c:v>4.0153947956205815</c:v>
                </c:pt>
                <c:pt idx="78">
                  <c:v>4.0531457952364489</c:v>
                </c:pt>
                <c:pt idx="79">
                  <c:v>4.1422863677323924</c:v>
                </c:pt>
                <c:pt idx="80">
                  <c:v>4.294166576034125</c:v>
                </c:pt>
                <c:pt idx="81">
                  <c:v>4.3191593332831602</c:v>
                </c:pt>
                <c:pt idx="82">
                  <c:v>4.3859538549401176</c:v>
                </c:pt>
                <c:pt idx="83">
                  <c:v>4.4948590223629514</c:v>
                </c:pt>
                <c:pt idx="84">
                  <c:v>4.5245630266175718</c:v>
                </c:pt>
                <c:pt idx="85">
                  <c:v>4.5969716722221827</c:v>
                </c:pt>
                <c:pt idx="86">
                  <c:v>4.6375784079436491</c:v>
                </c:pt>
                <c:pt idx="87">
                  <c:v>4.78349515579258</c:v>
                </c:pt>
                <c:pt idx="88">
                  <c:v>4.8648595836572497</c:v>
                </c:pt>
                <c:pt idx="89">
                  <c:v>4.9672170391075126</c:v>
                </c:pt>
                <c:pt idx="90">
                  <c:v>5.06852862520548</c:v>
                </c:pt>
                <c:pt idx="91">
                  <c:v>5.1307489214501105</c:v>
                </c:pt>
                <c:pt idx="92">
                  <c:v>5.2012960460063757</c:v>
                </c:pt>
                <c:pt idx="93">
                  <c:v>5.3053350252649336</c:v>
                </c:pt>
                <c:pt idx="94">
                  <c:v>5.3413146783203667</c:v>
                </c:pt>
                <c:pt idx="95">
                  <c:v>5.3881944127952428</c:v>
                </c:pt>
                <c:pt idx="96">
                  <c:v>5.5092935385264203</c:v>
                </c:pt>
                <c:pt idx="97">
                  <c:v>5.5892079745101801</c:v>
                </c:pt>
                <c:pt idx="98">
                  <c:v>5.6415037287668106</c:v>
                </c:pt>
                <c:pt idx="99">
                  <c:v>5.7155441956193132</c:v>
                </c:pt>
                <c:pt idx="100">
                  <c:v>5.7589538956779238</c:v>
                </c:pt>
                <c:pt idx="101">
                  <c:v>5.8876384380189464</c:v>
                </c:pt>
                <c:pt idx="102">
                  <c:v>5.9114810228070835</c:v>
                </c:pt>
                <c:pt idx="103">
                  <c:v>6.022270037531853</c:v>
                </c:pt>
                <c:pt idx="104">
                  <c:v>6.0712376937119892</c:v>
                </c:pt>
                <c:pt idx="105">
                  <c:v>6.1532926732955735</c:v>
                </c:pt>
                <c:pt idx="106">
                  <c:v>6.1869761391097047</c:v>
                </c:pt>
                <c:pt idx="107">
                  <c:v>6.2653496817964953</c:v>
                </c:pt>
                <c:pt idx="108">
                  <c:v>6.3038597442949902</c:v>
                </c:pt>
                <c:pt idx="109">
                  <c:v>6.3704449904933993</c:v>
                </c:pt>
                <c:pt idx="110">
                  <c:v>6.4366588619430747</c:v>
                </c:pt>
                <c:pt idx="111">
                  <c:v>6.4679035285115836</c:v>
                </c:pt>
                <c:pt idx="112">
                  <c:v>6.504311351149406</c:v>
                </c:pt>
                <c:pt idx="113">
                  <c:v>6.550451639746834</c:v>
                </c:pt>
                <c:pt idx="114">
                  <c:v>6.6006821513533938</c:v>
                </c:pt>
                <c:pt idx="115">
                  <c:v>6.6338676150137399</c:v>
                </c:pt>
                <c:pt idx="116">
                  <c:v>6.698486334795466</c:v>
                </c:pt>
                <c:pt idx="117">
                  <c:v>6.8096935338456701</c:v>
                </c:pt>
                <c:pt idx="118">
                  <c:v>6.8974265982020952</c:v>
                </c:pt>
                <c:pt idx="119">
                  <c:v>6.908816172067147</c:v>
                </c:pt>
                <c:pt idx="120">
                  <c:v>6.9881925409265166</c:v>
                </c:pt>
                <c:pt idx="121">
                  <c:v>7.0298792094356184</c:v>
                </c:pt>
                <c:pt idx="122">
                  <c:v>7.0531793915034013</c:v>
                </c:pt>
                <c:pt idx="123">
                  <c:v>7.1255822102171784</c:v>
                </c:pt>
                <c:pt idx="124">
                  <c:v>7.2127042317374332</c:v>
                </c:pt>
                <c:pt idx="125">
                  <c:v>7.2672050083056137</c:v>
                </c:pt>
                <c:pt idx="126">
                  <c:v>7.3458833612977683</c:v>
                </c:pt>
                <c:pt idx="127">
                  <c:v>7.3408157381784447</c:v>
                </c:pt>
                <c:pt idx="128">
                  <c:v>7.4715188643455885</c:v>
                </c:pt>
                <c:pt idx="129">
                  <c:v>7.5304421598098363</c:v>
                </c:pt>
                <c:pt idx="130">
                  <c:v>7.5412864967589863</c:v>
                </c:pt>
                <c:pt idx="131">
                  <c:v>7.6018513160648684</c:v>
                </c:pt>
                <c:pt idx="132">
                  <c:v>7.6456036702253805</c:v>
                </c:pt>
                <c:pt idx="133">
                  <c:v>7.702158102865921</c:v>
                </c:pt>
                <c:pt idx="134">
                  <c:v>7.819028283553985</c:v>
                </c:pt>
                <c:pt idx="135">
                  <c:v>7.8385258683249228</c:v>
                </c:pt>
                <c:pt idx="136">
                  <c:v>7.8623458427078656</c:v>
                </c:pt>
                <c:pt idx="137">
                  <c:v>7.9423728110883971</c:v>
                </c:pt>
                <c:pt idx="138">
                  <c:v>8.0010934041278912</c:v>
                </c:pt>
                <c:pt idx="139">
                  <c:v>8.0309207769754458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A-48EC-841F-AC590EF49239}"/>
            </c:ext>
          </c:extLst>
        </c:ser>
        <c:ser>
          <c:idx val="2"/>
          <c:order val="2"/>
          <c:tx>
            <c:strRef>
              <c:f>畫圖0!$B$14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畫圖0!$C$14:$EL$14</c:f>
              <c:numCache>
                <c:formatCode>General</c:formatCode>
                <c:ptCount val="140"/>
                <c:pt idx="0">
                  <c:v>0.13220513330973041</c:v>
                </c:pt>
                <c:pt idx="1">
                  <c:v>0.29635559593892979</c:v>
                </c:pt>
                <c:pt idx="2">
                  <c:v>0.34622419154853451</c:v>
                </c:pt>
                <c:pt idx="3">
                  <c:v>0.35263536143674928</c:v>
                </c:pt>
                <c:pt idx="4">
                  <c:v>0.3964298444776761</c:v>
                </c:pt>
                <c:pt idx="5">
                  <c:v>0.42855066005506343</c:v>
                </c:pt>
                <c:pt idx="6">
                  <c:v>0.48580308199712297</c:v>
                </c:pt>
                <c:pt idx="7">
                  <c:v>0.5421993285884098</c:v>
                </c:pt>
                <c:pt idx="8">
                  <c:v>0.58687858746230215</c:v>
                </c:pt>
                <c:pt idx="9">
                  <c:v>0.58145820056391273</c:v>
                </c:pt>
                <c:pt idx="10">
                  <c:v>0.61820010067659081</c:v>
                </c:pt>
                <c:pt idx="11">
                  <c:v>0.71424503998545785</c:v>
                </c:pt>
                <c:pt idx="12">
                  <c:v>0.69050459917545681</c:v>
                </c:pt>
                <c:pt idx="13">
                  <c:v>0.67746075542551265</c:v>
                </c:pt>
                <c:pt idx="14">
                  <c:v>0.7497897502766826</c:v>
                </c:pt>
                <c:pt idx="15">
                  <c:v>0.76263035397262702</c:v>
                </c:pt>
                <c:pt idx="16">
                  <c:v>0.7928036788244347</c:v>
                </c:pt>
                <c:pt idx="17">
                  <c:v>0.85438783364506976</c:v>
                </c:pt>
                <c:pt idx="18">
                  <c:v>0.93564479468498696</c:v>
                </c:pt>
                <c:pt idx="19">
                  <c:v>0.95168653536311698</c:v>
                </c:pt>
                <c:pt idx="20">
                  <c:v>1.0506931773098167</c:v>
                </c:pt>
                <c:pt idx="21">
                  <c:v>1.2138178439853564</c:v>
                </c:pt>
                <c:pt idx="22">
                  <c:v>1.2114743772019778</c:v>
                </c:pt>
                <c:pt idx="23">
                  <c:v>1.3025485212383281</c:v>
                </c:pt>
                <c:pt idx="24">
                  <c:v>1.3734186951645464</c:v>
                </c:pt>
                <c:pt idx="25">
                  <c:v>1.4188259173012896</c:v>
                </c:pt>
                <c:pt idx="26">
                  <c:v>1.4193533983740336</c:v>
                </c:pt>
                <c:pt idx="27">
                  <c:v>1.4116916175118539</c:v>
                </c:pt>
                <c:pt idx="28">
                  <c:v>1.4969495065765688</c:v>
                </c:pt>
                <c:pt idx="29">
                  <c:v>1.5829782810180848</c:v>
                </c:pt>
                <c:pt idx="30">
                  <c:v>1.6519685917521834</c:v>
                </c:pt>
                <c:pt idx="31">
                  <c:v>1.6597827531951785</c:v>
                </c:pt>
                <c:pt idx="32">
                  <c:v>1.6935070633079508</c:v>
                </c:pt>
                <c:pt idx="33">
                  <c:v>1.7179154485415729</c:v>
                </c:pt>
                <c:pt idx="34">
                  <c:v>1.7495661617638198</c:v>
                </c:pt>
                <c:pt idx="35">
                  <c:v>1.7989386879589193</c:v>
                </c:pt>
                <c:pt idx="36">
                  <c:v>1.8516863198861637</c:v>
                </c:pt>
                <c:pt idx="37">
                  <c:v>1.950914227384493</c:v>
                </c:pt>
                <c:pt idx="38">
                  <c:v>1.9832103989145562</c:v>
                </c:pt>
                <c:pt idx="39">
                  <c:v>2.0519782837001106</c:v>
                </c:pt>
                <c:pt idx="40">
                  <c:v>2.0669098416932132</c:v>
                </c:pt>
                <c:pt idx="41">
                  <c:v>2.1432314780173929</c:v>
                </c:pt>
                <c:pt idx="42">
                  <c:v>2.1644044582227018</c:v>
                </c:pt>
                <c:pt idx="43">
                  <c:v>2.3067596593938795</c:v>
                </c:pt>
                <c:pt idx="44">
                  <c:v>2.409055312173626</c:v>
                </c:pt>
                <c:pt idx="45">
                  <c:v>2.463283166793917</c:v>
                </c:pt>
                <c:pt idx="46">
                  <c:v>2.4975028927390248</c:v>
                </c:pt>
                <c:pt idx="47">
                  <c:v>2.58967021367843</c:v>
                </c:pt>
                <c:pt idx="48">
                  <c:v>2.6193279461647152</c:v>
                </c:pt>
                <c:pt idx="49">
                  <c:v>2.6858642270233628</c:v>
                </c:pt>
                <c:pt idx="50">
                  <c:v>2.781277036710045</c:v>
                </c:pt>
                <c:pt idx="51">
                  <c:v>2.9055064796914012</c:v>
                </c:pt>
                <c:pt idx="52">
                  <c:v>2.8877385230551855</c:v>
                </c:pt>
                <c:pt idx="53">
                  <c:v>2.9185791947184052</c:v>
                </c:pt>
                <c:pt idx="54">
                  <c:v>2.9595565526828471</c:v>
                </c:pt>
                <c:pt idx="55">
                  <c:v>3.1318166314129203</c:v>
                </c:pt>
                <c:pt idx="56">
                  <c:v>3.2768828604995508</c:v>
                </c:pt>
                <c:pt idx="57">
                  <c:v>3.3543111040152582</c:v>
                </c:pt>
                <c:pt idx="58">
                  <c:v>3.4376245142821906</c:v>
                </c:pt>
                <c:pt idx="59">
                  <c:v>3.4775218917121924</c:v>
                </c:pt>
                <c:pt idx="60">
                  <c:v>3.4563604163000621</c:v>
                </c:pt>
                <c:pt idx="61">
                  <c:v>3.5030253806457932</c:v>
                </c:pt>
                <c:pt idx="62">
                  <c:v>3.5483488109310182</c:v>
                </c:pt>
                <c:pt idx="63">
                  <c:v>3.5814889516290909</c:v>
                </c:pt>
                <c:pt idx="64">
                  <c:v>3.5768194946033796</c:v>
                </c:pt>
                <c:pt idx="65">
                  <c:v>3.5649080391689849</c:v>
                </c:pt>
                <c:pt idx="66">
                  <c:v>3.6013081993101657</c:v>
                </c:pt>
                <c:pt idx="67">
                  <c:v>3.6735359614115661</c:v>
                </c:pt>
                <c:pt idx="68">
                  <c:v>3.6945925255737184</c:v>
                </c:pt>
                <c:pt idx="69">
                  <c:v>3.6363093463959228</c:v>
                </c:pt>
                <c:pt idx="70">
                  <c:v>3.6712188063618947</c:v>
                </c:pt>
                <c:pt idx="71">
                  <c:v>3.7132491810988459</c:v>
                </c:pt>
                <c:pt idx="72">
                  <c:v>3.8745264938344497</c:v>
                </c:pt>
                <c:pt idx="73">
                  <c:v>3.8738723745459236</c:v>
                </c:pt>
                <c:pt idx="74">
                  <c:v>3.9964251775358535</c:v>
                </c:pt>
                <c:pt idx="75">
                  <c:v>4.0693976913565795</c:v>
                </c:pt>
                <c:pt idx="76">
                  <c:v>4.0921344999548026</c:v>
                </c:pt>
                <c:pt idx="77">
                  <c:v>4.1844306137454286</c:v>
                </c:pt>
                <c:pt idx="78">
                  <c:v>4.1736962767183794</c:v>
                </c:pt>
                <c:pt idx="79">
                  <c:v>4.2946029211197487</c:v>
                </c:pt>
                <c:pt idx="80">
                  <c:v>4.5570650233291268</c:v>
                </c:pt>
                <c:pt idx="81">
                  <c:v>4.60388880016224</c:v>
                </c:pt>
                <c:pt idx="82">
                  <c:v>4.6630528675161012</c:v>
                </c:pt>
                <c:pt idx="83">
                  <c:v>4.7382546130423062</c:v>
                </c:pt>
                <c:pt idx="84">
                  <c:v>4.7592149261774175</c:v>
                </c:pt>
                <c:pt idx="85">
                  <c:v>4.8056245435008318</c:v>
                </c:pt>
                <c:pt idx="86">
                  <c:v>4.8617741900323326</c:v>
                </c:pt>
                <c:pt idx="87">
                  <c:v>4.9544451067169177</c:v>
                </c:pt>
                <c:pt idx="88">
                  <c:v>5.04192763194858</c:v>
                </c:pt>
                <c:pt idx="89">
                  <c:v>5.1814865341479805</c:v>
                </c:pt>
                <c:pt idx="90">
                  <c:v>5.3154964253933414</c:v>
                </c:pt>
                <c:pt idx="91">
                  <c:v>5.3999927068989351</c:v>
                </c:pt>
                <c:pt idx="92">
                  <c:v>5.4845668759150703</c:v>
                </c:pt>
                <c:pt idx="93">
                  <c:v>5.6416227096381579</c:v>
                </c:pt>
                <c:pt idx="94">
                  <c:v>5.6775061827586031</c:v>
                </c:pt>
                <c:pt idx="95">
                  <c:v>5.7490742585730761</c:v>
                </c:pt>
                <c:pt idx="96">
                  <c:v>5.9038854046365481</c:v>
                </c:pt>
                <c:pt idx="97">
                  <c:v>6.0361592933391766</c:v>
                </c:pt>
                <c:pt idx="98">
                  <c:v>6.1073885265043595</c:v>
                </c:pt>
                <c:pt idx="99">
                  <c:v>6.2155697913529524</c:v>
                </c:pt>
                <c:pt idx="100">
                  <c:v>6.2673849814850708</c:v>
                </c:pt>
                <c:pt idx="101">
                  <c:v>6.4216832245338491</c:v>
                </c:pt>
                <c:pt idx="102">
                  <c:v>6.4843810632727923</c:v>
                </c:pt>
                <c:pt idx="103">
                  <c:v>6.64969872767161</c:v>
                </c:pt>
                <c:pt idx="104">
                  <c:v>6.6807465932239225</c:v>
                </c:pt>
                <c:pt idx="105">
                  <c:v>6.776908087759697</c:v>
                </c:pt>
                <c:pt idx="106">
                  <c:v>6.8141000939213363</c:v>
                </c:pt>
                <c:pt idx="107">
                  <c:v>6.9753196040384742</c:v>
                </c:pt>
                <c:pt idx="108">
                  <c:v>7.0260592933157575</c:v>
                </c:pt>
                <c:pt idx="109">
                  <c:v>7.1350884910210457</c:v>
                </c:pt>
                <c:pt idx="110">
                  <c:v>7.2641247607194854</c:v>
                </c:pt>
                <c:pt idx="111">
                  <c:v>7.310171086000234</c:v>
                </c:pt>
                <c:pt idx="112">
                  <c:v>7.3337988691721527</c:v>
                </c:pt>
                <c:pt idx="113">
                  <c:v>7.3940797927686637</c:v>
                </c:pt>
                <c:pt idx="114">
                  <c:v>7.4666106642035084</c:v>
                </c:pt>
                <c:pt idx="115">
                  <c:v>7.5120515340216274</c:v>
                </c:pt>
                <c:pt idx="116">
                  <c:v>7.6254827576008841</c:v>
                </c:pt>
                <c:pt idx="117">
                  <c:v>7.7404154714618834</c:v>
                </c:pt>
                <c:pt idx="118">
                  <c:v>7.8045703459906601</c:v>
                </c:pt>
                <c:pt idx="119">
                  <c:v>7.8129479380202316</c:v>
                </c:pt>
                <c:pt idx="120">
                  <c:v>7.8822184981575631</c:v>
                </c:pt>
                <c:pt idx="121">
                  <c:v>7.8947045217499223</c:v>
                </c:pt>
                <c:pt idx="122">
                  <c:v>7.8667641042906169</c:v>
                </c:pt>
                <c:pt idx="123">
                  <c:v>7.9843107988876953</c:v>
                </c:pt>
                <c:pt idx="124">
                  <c:v>8.0732213851201013</c:v>
                </c:pt>
                <c:pt idx="125">
                  <c:v>8.130000614600684</c:v>
                </c:pt>
                <c:pt idx="126">
                  <c:v>8.2099274454553672</c:v>
                </c:pt>
                <c:pt idx="127">
                  <c:v>8.1966526750557644</c:v>
                </c:pt>
                <c:pt idx="128">
                  <c:v>8.228468516566096</c:v>
                </c:pt>
                <c:pt idx="129">
                  <c:v>8.3063175383105197</c:v>
                </c:pt>
                <c:pt idx="130">
                  <c:v>8.2853371907156728</c:v>
                </c:pt>
                <c:pt idx="131">
                  <c:v>8.3487350676148662</c:v>
                </c:pt>
                <c:pt idx="132">
                  <c:v>8.4004118922831577</c:v>
                </c:pt>
                <c:pt idx="133">
                  <c:v>8.4929954421604208</c:v>
                </c:pt>
                <c:pt idx="134">
                  <c:v>8.6901092461498575</c:v>
                </c:pt>
                <c:pt idx="135">
                  <c:v>8.7126093394335822</c:v>
                </c:pt>
                <c:pt idx="136">
                  <c:v>8.7593676884340574</c:v>
                </c:pt>
                <c:pt idx="137">
                  <c:v>8.8214709099738666</c:v>
                </c:pt>
                <c:pt idx="138">
                  <c:v>8.9272710295919495</c:v>
                </c:pt>
                <c:pt idx="139">
                  <c:v>8.9711517324516414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9A-48EC-841F-AC590EF49239}"/>
            </c:ext>
          </c:extLst>
        </c:ser>
        <c:ser>
          <c:idx val="3"/>
          <c:order val="3"/>
          <c:tx>
            <c:strRef>
              <c:f>畫圖0!$B$15</c:f>
              <c:strCache>
                <c:ptCount val="1"/>
                <c:pt idx="0">
                  <c:v>110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畫圖0!$C$15:$EL$15</c:f>
              <c:numCache>
                <c:formatCode>General</c:formatCode>
                <c:ptCount val="140"/>
                <c:pt idx="0">
                  <c:v>0.24155842264248281</c:v>
                </c:pt>
                <c:pt idx="1">
                  <c:v>0.38776409161070702</c:v>
                </c:pt>
                <c:pt idx="2">
                  <c:v>0.52373385584994581</c:v>
                </c:pt>
                <c:pt idx="3">
                  <c:v>0.53708467322487186</c:v>
                </c:pt>
                <c:pt idx="4">
                  <c:v>0.58329327605160264</c:v>
                </c:pt>
                <c:pt idx="5">
                  <c:v>0.65235240218021917</c:v>
                </c:pt>
                <c:pt idx="6">
                  <c:v>0.71577230581055973</c:v>
                </c:pt>
                <c:pt idx="7">
                  <c:v>0.79407397648533584</c:v>
                </c:pt>
                <c:pt idx="8">
                  <c:v>0.86508794546211987</c:v>
                </c:pt>
                <c:pt idx="9">
                  <c:v>0.8277770639881451</c:v>
                </c:pt>
                <c:pt idx="10">
                  <c:v>0.82026910227733063</c:v>
                </c:pt>
                <c:pt idx="11">
                  <c:v>0.94428619137877279</c:v>
                </c:pt>
                <c:pt idx="12">
                  <c:v>0.92259754421855211</c:v>
                </c:pt>
                <c:pt idx="13">
                  <c:v>0.9302637150360582</c:v>
                </c:pt>
                <c:pt idx="14">
                  <c:v>0.9146409897392096</c:v>
                </c:pt>
                <c:pt idx="15">
                  <c:v>0.85469444231998049</c:v>
                </c:pt>
                <c:pt idx="16">
                  <c:v>0.9184914262642907</c:v>
                </c:pt>
                <c:pt idx="17">
                  <c:v>0.97223326848410163</c:v>
                </c:pt>
                <c:pt idx="18">
                  <c:v>1.0010099335139415</c:v>
                </c:pt>
                <c:pt idx="19">
                  <c:v>0.9721691126617904</c:v>
                </c:pt>
                <c:pt idx="20">
                  <c:v>1.0787383330094829</c:v>
                </c:pt>
                <c:pt idx="21">
                  <c:v>1.2563447910140384</c:v>
                </c:pt>
                <c:pt idx="22">
                  <c:v>1.2967231485967288</c:v>
                </c:pt>
                <c:pt idx="23">
                  <c:v>1.3914495659681125</c:v>
                </c:pt>
                <c:pt idx="24">
                  <c:v>1.5037070100528864</c:v>
                </c:pt>
                <c:pt idx="25">
                  <c:v>1.5731095494142284</c:v>
                </c:pt>
                <c:pt idx="26">
                  <c:v>1.5992429393943888</c:v>
                </c:pt>
                <c:pt idx="27">
                  <c:v>1.5904113905763171</c:v>
                </c:pt>
                <c:pt idx="28">
                  <c:v>1.6142488151022611</c:v>
                </c:pt>
                <c:pt idx="29">
                  <c:v>1.7271027227369216</c:v>
                </c:pt>
                <c:pt idx="30">
                  <c:v>1.7839636224427133</c:v>
                </c:pt>
                <c:pt idx="31">
                  <c:v>1.7840300568392331</c:v>
                </c:pt>
                <c:pt idx="32">
                  <c:v>1.8479084750798007</c:v>
                </c:pt>
                <c:pt idx="33">
                  <c:v>1.8841405799865525</c:v>
                </c:pt>
                <c:pt idx="34">
                  <c:v>1.9325703683060749</c:v>
                </c:pt>
                <c:pt idx="35">
                  <c:v>1.9978004179468036</c:v>
                </c:pt>
                <c:pt idx="36">
                  <c:v>2.029334707523871</c:v>
                </c:pt>
                <c:pt idx="37">
                  <c:v>2.1431796363930546</c:v>
                </c:pt>
                <c:pt idx="38">
                  <c:v>2.1888596891727863</c:v>
                </c:pt>
                <c:pt idx="39">
                  <c:v>2.1769845753772552</c:v>
                </c:pt>
                <c:pt idx="40">
                  <c:v>2.1727756157603246</c:v>
                </c:pt>
                <c:pt idx="41">
                  <c:v>2.2661870823689747</c:v>
                </c:pt>
                <c:pt idx="42">
                  <c:v>2.2637630343608945</c:v>
                </c:pt>
                <c:pt idx="43">
                  <c:v>2.4708514003353486</c:v>
                </c:pt>
                <c:pt idx="44">
                  <c:v>2.5976246285870381</c:v>
                </c:pt>
                <c:pt idx="45">
                  <c:v>2.6996636626743902</c:v>
                </c:pt>
                <c:pt idx="46">
                  <c:v>2.7956028607699333</c:v>
                </c:pt>
                <c:pt idx="47">
                  <c:v>2.9151074045214402</c:v>
                </c:pt>
                <c:pt idx="48">
                  <c:v>2.9740256165345769</c:v>
                </c:pt>
                <c:pt idx="49">
                  <c:v>3.0737303162595597</c:v>
                </c:pt>
                <c:pt idx="50">
                  <c:v>3.2188490687476525</c:v>
                </c:pt>
                <c:pt idx="51">
                  <c:v>3.3581219900301167</c:v>
                </c:pt>
                <c:pt idx="52">
                  <c:v>3.303043674613261</c:v>
                </c:pt>
                <c:pt idx="53">
                  <c:v>3.2947940525500821</c:v>
                </c:pt>
                <c:pt idx="54">
                  <c:v>3.3533865301419454</c:v>
                </c:pt>
                <c:pt idx="55">
                  <c:v>3.5858254386120603</c:v>
                </c:pt>
                <c:pt idx="56">
                  <c:v>3.6948843112707674</c:v>
                </c:pt>
                <c:pt idx="57">
                  <c:v>3.7459224744636757</c:v>
                </c:pt>
                <c:pt idx="58">
                  <c:v>3.870561034886022</c:v>
                </c:pt>
                <c:pt idx="59">
                  <c:v>3.9537454805662371</c:v>
                </c:pt>
                <c:pt idx="60">
                  <c:v>3.9695874569068548</c:v>
                </c:pt>
                <c:pt idx="61">
                  <c:v>4.0334676902276092</c:v>
                </c:pt>
                <c:pt idx="62">
                  <c:v>4.0727435122014572</c:v>
                </c:pt>
                <c:pt idx="63">
                  <c:v>4.0702579741957612</c:v>
                </c:pt>
                <c:pt idx="64">
                  <c:v>4.0651615066129958</c:v>
                </c:pt>
                <c:pt idx="65">
                  <c:v>4.0377197070911883</c:v>
                </c:pt>
                <c:pt idx="66">
                  <c:v>4.102252333978341</c:v>
                </c:pt>
                <c:pt idx="67">
                  <c:v>4.2268040039444896</c:v>
                </c:pt>
                <c:pt idx="68">
                  <c:v>4.302271386615641</c:v>
                </c:pt>
                <c:pt idx="69">
                  <c:v>4.1999600343960548</c:v>
                </c:pt>
                <c:pt idx="70">
                  <c:v>4.3183826537455632</c:v>
                </c:pt>
                <c:pt idx="71">
                  <c:v>4.3779448183554539</c:v>
                </c:pt>
                <c:pt idx="72">
                  <c:v>4.6997671081473511</c:v>
                </c:pt>
                <c:pt idx="73">
                  <c:v>4.6975016340270557</c:v>
                </c:pt>
                <c:pt idx="74">
                  <c:v>4.8193215122008857</c:v>
                </c:pt>
                <c:pt idx="75">
                  <c:v>4.9300682726122345</c:v>
                </c:pt>
                <c:pt idx="76">
                  <c:v>4.9446315752540402</c:v>
                </c:pt>
                <c:pt idx="77">
                  <c:v>4.9944690416973607</c:v>
                </c:pt>
                <c:pt idx="78">
                  <c:v>5.0356975783326403</c:v>
                </c:pt>
                <c:pt idx="79">
                  <c:v>5.1748245921552529</c:v>
                </c:pt>
                <c:pt idx="80">
                  <c:v>5.4485024457154996</c:v>
                </c:pt>
                <c:pt idx="81">
                  <c:v>5.5138105616036563</c:v>
                </c:pt>
                <c:pt idx="82">
                  <c:v>5.6573743099945393</c:v>
                </c:pt>
                <c:pt idx="83">
                  <c:v>5.867654282971273</c:v>
                </c:pt>
                <c:pt idx="84">
                  <c:v>5.9193782987722949</c:v>
                </c:pt>
                <c:pt idx="85">
                  <c:v>5.9925892369782447</c:v>
                </c:pt>
                <c:pt idx="86">
                  <c:v>6.0145604696178001</c:v>
                </c:pt>
                <c:pt idx="87">
                  <c:v>6.0886252178611588</c:v>
                </c:pt>
                <c:pt idx="88">
                  <c:v>6.1267602882543937</c:v>
                </c:pt>
                <c:pt idx="89">
                  <c:v>6.345959951712822</c:v>
                </c:pt>
                <c:pt idx="90">
                  <c:v>6.5739212870879244</c:v>
                </c:pt>
                <c:pt idx="91">
                  <c:v>6.6979287358620638</c:v>
                </c:pt>
                <c:pt idx="92">
                  <c:v>6.8024939635875095</c:v>
                </c:pt>
                <c:pt idx="93">
                  <c:v>7.0278875908263592</c:v>
                </c:pt>
                <c:pt idx="94">
                  <c:v>7.0622778664783956</c:v>
                </c:pt>
                <c:pt idx="95">
                  <c:v>7.1388451133048996</c:v>
                </c:pt>
                <c:pt idx="96">
                  <c:v>7.3071354457427269</c:v>
                </c:pt>
                <c:pt idx="97">
                  <c:v>7.4496033210095334</c:v>
                </c:pt>
                <c:pt idx="98">
                  <c:v>7.5282519388786646</c:v>
                </c:pt>
                <c:pt idx="99">
                  <c:v>7.6489194230982172</c:v>
                </c:pt>
                <c:pt idx="100">
                  <c:v>7.6705776244622603</c:v>
                </c:pt>
                <c:pt idx="101">
                  <c:v>7.8889043070218774</c:v>
                </c:pt>
                <c:pt idx="102">
                  <c:v>7.9233408025684513</c:v>
                </c:pt>
                <c:pt idx="103">
                  <c:v>8.1719889360270699</c:v>
                </c:pt>
                <c:pt idx="104">
                  <c:v>8.1741938013950577</c:v>
                </c:pt>
                <c:pt idx="105">
                  <c:v>8.2813752745084681</c:v>
                </c:pt>
                <c:pt idx="106">
                  <c:v>8.3723014968501221</c:v>
                </c:pt>
                <c:pt idx="107">
                  <c:v>8.5128413473131435</c:v>
                </c:pt>
                <c:pt idx="108">
                  <c:v>8.5763700571694645</c:v>
                </c:pt>
                <c:pt idx="109">
                  <c:v>8.6265056635654087</c:v>
                </c:pt>
                <c:pt idx="110">
                  <c:v>8.6374339941130227</c:v>
                </c:pt>
                <c:pt idx="111">
                  <c:v>8.663143259259277</c:v>
                </c:pt>
                <c:pt idx="112">
                  <c:v>8.6731260849344167</c:v>
                </c:pt>
                <c:pt idx="113">
                  <c:v>8.7013153356532893</c:v>
                </c:pt>
                <c:pt idx="114">
                  <c:v>8.7629612053467483</c:v>
                </c:pt>
                <c:pt idx="115">
                  <c:v>8.7744533995723923</c:v>
                </c:pt>
                <c:pt idx="116">
                  <c:v>8.8606698113841098</c:v>
                </c:pt>
                <c:pt idx="117">
                  <c:v>8.9844516841977402</c:v>
                </c:pt>
                <c:pt idx="118">
                  <c:v>9.0742086237793593</c:v>
                </c:pt>
                <c:pt idx="119">
                  <c:v>9.0765938481256487</c:v>
                </c:pt>
                <c:pt idx="120">
                  <c:v>9.1677711896811989</c:v>
                </c:pt>
                <c:pt idx="121">
                  <c:v>9.1441917579267944</c:v>
                </c:pt>
                <c:pt idx="122">
                  <c:v>9.2537338195827825</c:v>
                </c:pt>
                <c:pt idx="123">
                  <c:v>9.3748236431046355</c:v>
                </c:pt>
                <c:pt idx="124">
                  <c:v>9.4219032403194216</c:v>
                </c:pt>
                <c:pt idx="125">
                  <c:v>9.5669108989311411</c:v>
                </c:pt>
                <c:pt idx="126">
                  <c:v>9.6082898353300461</c:v>
                </c:pt>
                <c:pt idx="127">
                  <c:v>9.606328181252989</c:v>
                </c:pt>
                <c:pt idx="128">
                  <c:v>9.6059322608281565</c:v>
                </c:pt>
                <c:pt idx="129">
                  <c:v>9.7015813879236301</c:v>
                </c:pt>
                <c:pt idx="130">
                  <c:v>9.6610045821402029</c:v>
                </c:pt>
                <c:pt idx="131">
                  <c:v>9.8029146813599848</c:v>
                </c:pt>
                <c:pt idx="132">
                  <c:v>9.8528960273608455</c:v>
                </c:pt>
                <c:pt idx="133">
                  <c:v>9.9893260888047735</c:v>
                </c:pt>
                <c:pt idx="134">
                  <c:v>10.302528875868425</c:v>
                </c:pt>
                <c:pt idx="135">
                  <c:v>10.292292377914805</c:v>
                </c:pt>
                <c:pt idx="136">
                  <c:v>10.329540311794496</c:v>
                </c:pt>
                <c:pt idx="137">
                  <c:v>10.410208703784154</c:v>
                </c:pt>
                <c:pt idx="138">
                  <c:v>10.539896329967808</c:v>
                </c:pt>
                <c:pt idx="139">
                  <c:v>10.536911326566008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9A-48EC-841F-AC590EF49239}"/>
            </c:ext>
          </c:extLst>
        </c:ser>
        <c:ser>
          <c:idx val="4"/>
          <c:order val="4"/>
          <c:tx>
            <c:strRef>
              <c:f>畫圖0!$B$16</c:f>
              <c:strCache>
                <c:ptCount val="1"/>
                <c:pt idx="0">
                  <c:v>120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畫圖0!$C$16:$EL$16</c:f>
              <c:numCache>
                <c:formatCode>General</c:formatCode>
                <c:ptCount val="140"/>
                <c:pt idx="0">
                  <c:v>0.26072770983563209</c:v>
                </c:pt>
                <c:pt idx="1">
                  <c:v>0.40392515263617257</c:v>
                </c:pt>
                <c:pt idx="2">
                  <c:v>0.46968556233235248</c:v>
                </c:pt>
                <c:pt idx="3">
                  <c:v>0.4427773279528574</c:v>
                </c:pt>
                <c:pt idx="4">
                  <c:v>0.4900213914464458</c:v>
                </c:pt>
                <c:pt idx="5">
                  <c:v>0.55811216937983676</c:v>
                </c:pt>
                <c:pt idx="6">
                  <c:v>0.61285271391080864</c:v>
                </c:pt>
                <c:pt idx="7">
                  <c:v>0.69109628377082288</c:v>
                </c:pt>
                <c:pt idx="8">
                  <c:v>0.73090392397241077</c:v>
                </c:pt>
                <c:pt idx="9">
                  <c:v>0.69418210752012965</c:v>
                </c:pt>
                <c:pt idx="10">
                  <c:v>0.68219305420584686</c:v>
                </c:pt>
                <c:pt idx="11">
                  <c:v>0.80712144064406044</c:v>
                </c:pt>
                <c:pt idx="12">
                  <c:v>0.78575037181691365</c:v>
                </c:pt>
                <c:pt idx="13">
                  <c:v>0.78609611664670664</c:v>
                </c:pt>
                <c:pt idx="14">
                  <c:v>0.78334891387538519</c:v>
                </c:pt>
                <c:pt idx="15">
                  <c:v>0.72224407072776553</c:v>
                </c:pt>
                <c:pt idx="16">
                  <c:v>0.80052237626101763</c:v>
                </c:pt>
                <c:pt idx="17">
                  <c:v>0.84302393435386158</c:v>
                </c:pt>
                <c:pt idx="18">
                  <c:v>0.84844446499746595</c:v>
                </c:pt>
                <c:pt idx="19">
                  <c:v>0.84451214573174593</c:v>
                </c:pt>
                <c:pt idx="20">
                  <c:v>0.9463362639697569</c:v>
                </c:pt>
                <c:pt idx="21">
                  <c:v>1.1199612882404504</c:v>
                </c:pt>
                <c:pt idx="22">
                  <c:v>1.1631660943159181</c:v>
                </c:pt>
                <c:pt idx="23">
                  <c:v>1.2687580191388892</c:v>
                </c:pt>
                <c:pt idx="24">
                  <c:v>1.400114498673485</c:v>
                </c:pt>
                <c:pt idx="25">
                  <c:v>1.4748602787521514</c:v>
                </c:pt>
                <c:pt idx="26">
                  <c:v>1.5017816736934633</c:v>
                </c:pt>
                <c:pt idx="27">
                  <c:v>1.481800181671528</c:v>
                </c:pt>
                <c:pt idx="28">
                  <c:v>1.509336817309713</c:v>
                </c:pt>
                <c:pt idx="29">
                  <c:v>1.6224408528474226</c:v>
                </c:pt>
                <c:pt idx="30">
                  <c:v>1.6625727650595876</c:v>
                </c:pt>
                <c:pt idx="31">
                  <c:v>1.6681619486048411</c:v>
                </c:pt>
                <c:pt idx="32">
                  <c:v>1.7395454904632044</c:v>
                </c:pt>
                <c:pt idx="33">
                  <c:v>1.7678363832408415</c:v>
                </c:pt>
                <c:pt idx="34">
                  <c:v>1.7960168860481822</c:v>
                </c:pt>
                <c:pt idx="35">
                  <c:v>1.8562718630284323</c:v>
                </c:pt>
                <c:pt idx="36">
                  <c:v>1.8869293190451766</c:v>
                </c:pt>
                <c:pt idx="37">
                  <c:v>2.0132931407831203</c:v>
                </c:pt>
                <c:pt idx="38">
                  <c:v>2.0894144452654473</c:v>
                </c:pt>
                <c:pt idx="39">
                  <c:v>2.0556150794607331</c:v>
                </c:pt>
                <c:pt idx="40">
                  <c:v>2.0060321410485282</c:v>
                </c:pt>
                <c:pt idx="41">
                  <c:v>2.1107371594066415</c:v>
                </c:pt>
                <c:pt idx="42">
                  <c:v>2.1162245648081557</c:v>
                </c:pt>
                <c:pt idx="43">
                  <c:v>2.3351591516096457</c:v>
                </c:pt>
                <c:pt idx="44">
                  <c:v>2.4491413477738244</c:v>
                </c:pt>
                <c:pt idx="45">
                  <c:v>2.5348670640893731</c:v>
                </c:pt>
                <c:pt idx="46">
                  <c:v>2.644143678815428</c:v>
                </c:pt>
                <c:pt idx="47">
                  <c:v>2.7927043070094739</c:v>
                </c:pt>
                <c:pt idx="48">
                  <c:v>2.8515794732251587</c:v>
                </c:pt>
                <c:pt idx="49">
                  <c:v>2.9778907160376722</c:v>
                </c:pt>
                <c:pt idx="50">
                  <c:v>3.1338592322480765</c:v>
                </c:pt>
                <c:pt idx="51">
                  <c:v>3.3093498237921364</c:v>
                </c:pt>
                <c:pt idx="52">
                  <c:v>3.2765842233247828</c:v>
                </c:pt>
                <c:pt idx="53">
                  <c:v>3.2608601130063111</c:v>
                </c:pt>
                <c:pt idx="54">
                  <c:v>3.2989134903733839</c:v>
                </c:pt>
                <c:pt idx="55">
                  <c:v>3.4318819350144856</c:v>
                </c:pt>
                <c:pt idx="56">
                  <c:v>3.5407286977316246</c:v>
                </c:pt>
                <c:pt idx="57">
                  <c:v>3.61519530276686</c:v>
                </c:pt>
                <c:pt idx="58">
                  <c:v>3.7501887383210168</c:v>
                </c:pt>
                <c:pt idx="59">
                  <c:v>3.8194543487909596</c:v>
                </c:pt>
                <c:pt idx="60">
                  <c:v>3.8338688113315227</c:v>
                </c:pt>
                <c:pt idx="61">
                  <c:v>3.9034493867369182</c:v>
                </c:pt>
                <c:pt idx="62">
                  <c:v>3.9432238063144216</c:v>
                </c:pt>
                <c:pt idx="63">
                  <c:v>3.9329194189608141</c:v>
                </c:pt>
                <c:pt idx="64">
                  <c:v>3.9246116249354324</c:v>
                </c:pt>
                <c:pt idx="65">
                  <c:v>3.9011318652485514</c:v>
                </c:pt>
                <c:pt idx="66">
                  <c:v>3.9631889539040466</c:v>
                </c:pt>
                <c:pt idx="67">
                  <c:v>4.0648780171796774</c:v>
                </c:pt>
                <c:pt idx="68">
                  <c:v>4.1213087478426154</c:v>
                </c:pt>
                <c:pt idx="69">
                  <c:v>4.0082155261245491</c:v>
                </c:pt>
                <c:pt idx="70">
                  <c:v>4.1212365013497161</c:v>
                </c:pt>
                <c:pt idx="71">
                  <c:v>4.1775227627427265</c:v>
                </c:pt>
                <c:pt idx="72">
                  <c:v>4.5320748717324841</c:v>
                </c:pt>
                <c:pt idx="73">
                  <c:v>4.5232845087823046</c:v>
                </c:pt>
                <c:pt idx="74">
                  <c:v>4.625816012076899</c:v>
                </c:pt>
                <c:pt idx="75">
                  <c:v>4.7462662145388297</c:v>
                </c:pt>
                <c:pt idx="76">
                  <c:v>4.7694987843576815</c:v>
                </c:pt>
                <c:pt idx="77">
                  <c:v>4.8081826119195421</c:v>
                </c:pt>
                <c:pt idx="78">
                  <c:v>4.8284984783561802</c:v>
                </c:pt>
                <c:pt idx="79">
                  <c:v>4.9673695766890695</c:v>
                </c:pt>
                <c:pt idx="80">
                  <c:v>5.2650308550027676</c:v>
                </c:pt>
                <c:pt idx="81">
                  <c:v>5.3309746870738355</c:v>
                </c:pt>
                <c:pt idx="82">
                  <c:v>5.4844751104996918</c:v>
                </c:pt>
                <c:pt idx="83">
                  <c:v>5.7241163021763173</c:v>
                </c:pt>
                <c:pt idx="84">
                  <c:v>5.7723317634188156</c:v>
                </c:pt>
                <c:pt idx="85">
                  <c:v>5.8176816839993659</c:v>
                </c:pt>
                <c:pt idx="86">
                  <c:v>5.8503512353335276</c:v>
                </c:pt>
                <c:pt idx="87">
                  <c:v>5.9407138515879669</c:v>
                </c:pt>
                <c:pt idx="88">
                  <c:v>5.9757705220397099</c:v>
                </c:pt>
                <c:pt idx="89">
                  <c:v>6.2217272010402453</c:v>
                </c:pt>
                <c:pt idx="90">
                  <c:v>6.4340230156960745</c:v>
                </c:pt>
                <c:pt idx="91">
                  <c:v>6.5738460644967214</c:v>
                </c:pt>
                <c:pt idx="92">
                  <c:v>6.6717242479007206</c:v>
                </c:pt>
                <c:pt idx="93">
                  <c:v>6.9250652107490733</c:v>
                </c:pt>
                <c:pt idx="94">
                  <c:v>6.9889174739086313</c:v>
                </c:pt>
                <c:pt idx="95">
                  <c:v>7.0697960921216634</c:v>
                </c:pt>
                <c:pt idx="96">
                  <c:v>7.2355640389845455</c:v>
                </c:pt>
                <c:pt idx="97">
                  <c:v>7.3275810985729048</c:v>
                </c:pt>
                <c:pt idx="98">
                  <c:v>7.4117293327795855</c:v>
                </c:pt>
                <c:pt idx="99">
                  <c:v>7.4959784897696737</c:v>
                </c:pt>
                <c:pt idx="100">
                  <c:v>7.5219140272324809</c:v>
                </c:pt>
                <c:pt idx="101">
                  <c:v>7.7174516313850461</c:v>
                </c:pt>
                <c:pt idx="102">
                  <c:v>7.7426633751094096</c:v>
                </c:pt>
                <c:pt idx="103">
                  <c:v>8.0210287704945475</c:v>
                </c:pt>
                <c:pt idx="104">
                  <c:v>8.0143569425846781</c:v>
                </c:pt>
                <c:pt idx="105">
                  <c:v>8.1347706335168759</c:v>
                </c:pt>
                <c:pt idx="106">
                  <c:v>8.247813642500045</c:v>
                </c:pt>
                <c:pt idx="107">
                  <c:v>8.3868785076644468</c:v>
                </c:pt>
                <c:pt idx="108">
                  <c:v>8.4585886653476781</c:v>
                </c:pt>
                <c:pt idx="109">
                  <c:v>8.4927393707000487</c:v>
                </c:pt>
                <c:pt idx="110">
                  <c:v>8.5138127979716778</c:v>
                </c:pt>
                <c:pt idx="111">
                  <c:v>8.5476084854744165</c:v>
                </c:pt>
                <c:pt idx="112">
                  <c:v>8.557149367827158</c:v>
                </c:pt>
                <c:pt idx="113">
                  <c:v>8.574723751275295</c:v>
                </c:pt>
                <c:pt idx="114">
                  <c:v>8.6475312191512224</c:v>
                </c:pt>
                <c:pt idx="115">
                  <c:v>8.6670725597114533</c:v>
                </c:pt>
                <c:pt idx="116">
                  <c:v>8.756937334843176</c:v>
                </c:pt>
                <c:pt idx="117">
                  <c:v>8.9018361870190361</c:v>
                </c:pt>
                <c:pt idx="118">
                  <c:v>8.9961284055496993</c:v>
                </c:pt>
                <c:pt idx="119">
                  <c:v>9.0099641801723021</c:v>
                </c:pt>
                <c:pt idx="120">
                  <c:v>9.1052020760475401</c:v>
                </c:pt>
                <c:pt idx="121">
                  <c:v>9.082795820610631</c:v>
                </c:pt>
                <c:pt idx="122">
                  <c:v>9.1991006319893014</c:v>
                </c:pt>
                <c:pt idx="123">
                  <c:v>9.3204191142320454</c:v>
                </c:pt>
                <c:pt idx="124">
                  <c:v>9.3555559960681904</c:v>
                </c:pt>
                <c:pt idx="125">
                  <c:v>9.5059430552348552</c:v>
                </c:pt>
                <c:pt idx="126">
                  <c:v>9.5451929457761651</c:v>
                </c:pt>
                <c:pt idx="127">
                  <c:v>9.5479036212249007</c:v>
                </c:pt>
                <c:pt idx="128">
                  <c:v>9.590283428549796</c:v>
                </c:pt>
                <c:pt idx="129">
                  <c:v>9.6923735297178837</c:v>
                </c:pt>
                <c:pt idx="130">
                  <c:v>9.6485798836588526</c:v>
                </c:pt>
                <c:pt idx="131">
                  <c:v>9.8061152216403134</c:v>
                </c:pt>
                <c:pt idx="132">
                  <c:v>9.855899114918099</c:v>
                </c:pt>
                <c:pt idx="133">
                  <c:v>10.010818029194157</c:v>
                </c:pt>
                <c:pt idx="134">
                  <c:v>10.353596818595165</c:v>
                </c:pt>
                <c:pt idx="135">
                  <c:v>10.342608475162345</c:v>
                </c:pt>
                <c:pt idx="136">
                  <c:v>10.38350666708722</c:v>
                </c:pt>
                <c:pt idx="137">
                  <c:v>10.471370115085893</c:v>
                </c:pt>
                <c:pt idx="138">
                  <c:v>10.603283694283647</c:v>
                </c:pt>
                <c:pt idx="139">
                  <c:v>10.598705800560694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9A-48EC-841F-AC590EF49239}"/>
            </c:ext>
          </c:extLst>
        </c:ser>
        <c:ser>
          <c:idx val="5"/>
          <c:order val="5"/>
          <c:tx>
            <c:strRef>
              <c:f>畫圖0!$B$17</c:f>
              <c:strCache>
                <c:ptCount val="1"/>
                <c:pt idx="0">
                  <c:v>130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畫圖0!$C$17:$EL$17</c:f>
              <c:numCache>
                <c:formatCode>General</c:formatCode>
                <c:ptCount val="140"/>
                <c:pt idx="0">
                  <c:v>0.2378970514581851</c:v>
                </c:pt>
                <c:pt idx="1">
                  <c:v>0.41246874591575661</c:v>
                </c:pt>
                <c:pt idx="2">
                  <c:v>0.47968432899099089</c:v>
                </c:pt>
                <c:pt idx="3">
                  <c:v>0.4592606541308919</c:v>
                </c:pt>
                <c:pt idx="4">
                  <c:v>0.50673463392089801</c:v>
                </c:pt>
                <c:pt idx="5">
                  <c:v>0.58063403045119211</c:v>
                </c:pt>
                <c:pt idx="6">
                  <c:v>0.63897020724812792</c:v>
                </c:pt>
                <c:pt idx="7">
                  <c:v>0.73420559115013739</c:v>
                </c:pt>
                <c:pt idx="8">
                  <c:v>0.80633235691621041</c:v>
                </c:pt>
                <c:pt idx="9">
                  <c:v>0.77445024426375109</c:v>
                </c:pt>
                <c:pt idx="10">
                  <c:v>0.73252688404894539</c:v>
                </c:pt>
                <c:pt idx="11">
                  <c:v>0.86762319193517623</c:v>
                </c:pt>
                <c:pt idx="12">
                  <c:v>0.85941411041675742</c:v>
                </c:pt>
                <c:pt idx="13">
                  <c:v>0.85958535237640854</c:v>
                </c:pt>
                <c:pt idx="14">
                  <c:v>0.83616595627070034</c:v>
                </c:pt>
                <c:pt idx="15">
                  <c:v>0.78055091359738205</c:v>
                </c:pt>
                <c:pt idx="16">
                  <c:v>0.87355970734806454</c:v>
                </c:pt>
                <c:pt idx="17">
                  <c:v>0.93386542397455075</c:v>
                </c:pt>
                <c:pt idx="18">
                  <c:v>0.98397648845674468</c:v>
                </c:pt>
                <c:pt idx="19">
                  <c:v>0.97825078186787096</c:v>
                </c:pt>
                <c:pt idx="20">
                  <c:v>1.0893645545709698</c:v>
                </c:pt>
                <c:pt idx="21">
                  <c:v>1.2355505479045081</c:v>
                </c:pt>
                <c:pt idx="22">
                  <c:v>1.2775363217316591</c:v>
                </c:pt>
                <c:pt idx="23">
                  <c:v>1.3894541910753386</c:v>
                </c:pt>
                <c:pt idx="24">
                  <c:v>1.5105547703544022</c:v>
                </c:pt>
                <c:pt idx="25">
                  <c:v>1.5858115263105785</c:v>
                </c:pt>
                <c:pt idx="26">
                  <c:v>1.5983192454726713</c:v>
                </c:pt>
                <c:pt idx="27">
                  <c:v>1.5680346534038758</c:v>
                </c:pt>
                <c:pt idx="28">
                  <c:v>1.5929613963179441</c:v>
                </c:pt>
                <c:pt idx="29">
                  <c:v>1.7256602290626335</c:v>
                </c:pt>
                <c:pt idx="30">
                  <c:v>1.7677024919927069</c:v>
                </c:pt>
                <c:pt idx="31">
                  <c:v>1.7885743432966035</c:v>
                </c:pt>
                <c:pt idx="32">
                  <c:v>1.8394783621898767</c:v>
                </c:pt>
                <c:pt idx="33">
                  <c:v>1.8740902938439732</c:v>
                </c:pt>
                <c:pt idx="34">
                  <c:v>1.8863251169104605</c:v>
                </c:pt>
                <c:pt idx="35">
                  <c:v>1.964888994433269</c:v>
                </c:pt>
                <c:pt idx="36">
                  <c:v>1.9891889176274706</c:v>
                </c:pt>
                <c:pt idx="37">
                  <c:v>2.1309705767906064</c:v>
                </c:pt>
                <c:pt idx="38">
                  <c:v>2.2254326526420831</c:v>
                </c:pt>
                <c:pt idx="39">
                  <c:v>2.1945015930518084</c:v>
                </c:pt>
                <c:pt idx="40">
                  <c:v>2.1148184162628891</c:v>
                </c:pt>
                <c:pt idx="41">
                  <c:v>2.2366303798294496</c:v>
                </c:pt>
                <c:pt idx="42">
                  <c:v>2.2440292833014124</c:v>
                </c:pt>
                <c:pt idx="43">
                  <c:v>2.4942192043006042</c:v>
                </c:pt>
                <c:pt idx="44">
                  <c:v>2.6171682714437181</c:v>
                </c:pt>
                <c:pt idx="45">
                  <c:v>2.7040115501787292</c:v>
                </c:pt>
                <c:pt idx="46">
                  <c:v>2.6937678966915537</c:v>
                </c:pt>
                <c:pt idx="47">
                  <c:v>2.8291951952157262</c:v>
                </c:pt>
                <c:pt idx="48">
                  <c:v>2.8721783648128429</c:v>
                </c:pt>
                <c:pt idx="49">
                  <c:v>2.924375074677362</c:v>
                </c:pt>
                <c:pt idx="50">
                  <c:v>3.1029530686563316</c:v>
                </c:pt>
                <c:pt idx="51">
                  <c:v>3.2503700390054138</c:v>
                </c:pt>
                <c:pt idx="52">
                  <c:v>3.1872205615361886</c:v>
                </c:pt>
                <c:pt idx="53">
                  <c:v>3.1701694977225228</c:v>
                </c:pt>
                <c:pt idx="54">
                  <c:v>3.2449756365328972</c:v>
                </c:pt>
                <c:pt idx="55">
                  <c:v>3.4002051911641953</c:v>
                </c:pt>
                <c:pt idx="56">
                  <c:v>3.495612891123816</c:v>
                </c:pt>
                <c:pt idx="57">
                  <c:v>3.5826227898165039</c:v>
                </c:pt>
                <c:pt idx="58">
                  <c:v>3.7187636748886255</c:v>
                </c:pt>
                <c:pt idx="59">
                  <c:v>3.7996569485586864</c:v>
                </c:pt>
                <c:pt idx="60">
                  <c:v>3.7953818250527531</c:v>
                </c:pt>
                <c:pt idx="61">
                  <c:v>3.8561393551344878</c:v>
                </c:pt>
                <c:pt idx="62">
                  <c:v>3.8868578764044575</c:v>
                </c:pt>
                <c:pt idx="63">
                  <c:v>3.8763426414514939</c:v>
                </c:pt>
                <c:pt idx="64">
                  <c:v>3.873657531579191</c:v>
                </c:pt>
                <c:pt idx="65">
                  <c:v>3.8418500416618442</c:v>
                </c:pt>
                <c:pt idx="66">
                  <c:v>3.9098430719931301</c:v>
                </c:pt>
                <c:pt idx="67">
                  <c:v>4.0290708285323058</c:v>
                </c:pt>
                <c:pt idx="68">
                  <c:v>4.0751094034055786</c:v>
                </c:pt>
                <c:pt idx="69">
                  <c:v>4.0915279027119444</c:v>
                </c:pt>
                <c:pt idx="70">
                  <c:v>4.2155943592915497</c:v>
                </c:pt>
                <c:pt idx="71">
                  <c:v>4.2888742445955694</c:v>
                </c:pt>
                <c:pt idx="72">
                  <c:v>4.7008395072846225</c:v>
                </c:pt>
                <c:pt idx="73">
                  <c:v>4.6956026034668916</c:v>
                </c:pt>
                <c:pt idx="74">
                  <c:v>4.8296344134106279</c:v>
                </c:pt>
                <c:pt idx="75">
                  <c:v>4.9501672593823942</c:v>
                </c:pt>
                <c:pt idx="76">
                  <c:v>4.965246898353981</c:v>
                </c:pt>
                <c:pt idx="77">
                  <c:v>4.9946760806027983</c:v>
                </c:pt>
                <c:pt idx="78">
                  <c:v>5.0235540602768625</c:v>
                </c:pt>
                <c:pt idx="79">
                  <c:v>5.1723024027739113</c:v>
                </c:pt>
                <c:pt idx="80">
                  <c:v>5.5010480773605606</c:v>
                </c:pt>
                <c:pt idx="81">
                  <c:v>5.5409847999394923</c:v>
                </c:pt>
                <c:pt idx="82">
                  <c:v>5.7015643502619637</c:v>
                </c:pt>
                <c:pt idx="83">
                  <c:v>5.9379260813052346</c:v>
                </c:pt>
                <c:pt idx="84">
                  <c:v>5.9810758245665658</c:v>
                </c:pt>
                <c:pt idx="85">
                  <c:v>6.0122928997707934</c:v>
                </c:pt>
                <c:pt idx="86">
                  <c:v>6.0577619602524138</c:v>
                </c:pt>
                <c:pt idx="87">
                  <c:v>6.1575082133986907</c:v>
                </c:pt>
                <c:pt idx="88">
                  <c:v>6.188972538322898</c:v>
                </c:pt>
                <c:pt idx="89">
                  <c:v>6.4762479555288666</c:v>
                </c:pt>
                <c:pt idx="90">
                  <c:v>6.7063613999809606</c:v>
                </c:pt>
                <c:pt idx="91">
                  <c:v>6.8314851678454982</c:v>
                </c:pt>
                <c:pt idx="92">
                  <c:v>6.9192443860879385</c:v>
                </c:pt>
                <c:pt idx="93">
                  <c:v>7.218774911096868</c:v>
                </c:pt>
                <c:pt idx="94">
                  <c:v>7.2868728065953565</c:v>
                </c:pt>
                <c:pt idx="95">
                  <c:v>7.3895959788576269</c:v>
                </c:pt>
                <c:pt idx="96">
                  <c:v>7.5531231257321574</c:v>
                </c:pt>
                <c:pt idx="97">
                  <c:v>7.6421824836707035</c:v>
                </c:pt>
                <c:pt idx="98">
                  <c:v>7.7066126825233088</c:v>
                </c:pt>
                <c:pt idx="99">
                  <c:v>7.7804146000485739</c:v>
                </c:pt>
                <c:pt idx="100">
                  <c:v>7.7964947893272827</c:v>
                </c:pt>
                <c:pt idx="101">
                  <c:v>8.0217446953519538</c:v>
                </c:pt>
                <c:pt idx="102">
                  <c:v>8.0616743342835182</c:v>
                </c:pt>
                <c:pt idx="103">
                  <c:v>8.3433275420548672</c:v>
                </c:pt>
                <c:pt idx="104">
                  <c:v>8.336885820356656</c:v>
                </c:pt>
                <c:pt idx="105">
                  <c:v>8.4341179755945745</c:v>
                </c:pt>
                <c:pt idx="106">
                  <c:v>8.5261676936632487</c:v>
                </c:pt>
                <c:pt idx="107">
                  <c:v>8.6823867538070001</c:v>
                </c:pt>
                <c:pt idx="108">
                  <c:v>8.7513879322799308</c:v>
                </c:pt>
                <c:pt idx="109">
                  <c:v>8.7888432534433516</c:v>
                </c:pt>
                <c:pt idx="110">
                  <c:v>8.8152690300103149</c:v>
                </c:pt>
                <c:pt idx="111">
                  <c:v>8.8543322030287221</c:v>
                </c:pt>
                <c:pt idx="112">
                  <c:v>8.8622757879946423</c:v>
                </c:pt>
                <c:pt idx="113">
                  <c:v>8.8677526095467396</c:v>
                </c:pt>
                <c:pt idx="114">
                  <c:v>8.890306160615669</c:v>
                </c:pt>
                <c:pt idx="115">
                  <c:v>8.9134371294508874</c:v>
                </c:pt>
                <c:pt idx="116">
                  <c:v>9.0209450476045703</c:v>
                </c:pt>
                <c:pt idx="117">
                  <c:v>9.1603388882360441</c:v>
                </c:pt>
                <c:pt idx="118">
                  <c:v>9.2646765417961117</c:v>
                </c:pt>
                <c:pt idx="119">
                  <c:v>9.2764845561213995</c:v>
                </c:pt>
                <c:pt idx="120">
                  <c:v>9.3601391373697567</c:v>
                </c:pt>
                <c:pt idx="121">
                  <c:v>9.3441956498819749</c:v>
                </c:pt>
                <c:pt idx="122">
                  <c:v>9.4666286511149167</c:v>
                </c:pt>
                <c:pt idx="123">
                  <c:v>9.6166178467563057</c:v>
                </c:pt>
                <c:pt idx="124">
                  <c:v>9.622783876038298</c:v>
                </c:pt>
                <c:pt idx="125">
                  <c:v>9.7880663219929431</c:v>
                </c:pt>
                <c:pt idx="126">
                  <c:v>9.8222848687508364</c:v>
                </c:pt>
                <c:pt idx="127">
                  <c:v>9.8128690460926702</c:v>
                </c:pt>
                <c:pt idx="128">
                  <c:v>9.8582808843021041</c:v>
                </c:pt>
                <c:pt idx="129">
                  <c:v>9.9518997060716838</c:v>
                </c:pt>
                <c:pt idx="130">
                  <c:v>9.9142913740065914</c:v>
                </c:pt>
                <c:pt idx="131">
                  <c:v>10.086698828404892</c:v>
                </c:pt>
                <c:pt idx="132">
                  <c:v>10.156193745772187</c:v>
                </c:pt>
                <c:pt idx="133">
                  <c:v>10.331921072276948</c:v>
                </c:pt>
                <c:pt idx="134">
                  <c:v>10.739133880237302</c:v>
                </c:pt>
                <c:pt idx="135">
                  <c:v>10.744212711756431</c:v>
                </c:pt>
                <c:pt idx="136">
                  <c:v>10.787165947236451</c:v>
                </c:pt>
                <c:pt idx="137">
                  <c:v>10.873085711364388</c:v>
                </c:pt>
                <c:pt idx="138">
                  <c:v>10.990021532175584</c:v>
                </c:pt>
                <c:pt idx="139">
                  <c:v>10.996724391328065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9A-48EC-841F-AC590EF49239}"/>
            </c:ext>
          </c:extLst>
        </c:ser>
        <c:ser>
          <c:idx val="6"/>
          <c:order val="6"/>
          <c:tx>
            <c:strRef>
              <c:f>畫圖0!$B$18</c:f>
              <c:strCache>
                <c:ptCount val="1"/>
                <c:pt idx="0">
                  <c:v>150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畫圖0!$C$18:$EL$18</c:f>
              <c:numCache>
                <c:formatCode>General</c:formatCode>
                <c:ptCount val="140"/>
                <c:pt idx="0">
                  <c:v>0.24368728540115189</c:v>
                </c:pt>
                <c:pt idx="1">
                  <c:v>0.34978544303036296</c:v>
                </c:pt>
                <c:pt idx="2">
                  <c:v>0.41584244110061602</c:v>
                </c:pt>
                <c:pt idx="3">
                  <c:v>0.43303098729999101</c:v>
                </c:pt>
                <c:pt idx="4">
                  <c:v>0.47312817518654482</c:v>
                </c:pt>
                <c:pt idx="5">
                  <c:v>0.52707433097995271</c:v>
                </c:pt>
                <c:pt idx="6">
                  <c:v>0.55123383922595959</c:v>
                </c:pt>
                <c:pt idx="7">
                  <c:v>0.68504436993968798</c:v>
                </c:pt>
                <c:pt idx="8">
                  <c:v>0.79843117524253948</c:v>
                </c:pt>
                <c:pt idx="9">
                  <c:v>0.76652726492045631</c:v>
                </c:pt>
                <c:pt idx="10">
                  <c:v>0.7172696648690331</c:v>
                </c:pt>
                <c:pt idx="11">
                  <c:v>0.86221033742198128</c:v>
                </c:pt>
                <c:pt idx="12">
                  <c:v>0.85918676047435016</c:v>
                </c:pt>
                <c:pt idx="13">
                  <c:v>0.84943496599501089</c:v>
                </c:pt>
                <c:pt idx="14">
                  <c:v>0.76472739711652038</c:v>
                </c:pt>
                <c:pt idx="15">
                  <c:v>0.69850170380651244</c:v>
                </c:pt>
                <c:pt idx="16">
                  <c:v>0.79162299815518533</c:v>
                </c:pt>
                <c:pt idx="17">
                  <c:v>0.83535459753951524</c:v>
                </c:pt>
                <c:pt idx="18">
                  <c:v>0.86670195782728665</c:v>
                </c:pt>
                <c:pt idx="19">
                  <c:v>0.87719602441588895</c:v>
                </c:pt>
                <c:pt idx="20">
                  <c:v>0.99273496450281884</c:v>
                </c:pt>
                <c:pt idx="21">
                  <c:v>1.1687702767796542</c:v>
                </c:pt>
                <c:pt idx="22">
                  <c:v>1.2088441285415596</c:v>
                </c:pt>
                <c:pt idx="23">
                  <c:v>1.3435914491830652</c:v>
                </c:pt>
                <c:pt idx="24">
                  <c:v>1.4745021536579443</c:v>
                </c:pt>
                <c:pt idx="25">
                  <c:v>1.5611292569680926</c:v>
                </c:pt>
                <c:pt idx="26">
                  <c:v>1.5729392584802173</c:v>
                </c:pt>
                <c:pt idx="27">
                  <c:v>1.5372954145415569</c:v>
                </c:pt>
                <c:pt idx="28">
                  <c:v>1.5835555901841012</c:v>
                </c:pt>
                <c:pt idx="29">
                  <c:v>1.7328232226654101</c:v>
                </c:pt>
                <c:pt idx="30">
                  <c:v>1.756453095173274</c:v>
                </c:pt>
                <c:pt idx="31">
                  <c:v>1.7482427653818322</c:v>
                </c:pt>
                <c:pt idx="32">
                  <c:v>1.7974464225663371</c:v>
                </c:pt>
                <c:pt idx="33">
                  <c:v>1.8158725313290729</c:v>
                </c:pt>
                <c:pt idx="34">
                  <c:v>1.8242995373390767</c:v>
                </c:pt>
                <c:pt idx="35">
                  <c:v>1.9002694761706576</c:v>
                </c:pt>
                <c:pt idx="36">
                  <c:v>1.9245529614681844</c:v>
                </c:pt>
                <c:pt idx="37">
                  <c:v>2.0724832109804012</c:v>
                </c:pt>
                <c:pt idx="38">
                  <c:v>2.1909813455981317</c:v>
                </c:pt>
                <c:pt idx="39">
                  <c:v>2.1739390017482769</c:v>
                </c:pt>
                <c:pt idx="40">
                  <c:v>2.1332856405763971</c:v>
                </c:pt>
                <c:pt idx="41">
                  <c:v>2.2574226150600336</c:v>
                </c:pt>
                <c:pt idx="42">
                  <c:v>2.2432660789844459</c:v>
                </c:pt>
                <c:pt idx="43">
                  <c:v>2.4909905716852632</c:v>
                </c:pt>
                <c:pt idx="44">
                  <c:v>2.6112551957998593</c:v>
                </c:pt>
                <c:pt idx="45">
                  <c:v>2.6865533388679763</c:v>
                </c:pt>
                <c:pt idx="46">
                  <c:v>2.678481689953168</c:v>
                </c:pt>
                <c:pt idx="47">
                  <c:v>2.8505099224659296</c:v>
                </c:pt>
                <c:pt idx="48">
                  <c:v>2.8510621600976833</c:v>
                </c:pt>
                <c:pt idx="49">
                  <c:v>2.9100587271930438</c:v>
                </c:pt>
                <c:pt idx="50">
                  <c:v>3.0939510506892742</c:v>
                </c:pt>
                <c:pt idx="51">
                  <c:v>3.2492615744706597</c:v>
                </c:pt>
                <c:pt idx="52">
                  <c:v>3.3136726632895663</c:v>
                </c:pt>
                <c:pt idx="53">
                  <c:v>3.3074938303297277</c:v>
                </c:pt>
                <c:pt idx="54">
                  <c:v>3.3621104997929967</c:v>
                </c:pt>
                <c:pt idx="55">
                  <c:v>3.4937648071800096</c:v>
                </c:pt>
                <c:pt idx="56">
                  <c:v>3.5840386647579607</c:v>
                </c:pt>
                <c:pt idx="57">
                  <c:v>3.6474115321717662</c:v>
                </c:pt>
                <c:pt idx="58">
                  <c:v>3.8277278527523553</c:v>
                </c:pt>
                <c:pt idx="59">
                  <c:v>3.9138748954585525</c:v>
                </c:pt>
                <c:pt idx="60">
                  <c:v>3.9181453863660849</c:v>
                </c:pt>
                <c:pt idx="61">
                  <c:v>3.9773173853629755</c:v>
                </c:pt>
                <c:pt idx="62">
                  <c:v>3.9948038982297893</c:v>
                </c:pt>
                <c:pt idx="63">
                  <c:v>3.9854892012601062</c:v>
                </c:pt>
                <c:pt idx="64">
                  <c:v>3.9690738314302201</c:v>
                </c:pt>
                <c:pt idx="65">
                  <c:v>3.9291049386847567</c:v>
                </c:pt>
                <c:pt idx="66">
                  <c:v>3.9959018097529735</c:v>
                </c:pt>
                <c:pt idx="67">
                  <c:v>4.1350542634996161</c:v>
                </c:pt>
                <c:pt idx="68">
                  <c:v>4.1818246457970423</c:v>
                </c:pt>
                <c:pt idx="69">
                  <c:v>4.2229983696905684</c:v>
                </c:pt>
                <c:pt idx="70">
                  <c:v>4.3182709591040283</c:v>
                </c:pt>
                <c:pt idx="71">
                  <c:v>4.3588701751639851</c:v>
                </c:pt>
                <c:pt idx="72">
                  <c:v>4.8270132435118258</c:v>
                </c:pt>
                <c:pt idx="73">
                  <c:v>4.8218602289038461</c:v>
                </c:pt>
                <c:pt idx="74">
                  <c:v>4.9916199180933809</c:v>
                </c:pt>
                <c:pt idx="75">
                  <c:v>5.1448881231424712</c:v>
                </c:pt>
                <c:pt idx="76">
                  <c:v>5.1784103645958472</c:v>
                </c:pt>
                <c:pt idx="77">
                  <c:v>5.1983725088456554</c:v>
                </c:pt>
                <c:pt idx="78">
                  <c:v>5.2116970327516841</c:v>
                </c:pt>
                <c:pt idx="79">
                  <c:v>5.3549954565973312</c:v>
                </c:pt>
                <c:pt idx="80">
                  <c:v>5.7185254533887795</c:v>
                </c:pt>
                <c:pt idx="81">
                  <c:v>5.7504159937893746</c:v>
                </c:pt>
                <c:pt idx="82">
                  <c:v>5.8643259069448366</c:v>
                </c:pt>
                <c:pt idx="83">
                  <c:v>6.1415664790294606</c:v>
                </c:pt>
                <c:pt idx="84">
                  <c:v>6.190744868904221</c:v>
                </c:pt>
                <c:pt idx="85">
                  <c:v>6.2069745231968518</c:v>
                </c:pt>
                <c:pt idx="86">
                  <c:v>6.2301106832110564</c:v>
                </c:pt>
                <c:pt idx="87">
                  <c:v>6.31496219157862</c:v>
                </c:pt>
                <c:pt idx="88">
                  <c:v>6.3411889760077376</c:v>
                </c:pt>
                <c:pt idx="89">
                  <c:v>6.6893630484013054</c:v>
                </c:pt>
                <c:pt idx="90">
                  <c:v>6.9171626887273714</c:v>
                </c:pt>
                <c:pt idx="91">
                  <c:v>7.0193910329296498</c:v>
                </c:pt>
                <c:pt idx="92">
                  <c:v>7.1360962105890557</c:v>
                </c:pt>
                <c:pt idx="93">
                  <c:v>7.4614605349252967</c:v>
                </c:pt>
                <c:pt idx="94">
                  <c:v>7.5408918545331298</c:v>
                </c:pt>
                <c:pt idx="95">
                  <c:v>7.6029291693615901</c:v>
                </c:pt>
                <c:pt idx="96">
                  <c:v>7.7799745428116793</c:v>
                </c:pt>
                <c:pt idx="97">
                  <c:v>7.8572066294662095</c:v>
                </c:pt>
                <c:pt idx="98">
                  <c:v>7.9418010460218715</c:v>
                </c:pt>
                <c:pt idx="99">
                  <c:v>8.0111173266333982</c:v>
                </c:pt>
                <c:pt idx="100">
                  <c:v>8.0484620164149785</c:v>
                </c:pt>
                <c:pt idx="101">
                  <c:v>8.2653767017878401</c:v>
                </c:pt>
                <c:pt idx="102">
                  <c:v>8.2706934036969884</c:v>
                </c:pt>
                <c:pt idx="103">
                  <c:v>8.5648749639121284</c:v>
                </c:pt>
                <c:pt idx="104">
                  <c:v>8.56085055060821</c:v>
                </c:pt>
                <c:pt idx="105">
                  <c:v>8.6431571154503555</c:v>
                </c:pt>
                <c:pt idx="106">
                  <c:v>8.7182985170749099</c:v>
                </c:pt>
                <c:pt idx="107">
                  <c:v>8.8860874465952815</c:v>
                </c:pt>
                <c:pt idx="108">
                  <c:v>8.9642154421240381</c:v>
                </c:pt>
                <c:pt idx="109">
                  <c:v>9.0165345530901355</c:v>
                </c:pt>
                <c:pt idx="110">
                  <c:v>9.0485440246144559</c:v>
                </c:pt>
                <c:pt idx="111">
                  <c:v>9.0820380888333538</c:v>
                </c:pt>
                <c:pt idx="112">
                  <c:v>9.101160350073533</c:v>
                </c:pt>
                <c:pt idx="113">
                  <c:v>9.1077793145636203</c:v>
                </c:pt>
                <c:pt idx="114">
                  <c:v>9.1874368718857244</c:v>
                </c:pt>
                <c:pt idx="115">
                  <c:v>9.2078590911995022</c:v>
                </c:pt>
                <c:pt idx="116">
                  <c:v>9.3120084308990787</c:v>
                </c:pt>
                <c:pt idx="117">
                  <c:v>9.4470121568902883</c:v>
                </c:pt>
                <c:pt idx="118">
                  <c:v>9.5460708166492587</c:v>
                </c:pt>
                <c:pt idx="119">
                  <c:v>9.567736494854806</c:v>
                </c:pt>
                <c:pt idx="120">
                  <c:v>9.653572264939104</c:v>
                </c:pt>
                <c:pt idx="121">
                  <c:v>9.678107698212683</c:v>
                </c:pt>
                <c:pt idx="122">
                  <c:v>9.8127799713946349</c:v>
                </c:pt>
                <c:pt idx="123">
                  <c:v>9.9677631165825193</c:v>
                </c:pt>
                <c:pt idx="124">
                  <c:v>9.9935273489682928</c:v>
                </c:pt>
                <c:pt idx="125">
                  <c:v>10.181632304335466</c:v>
                </c:pt>
                <c:pt idx="126">
                  <c:v>10.23096677038129</c:v>
                </c:pt>
                <c:pt idx="127">
                  <c:v>10.196333891387178</c:v>
                </c:pt>
                <c:pt idx="128">
                  <c:v>10.23799270831242</c:v>
                </c:pt>
                <c:pt idx="129">
                  <c:v>10.348253705170725</c:v>
                </c:pt>
                <c:pt idx="130">
                  <c:v>10.338207385841756</c:v>
                </c:pt>
                <c:pt idx="131">
                  <c:v>10.504844145581352</c:v>
                </c:pt>
                <c:pt idx="132">
                  <c:v>10.590083432735645</c:v>
                </c:pt>
                <c:pt idx="133">
                  <c:v>10.758201048907805</c:v>
                </c:pt>
                <c:pt idx="134">
                  <c:v>11.197536813014143</c:v>
                </c:pt>
                <c:pt idx="135">
                  <c:v>11.206428167132014</c:v>
                </c:pt>
                <c:pt idx="136">
                  <c:v>11.243433007147054</c:v>
                </c:pt>
                <c:pt idx="137">
                  <c:v>11.310272608441947</c:v>
                </c:pt>
                <c:pt idx="138">
                  <c:v>11.435082942886723</c:v>
                </c:pt>
                <c:pt idx="139">
                  <c:v>11.449138404224655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9A-48EC-841F-AC590EF49239}"/>
            </c:ext>
          </c:extLst>
        </c:ser>
        <c:ser>
          <c:idx val="7"/>
          <c:order val="7"/>
          <c:tx>
            <c:strRef>
              <c:f>畫圖0!$B$19</c:f>
              <c:strCache>
                <c:ptCount val="1"/>
                <c:pt idx="0">
                  <c:v>180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畫圖0!$C$19:$EL$19</c:f>
              <c:numCache>
                <c:formatCode>General</c:formatCode>
                <c:ptCount val="140"/>
                <c:pt idx="0">
                  <c:v>0.25825037374733928</c:v>
                </c:pt>
                <c:pt idx="1">
                  <c:v>0.32890595657094557</c:v>
                </c:pt>
                <c:pt idx="2">
                  <c:v>0.41264880920714325</c:v>
                </c:pt>
                <c:pt idx="3">
                  <c:v>0.41283605410729834</c:v>
                </c:pt>
                <c:pt idx="4">
                  <c:v>0.4282301187647673</c:v>
                </c:pt>
                <c:pt idx="5">
                  <c:v>0.5038332552913809</c:v>
                </c:pt>
                <c:pt idx="6">
                  <c:v>0.53724245939564963</c:v>
                </c:pt>
                <c:pt idx="7">
                  <c:v>0.69721674216228569</c:v>
                </c:pt>
                <c:pt idx="8">
                  <c:v>0.79365927188329755</c:v>
                </c:pt>
                <c:pt idx="9">
                  <c:v>0.75199230430899155</c:v>
                </c:pt>
                <c:pt idx="10">
                  <c:v>0.63210588013898861</c:v>
                </c:pt>
                <c:pt idx="11">
                  <c:v>0.77794392881005037</c:v>
                </c:pt>
                <c:pt idx="12">
                  <c:v>0.76171053324656468</c:v>
                </c:pt>
                <c:pt idx="13">
                  <c:v>0.75395029002120539</c:v>
                </c:pt>
                <c:pt idx="14">
                  <c:v>0.66373768461417137</c:v>
                </c:pt>
                <c:pt idx="15">
                  <c:v>0.59166637439194703</c:v>
                </c:pt>
                <c:pt idx="16">
                  <c:v>0.65348260843129369</c:v>
                </c:pt>
                <c:pt idx="17">
                  <c:v>0.67675447565428282</c:v>
                </c:pt>
                <c:pt idx="18">
                  <c:v>0.68012769826092145</c:v>
                </c:pt>
                <c:pt idx="19">
                  <c:v>0.66083819876112637</c:v>
                </c:pt>
                <c:pt idx="20">
                  <c:v>0.7988972124459931</c:v>
                </c:pt>
                <c:pt idx="21">
                  <c:v>1.0175771516698882</c:v>
                </c:pt>
                <c:pt idx="22">
                  <c:v>1.0520503426720635</c:v>
                </c:pt>
                <c:pt idx="23">
                  <c:v>1.2083878089844999</c:v>
                </c:pt>
                <c:pt idx="24">
                  <c:v>1.3198373322295671</c:v>
                </c:pt>
                <c:pt idx="25">
                  <c:v>1.4107135726290863</c:v>
                </c:pt>
                <c:pt idx="26">
                  <c:v>1.4203800383227527</c:v>
                </c:pt>
                <c:pt idx="27">
                  <c:v>1.3798521949749811</c:v>
                </c:pt>
                <c:pt idx="28">
                  <c:v>1.4028601394133908</c:v>
                </c:pt>
                <c:pt idx="29">
                  <c:v>1.5005430451158022</c:v>
                </c:pt>
                <c:pt idx="30">
                  <c:v>1.5477394533120081</c:v>
                </c:pt>
                <c:pt idx="31">
                  <c:v>1.547180576359571</c:v>
                </c:pt>
                <c:pt idx="32">
                  <c:v>1.6066312960130908</c:v>
                </c:pt>
                <c:pt idx="33">
                  <c:v>1.6025145386117199</c:v>
                </c:pt>
                <c:pt idx="34">
                  <c:v>1.5849911135555275</c:v>
                </c:pt>
                <c:pt idx="35">
                  <c:v>1.6577341552462284</c:v>
                </c:pt>
                <c:pt idx="36">
                  <c:v>1.6714199688977696</c:v>
                </c:pt>
                <c:pt idx="37">
                  <c:v>1.8089323828505559</c:v>
                </c:pt>
                <c:pt idx="38">
                  <c:v>1.931833297205416</c:v>
                </c:pt>
                <c:pt idx="39">
                  <c:v>1.9004180489537295</c:v>
                </c:pt>
                <c:pt idx="40">
                  <c:v>1.8356327432004689</c:v>
                </c:pt>
                <c:pt idx="41">
                  <c:v>1.9743631625589935</c:v>
                </c:pt>
                <c:pt idx="42">
                  <c:v>1.9413490468871293</c:v>
                </c:pt>
                <c:pt idx="43">
                  <c:v>2.2089996249536448</c:v>
                </c:pt>
                <c:pt idx="44">
                  <c:v>2.3461760210624454</c:v>
                </c:pt>
                <c:pt idx="45">
                  <c:v>2.4349428512035174</c:v>
                </c:pt>
                <c:pt idx="46">
                  <c:v>2.4342331728408104</c:v>
                </c:pt>
                <c:pt idx="47">
                  <c:v>2.6132983850435449</c:v>
                </c:pt>
                <c:pt idx="48">
                  <c:v>2.5945893137223535</c:v>
                </c:pt>
                <c:pt idx="49">
                  <c:v>2.6755002225283806</c:v>
                </c:pt>
                <c:pt idx="50">
                  <c:v>2.8670284574412834</c:v>
                </c:pt>
                <c:pt idx="51">
                  <c:v>3.0253339980686307</c:v>
                </c:pt>
                <c:pt idx="52">
                  <c:v>3.0747500424118828</c:v>
                </c:pt>
                <c:pt idx="53">
                  <c:v>3.0743689628619886</c:v>
                </c:pt>
                <c:pt idx="54">
                  <c:v>3.1121034190880166</c:v>
                </c:pt>
                <c:pt idx="55">
                  <c:v>3.2136823402963888</c:v>
                </c:pt>
                <c:pt idx="56">
                  <c:v>3.3427945002352923</c:v>
                </c:pt>
                <c:pt idx="57">
                  <c:v>3.3385803063675459</c:v>
                </c:pt>
                <c:pt idx="58">
                  <c:v>3.4917787636934943</c:v>
                </c:pt>
                <c:pt idx="59">
                  <c:v>3.5927859074016015</c:v>
                </c:pt>
                <c:pt idx="60">
                  <c:v>3.5984780295798906</c:v>
                </c:pt>
                <c:pt idx="61">
                  <c:v>3.6648577151563861</c:v>
                </c:pt>
                <c:pt idx="62">
                  <c:v>3.7009961862719316</c:v>
                </c:pt>
                <c:pt idx="63">
                  <c:v>3.6944983468291168</c:v>
                </c:pt>
                <c:pt idx="64">
                  <c:v>3.6881281288975813</c:v>
                </c:pt>
                <c:pt idx="65">
                  <c:v>3.709300572456947</c:v>
                </c:pt>
                <c:pt idx="66">
                  <c:v>3.7833310035550682</c:v>
                </c:pt>
                <c:pt idx="67">
                  <c:v>3.9517844192008238</c:v>
                </c:pt>
                <c:pt idx="68">
                  <c:v>4.002413811836373</c:v>
                </c:pt>
                <c:pt idx="69">
                  <c:v>4.0370882676306126</c:v>
                </c:pt>
                <c:pt idx="70">
                  <c:v>4.1570599158636066</c:v>
                </c:pt>
                <c:pt idx="71">
                  <c:v>4.204039809467667</c:v>
                </c:pt>
                <c:pt idx="72">
                  <c:v>4.7276275135284571</c:v>
                </c:pt>
                <c:pt idx="73">
                  <c:v>4.7297039405379495</c:v>
                </c:pt>
                <c:pt idx="74">
                  <c:v>4.8908114590528733</c:v>
                </c:pt>
                <c:pt idx="75">
                  <c:v>5.051369923962441</c:v>
                </c:pt>
                <c:pt idx="76">
                  <c:v>5.0761910963838535</c:v>
                </c:pt>
                <c:pt idx="77">
                  <c:v>5.093031529360653</c:v>
                </c:pt>
                <c:pt idx="78">
                  <c:v>5.120729214774375</c:v>
                </c:pt>
                <c:pt idx="79">
                  <c:v>5.2813477174362937</c:v>
                </c:pt>
                <c:pt idx="80">
                  <c:v>5.4272658557809299</c:v>
                </c:pt>
                <c:pt idx="81">
                  <c:v>5.4278591032589896</c:v>
                </c:pt>
                <c:pt idx="82">
                  <c:v>5.5441110286880653</c:v>
                </c:pt>
                <c:pt idx="83">
                  <c:v>5.8222879575477204</c:v>
                </c:pt>
                <c:pt idx="84">
                  <c:v>5.8840387165954127</c:v>
                </c:pt>
                <c:pt idx="85">
                  <c:v>5.8784987473322152</c:v>
                </c:pt>
                <c:pt idx="86">
                  <c:v>5.9025986064750358</c:v>
                </c:pt>
                <c:pt idx="87">
                  <c:v>5.999716600204513</c:v>
                </c:pt>
                <c:pt idx="88">
                  <c:v>6.0221444593453572</c:v>
                </c:pt>
                <c:pt idx="89">
                  <c:v>6.4238768260989314</c:v>
                </c:pt>
                <c:pt idx="90">
                  <c:v>6.6904577032100807</c:v>
                </c:pt>
                <c:pt idx="91">
                  <c:v>6.793903435958863</c:v>
                </c:pt>
                <c:pt idx="92">
                  <c:v>6.8977282639598503</c:v>
                </c:pt>
                <c:pt idx="93">
                  <c:v>6.9655906185182248</c:v>
                </c:pt>
                <c:pt idx="94">
                  <c:v>7.0719130813465023</c:v>
                </c:pt>
                <c:pt idx="95">
                  <c:v>7.0761065499912297</c:v>
                </c:pt>
                <c:pt idx="96">
                  <c:v>7.2593549321694448</c:v>
                </c:pt>
                <c:pt idx="97">
                  <c:v>7.3388835242120125</c:v>
                </c:pt>
                <c:pt idx="98">
                  <c:v>7.4360259509494497</c:v>
                </c:pt>
                <c:pt idx="99">
                  <c:v>7.5095736670554087</c:v>
                </c:pt>
                <c:pt idx="100">
                  <c:v>7.56715311795727</c:v>
                </c:pt>
                <c:pt idx="101">
                  <c:v>7.8127303779650976</c:v>
                </c:pt>
                <c:pt idx="102">
                  <c:v>7.8298412635658048</c:v>
                </c:pt>
                <c:pt idx="103">
                  <c:v>8.1900660754309822</c:v>
                </c:pt>
                <c:pt idx="104">
                  <c:v>8.1790451887596234</c:v>
                </c:pt>
                <c:pt idx="105">
                  <c:v>8.2926912218953586</c:v>
                </c:pt>
                <c:pt idx="106">
                  <c:v>8.3852590988161655</c:v>
                </c:pt>
                <c:pt idx="107">
                  <c:v>8.5692616891517037</c:v>
                </c:pt>
                <c:pt idx="108">
                  <c:v>8.6368729637231496</c:v>
                </c:pt>
                <c:pt idx="109">
                  <c:v>8.6823290107696653</c:v>
                </c:pt>
                <c:pt idx="110">
                  <c:v>8.6883234899001156</c:v>
                </c:pt>
                <c:pt idx="111">
                  <c:v>8.729794168702103</c:v>
                </c:pt>
                <c:pt idx="112">
                  <c:v>8.7214246285731782</c:v>
                </c:pt>
                <c:pt idx="113">
                  <c:v>8.7428480291955601</c:v>
                </c:pt>
                <c:pt idx="114">
                  <c:v>8.8300566673155334</c:v>
                </c:pt>
                <c:pt idx="115">
                  <c:v>8.8562466956802677</c:v>
                </c:pt>
                <c:pt idx="116">
                  <c:v>8.9598484393061693</c:v>
                </c:pt>
                <c:pt idx="117">
                  <c:v>9.0999759186331133</c:v>
                </c:pt>
                <c:pt idx="118">
                  <c:v>9.2067778447333666</c:v>
                </c:pt>
                <c:pt idx="119">
                  <c:v>9.2410692815004403</c:v>
                </c:pt>
                <c:pt idx="120">
                  <c:v>9.3143353243288303</c:v>
                </c:pt>
                <c:pt idx="121">
                  <c:v>9.3239381712189022</c:v>
                </c:pt>
                <c:pt idx="122">
                  <c:v>9.4617784247984975</c:v>
                </c:pt>
                <c:pt idx="123">
                  <c:v>9.6170328142130845</c:v>
                </c:pt>
                <c:pt idx="124">
                  <c:v>9.6078650430881467</c:v>
                </c:pt>
                <c:pt idx="125">
                  <c:v>9.8049767813156468</c:v>
                </c:pt>
                <c:pt idx="126">
                  <c:v>9.8541127315714707</c:v>
                </c:pt>
                <c:pt idx="127">
                  <c:v>9.8368357315623651</c:v>
                </c:pt>
                <c:pt idx="128">
                  <c:v>9.8728616613340829</c:v>
                </c:pt>
                <c:pt idx="129">
                  <c:v>10.033004766994996</c:v>
                </c:pt>
                <c:pt idx="130">
                  <c:v>10.127888074790565</c:v>
                </c:pt>
                <c:pt idx="131">
                  <c:v>10.26717579361901</c:v>
                </c:pt>
                <c:pt idx="132">
                  <c:v>10.348529866769479</c:v>
                </c:pt>
                <c:pt idx="133">
                  <c:v>10.5091577769526</c:v>
                </c:pt>
                <c:pt idx="134">
                  <c:v>11.008185276172522</c:v>
                </c:pt>
                <c:pt idx="135">
                  <c:v>11.026023737545209</c:v>
                </c:pt>
                <c:pt idx="136">
                  <c:v>11.083416692466768</c:v>
                </c:pt>
                <c:pt idx="137">
                  <c:v>11.159940613982686</c:v>
                </c:pt>
                <c:pt idx="138">
                  <c:v>11.328458146420591</c:v>
                </c:pt>
                <c:pt idx="139">
                  <c:v>11.383856324501915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49A-48EC-841F-AC590EF49239}"/>
            </c:ext>
          </c:extLst>
        </c:ser>
        <c:ser>
          <c:idx val="8"/>
          <c:order val="8"/>
          <c:tx>
            <c:strRef>
              <c:f>畫圖0!$B$20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畫圖0!$C$20:$EL$20</c:f>
              <c:numCache>
                <c:formatCode>General</c:formatCode>
                <c:ptCount val="140"/>
                <c:pt idx="0">
                  <c:v>0.241035745977561</c:v>
                </c:pt>
                <c:pt idx="1">
                  <c:v>0.31537791040123309</c:v>
                </c:pt>
                <c:pt idx="2">
                  <c:v>0.34433205267850675</c:v>
                </c:pt>
                <c:pt idx="3">
                  <c:v>0.29805050221498897</c:v>
                </c:pt>
                <c:pt idx="4">
                  <c:v>0.42567225422234317</c:v>
                </c:pt>
                <c:pt idx="5">
                  <c:v>0.46598150236809088</c:v>
                </c:pt>
                <c:pt idx="6">
                  <c:v>0.4622584720588081</c:v>
                </c:pt>
                <c:pt idx="7">
                  <c:v>0.66829303027878906</c:v>
                </c:pt>
                <c:pt idx="8">
                  <c:v>0.82509406905449656</c:v>
                </c:pt>
                <c:pt idx="9">
                  <c:v>0.7609140856709995</c:v>
                </c:pt>
                <c:pt idx="10">
                  <c:v>0.59761535111494735</c:v>
                </c:pt>
                <c:pt idx="11">
                  <c:v>0.74688962023122707</c:v>
                </c:pt>
                <c:pt idx="12">
                  <c:v>0.74241814500318559</c:v>
                </c:pt>
                <c:pt idx="13">
                  <c:v>0.7252272060523276</c:v>
                </c:pt>
                <c:pt idx="14">
                  <c:v>0.64915327216981633</c:v>
                </c:pt>
                <c:pt idx="15">
                  <c:v>0.56177355302270582</c:v>
                </c:pt>
                <c:pt idx="16">
                  <c:v>0.63476812989999376</c:v>
                </c:pt>
                <c:pt idx="17">
                  <c:v>0.61757486251242544</c:v>
                </c:pt>
                <c:pt idx="18">
                  <c:v>0.59867576450359317</c:v>
                </c:pt>
                <c:pt idx="19">
                  <c:v>0.6019655468968137</c:v>
                </c:pt>
                <c:pt idx="20">
                  <c:v>0.76812958181769242</c:v>
                </c:pt>
                <c:pt idx="21">
                  <c:v>0.97165854605658863</c:v>
                </c:pt>
                <c:pt idx="22">
                  <c:v>1.0374698023819648</c:v>
                </c:pt>
                <c:pt idx="23">
                  <c:v>1.1940140076131827</c:v>
                </c:pt>
                <c:pt idx="24">
                  <c:v>1.3138929193315068</c:v>
                </c:pt>
                <c:pt idx="25">
                  <c:v>1.3905171377276335</c:v>
                </c:pt>
                <c:pt idx="26">
                  <c:v>1.4085935294400345</c:v>
                </c:pt>
                <c:pt idx="27">
                  <c:v>1.361005661609251</c:v>
                </c:pt>
                <c:pt idx="28">
                  <c:v>1.377419054587903</c:v>
                </c:pt>
                <c:pt idx="29">
                  <c:v>1.497028248058113</c:v>
                </c:pt>
                <c:pt idx="30">
                  <c:v>1.5537532754570236</c:v>
                </c:pt>
                <c:pt idx="31">
                  <c:v>1.5429694717002642</c:v>
                </c:pt>
                <c:pt idx="32">
                  <c:v>1.6096453103932067</c:v>
                </c:pt>
                <c:pt idx="33">
                  <c:v>1.6337623381408604</c:v>
                </c:pt>
                <c:pt idx="34">
                  <c:v>1.7144519722352654</c:v>
                </c:pt>
                <c:pt idx="35">
                  <c:v>1.7973177902658388</c:v>
                </c:pt>
                <c:pt idx="36">
                  <c:v>1.7757266875158528</c:v>
                </c:pt>
                <c:pt idx="37">
                  <c:v>1.9254961111816196</c:v>
                </c:pt>
                <c:pt idx="38">
                  <c:v>2.0926863765281469</c:v>
                </c:pt>
                <c:pt idx="39">
                  <c:v>2.068582991617403</c:v>
                </c:pt>
                <c:pt idx="40">
                  <c:v>2.0032031823815362</c:v>
                </c:pt>
                <c:pt idx="41">
                  <c:v>2.2048279480956907</c:v>
                </c:pt>
                <c:pt idx="42">
                  <c:v>2.149510396991865</c:v>
                </c:pt>
                <c:pt idx="43">
                  <c:v>2.2554012302402913</c:v>
                </c:pt>
                <c:pt idx="44">
                  <c:v>2.4152231529384851</c:v>
                </c:pt>
                <c:pt idx="45">
                  <c:v>2.4948130744331292</c:v>
                </c:pt>
                <c:pt idx="46">
                  <c:v>2.5073768928156435</c:v>
                </c:pt>
                <c:pt idx="47">
                  <c:v>2.6998472153568134</c:v>
                </c:pt>
                <c:pt idx="48">
                  <c:v>2.6925657730941142</c:v>
                </c:pt>
                <c:pt idx="49">
                  <c:v>2.7479162063643101</c:v>
                </c:pt>
                <c:pt idx="50">
                  <c:v>2.9380865084829422</c:v>
                </c:pt>
                <c:pt idx="51">
                  <c:v>3.104779722205127</c:v>
                </c:pt>
                <c:pt idx="52">
                  <c:v>3.1136247095119955</c:v>
                </c:pt>
                <c:pt idx="53">
                  <c:v>3.1393177533602694</c:v>
                </c:pt>
                <c:pt idx="54">
                  <c:v>3.2076315143254015</c:v>
                </c:pt>
                <c:pt idx="55">
                  <c:v>3.3050830477804931</c:v>
                </c:pt>
                <c:pt idx="56">
                  <c:v>3.4419360459274375</c:v>
                </c:pt>
                <c:pt idx="57">
                  <c:v>3.4175843898335665</c:v>
                </c:pt>
                <c:pt idx="58">
                  <c:v>3.5614073926402008</c:v>
                </c:pt>
                <c:pt idx="59">
                  <c:v>3.7054914609821985</c:v>
                </c:pt>
                <c:pt idx="60">
                  <c:v>3.712636626365287</c:v>
                </c:pt>
                <c:pt idx="61">
                  <c:v>3.7676609286698408</c:v>
                </c:pt>
                <c:pt idx="62">
                  <c:v>3.7820722997118494</c:v>
                </c:pt>
                <c:pt idx="63">
                  <c:v>3.7550146824349588</c:v>
                </c:pt>
                <c:pt idx="64">
                  <c:v>3.7338779017810513</c:v>
                </c:pt>
                <c:pt idx="65">
                  <c:v>3.7450321987442843</c:v>
                </c:pt>
                <c:pt idx="66">
                  <c:v>3.804867383332371</c:v>
                </c:pt>
                <c:pt idx="67">
                  <c:v>3.9513541366234533</c:v>
                </c:pt>
                <c:pt idx="68">
                  <c:v>3.9896063349330895</c:v>
                </c:pt>
                <c:pt idx="69">
                  <c:v>4.0409947971528117</c:v>
                </c:pt>
                <c:pt idx="70">
                  <c:v>4.1446361563756726</c:v>
                </c:pt>
                <c:pt idx="71">
                  <c:v>4.2168644825171535</c:v>
                </c:pt>
                <c:pt idx="72">
                  <c:v>4.795229198914595</c:v>
                </c:pt>
                <c:pt idx="73">
                  <c:v>4.806640090391193</c:v>
                </c:pt>
                <c:pt idx="74">
                  <c:v>5.0083346367842783</c:v>
                </c:pt>
                <c:pt idx="75">
                  <c:v>5.1644479471946836</c:v>
                </c:pt>
                <c:pt idx="76">
                  <c:v>5.1328268040795519</c:v>
                </c:pt>
                <c:pt idx="77">
                  <c:v>5.1503973269307579</c:v>
                </c:pt>
                <c:pt idx="78">
                  <c:v>5.199045938474212</c:v>
                </c:pt>
                <c:pt idx="79">
                  <c:v>5.3787315111851441</c:v>
                </c:pt>
                <c:pt idx="80">
                  <c:v>5.5097458392554142</c:v>
                </c:pt>
                <c:pt idx="81">
                  <c:v>5.5020337760438371</c:v>
                </c:pt>
                <c:pt idx="82">
                  <c:v>5.6352321661871398</c:v>
                </c:pt>
                <c:pt idx="83">
                  <c:v>5.8271455645903432</c:v>
                </c:pt>
                <c:pt idx="84">
                  <c:v>5.8846565259714074</c:v>
                </c:pt>
                <c:pt idx="85">
                  <c:v>5.8652007338515544</c:v>
                </c:pt>
                <c:pt idx="86">
                  <c:v>5.9686934853571296</c:v>
                </c:pt>
                <c:pt idx="87">
                  <c:v>6.0924930781135425</c:v>
                </c:pt>
                <c:pt idx="88">
                  <c:v>6.0782311582947717</c:v>
                </c:pt>
                <c:pt idx="89">
                  <c:v>6.5155028069100798</c:v>
                </c:pt>
                <c:pt idx="90">
                  <c:v>6.8170238444011781</c:v>
                </c:pt>
                <c:pt idx="91">
                  <c:v>6.9614648704830735</c:v>
                </c:pt>
                <c:pt idx="92">
                  <c:v>7.0948788397976932</c:v>
                </c:pt>
                <c:pt idx="93">
                  <c:v>7.1898290021917077</c:v>
                </c:pt>
                <c:pt idx="94">
                  <c:v>7.2938787246121022</c:v>
                </c:pt>
                <c:pt idx="95">
                  <c:v>7.2439280182614194</c:v>
                </c:pt>
                <c:pt idx="96">
                  <c:v>7.4535317323878951</c:v>
                </c:pt>
                <c:pt idx="97">
                  <c:v>7.5442626336641725</c:v>
                </c:pt>
                <c:pt idx="98">
                  <c:v>7.6482120318849711</c:v>
                </c:pt>
                <c:pt idx="99">
                  <c:v>7.7375085920243896</c:v>
                </c:pt>
                <c:pt idx="100">
                  <c:v>7.7598236283721</c:v>
                </c:pt>
                <c:pt idx="101">
                  <c:v>8.0425511467410917</c:v>
                </c:pt>
                <c:pt idx="102">
                  <c:v>8.1195865221563217</c:v>
                </c:pt>
                <c:pt idx="103">
                  <c:v>8.5584412244081438</c:v>
                </c:pt>
                <c:pt idx="104">
                  <c:v>8.5521720892465609</c:v>
                </c:pt>
                <c:pt idx="105">
                  <c:v>8.6938816260652558</c:v>
                </c:pt>
                <c:pt idx="106">
                  <c:v>8.797227452751871</c:v>
                </c:pt>
                <c:pt idx="107">
                  <c:v>9.0132717581104433</c:v>
                </c:pt>
                <c:pt idx="108">
                  <c:v>9.0926075407987916</c:v>
                </c:pt>
                <c:pt idx="109">
                  <c:v>9.1389055314741885</c:v>
                </c:pt>
                <c:pt idx="110">
                  <c:v>9.086426734346146</c:v>
                </c:pt>
                <c:pt idx="111">
                  <c:v>9.1300182486493409</c:v>
                </c:pt>
                <c:pt idx="112">
                  <c:v>9.121362089293962</c:v>
                </c:pt>
                <c:pt idx="113">
                  <c:v>9.1427927898733721</c:v>
                </c:pt>
                <c:pt idx="114">
                  <c:v>9.2547889248106951</c:v>
                </c:pt>
                <c:pt idx="115">
                  <c:v>9.2698737970347338</c:v>
                </c:pt>
                <c:pt idx="116">
                  <c:v>9.3918095069857852</c:v>
                </c:pt>
                <c:pt idx="117">
                  <c:v>9.5188330410592314</c:v>
                </c:pt>
                <c:pt idx="118">
                  <c:v>9.6293568099724425</c:v>
                </c:pt>
                <c:pt idx="119">
                  <c:v>9.6606705650348026</c:v>
                </c:pt>
                <c:pt idx="120">
                  <c:v>9.5928240624049561</c:v>
                </c:pt>
                <c:pt idx="121">
                  <c:v>9.6043690824444639</c:v>
                </c:pt>
                <c:pt idx="122">
                  <c:v>9.7506702955863105</c:v>
                </c:pt>
                <c:pt idx="123">
                  <c:v>9.8965963099117715</c:v>
                </c:pt>
                <c:pt idx="124">
                  <c:v>9.8439795139699342</c:v>
                </c:pt>
                <c:pt idx="125">
                  <c:v>10.092890996362618</c:v>
                </c:pt>
                <c:pt idx="126">
                  <c:v>10.152761292029805</c:v>
                </c:pt>
                <c:pt idx="127">
                  <c:v>10.153710066787635</c:v>
                </c:pt>
                <c:pt idx="128">
                  <c:v>10.170914843564425</c:v>
                </c:pt>
                <c:pt idx="129">
                  <c:v>10.341916208923895</c:v>
                </c:pt>
                <c:pt idx="130">
                  <c:v>10.471255365406812</c:v>
                </c:pt>
                <c:pt idx="131">
                  <c:v>10.598051227883769</c:v>
                </c:pt>
                <c:pt idx="132">
                  <c:v>10.672277488510463</c:v>
                </c:pt>
                <c:pt idx="133">
                  <c:v>10.798097212801856</c:v>
                </c:pt>
                <c:pt idx="134">
                  <c:v>11.323767614492928</c:v>
                </c:pt>
                <c:pt idx="135">
                  <c:v>11.349575546789405</c:v>
                </c:pt>
                <c:pt idx="136">
                  <c:v>11.378801678275277</c:v>
                </c:pt>
                <c:pt idx="137">
                  <c:v>11.469241431717245</c:v>
                </c:pt>
                <c:pt idx="138">
                  <c:v>11.643850669169847</c:v>
                </c:pt>
                <c:pt idx="139">
                  <c:v>11.70441142816165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9A-48EC-841F-AC590EF49239}"/>
            </c:ext>
          </c:extLst>
        </c:ser>
        <c:ser>
          <c:idx val="9"/>
          <c:order val="9"/>
          <c:tx>
            <c:strRef>
              <c:f>畫圖0!$B$21</c:f>
              <c:strCache>
                <c:ptCount val="1"/>
                <c:pt idx="0">
                  <c:v>256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畫圖0!$C$21:$EL$21</c:f>
              <c:numCache>
                <c:formatCode>General</c:formatCode>
                <c:ptCount val="140"/>
                <c:pt idx="0">
                  <c:v>0.2490064650579937</c:v>
                </c:pt>
                <c:pt idx="1">
                  <c:v>0.3065131219121256</c:v>
                </c:pt>
                <c:pt idx="2">
                  <c:v>0.34309352027809925</c:v>
                </c:pt>
                <c:pt idx="3">
                  <c:v>0.23059187980619483</c:v>
                </c:pt>
                <c:pt idx="4">
                  <c:v>0.37586702236986713</c:v>
                </c:pt>
                <c:pt idx="5">
                  <c:v>0.33622179613191089</c:v>
                </c:pt>
                <c:pt idx="6">
                  <c:v>0.24930734763207196</c:v>
                </c:pt>
                <c:pt idx="7">
                  <c:v>0.48076856873991086</c:v>
                </c:pt>
                <c:pt idx="8">
                  <c:v>0.56683942779418806</c:v>
                </c:pt>
                <c:pt idx="9">
                  <c:v>0.48979940686894863</c:v>
                </c:pt>
                <c:pt idx="10">
                  <c:v>0.2384588116676829</c:v>
                </c:pt>
                <c:pt idx="11">
                  <c:v>0.3693255922923695</c:v>
                </c:pt>
                <c:pt idx="12">
                  <c:v>0.43863257171172393</c:v>
                </c:pt>
                <c:pt idx="13">
                  <c:v>0.38687687221849792</c:v>
                </c:pt>
                <c:pt idx="14">
                  <c:v>0.28888837328366979</c:v>
                </c:pt>
                <c:pt idx="15">
                  <c:v>0.18710367094140479</c:v>
                </c:pt>
                <c:pt idx="16">
                  <c:v>0.27143246616171313</c:v>
                </c:pt>
                <c:pt idx="17">
                  <c:v>0.20767420565627553</c:v>
                </c:pt>
                <c:pt idx="18">
                  <c:v>0.17215021313605572</c:v>
                </c:pt>
                <c:pt idx="19">
                  <c:v>0.15704687098232792</c:v>
                </c:pt>
                <c:pt idx="20">
                  <c:v>0.32251691760889556</c:v>
                </c:pt>
                <c:pt idx="21">
                  <c:v>0.56519245872444301</c:v>
                </c:pt>
                <c:pt idx="22">
                  <c:v>0.67194078107618216</c:v>
                </c:pt>
                <c:pt idx="23">
                  <c:v>0.87520980731058884</c:v>
                </c:pt>
                <c:pt idx="24">
                  <c:v>1.0276877635936232</c:v>
                </c:pt>
                <c:pt idx="25">
                  <c:v>1.1307232623429391</c:v>
                </c:pt>
                <c:pt idx="26">
                  <c:v>1.1744813843885675</c:v>
                </c:pt>
                <c:pt idx="27">
                  <c:v>1.1531937108138879</c:v>
                </c:pt>
                <c:pt idx="28">
                  <c:v>1.1478641965848375</c:v>
                </c:pt>
                <c:pt idx="29">
                  <c:v>1.2209083251133199</c:v>
                </c:pt>
                <c:pt idx="30">
                  <c:v>1.2484849410952126</c:v>
                </c:pt>
                <c:pt idx="31">
                  <c:v>1.2349973493267752</c:v>
                </c:pt>
                <c:pt idx="32">
                  <c:v>1.2908266540841236</c:v>
                </c:pt>
                <c:pt idx="33">
                  <c:v>1.3332963748650972</c:v>
                </c:pt>
                <c:pt idx="34">
                  <c:v>1.383486468895015</c:v>
                </c:pt>
                <c:pt idx="35">
                  <c:v>1.4690339114393989</c:v>
                </c:pt>
                <c:pt idx="36">
                  <c:v>1.4655320348722691</c:v>
                </c:pt>
                <c:pt idx="37">
                  <c:v>1.6059724535037541</c:v>
                </c:pt>
                <c:pt idx="38">
                  <c:v>1.8035894739018954</c:v>
                </c:pt>
                <c:pt idx="39">
                  <c:v>1.8070795883169422</c:v>
                </c:pt>
                <c:pt idx="40">
                  <c:v>1.7674186482743084</c:v>
                </c:pt>
                <c:pt idx="41">
                  <c:v>1.8955734655927143</c:v>
                </c:pt>
                <c:pt idx="42">
                  <c:v>1.7878133964476668</c:v>
                </c:pt>
                <c:pt idx="43">
                  <c:v>1.9733172985041181</c:v>
                </c:pt>
                <c:pt idx="44">
                  <c:v>2.1842634510421912</c:v>
                </c:pt>
                <c:pt idx="45">
                  <c:v>2.2647978062207446</c:v>
                </c:pt>
                <c:pt idx="46">
                  <c:v>2.3079814121010163</c:v>
                </c:pt>
                <c:pt idx="47">
                  <c:v>2.5144880138060186</c:v>
                </c:pt>
                <c:pt idx="48">
                  <c:v>2.464257833650406</c:v>
                </c:pt>
                <c:pt idx="49">
                  <c:v>2.4988324585990886</c:v>
                </c:pt>
                <c:pt idx="50">
                  <c:v>2.7174361665016136</c:v>
                </c:pt>
                <c:pt idx="51">
                  <c:v>2.8890453181567084</c:v>
                </c:pt>
                <c:pt idx="52">
                  <c:v>2.8894569024823418</c:v>
                </c:pt>
                <c:pt idx="53">
                  <c:v>2.9297540443675159</c:v>
                </c:pt>
                <c:pt idx="54">
                  <c:v>3.0151653571165475</c:v>
                </c:pt>
                <c:pt idx="55">
                  <c:v>3.0882151630698567</c:v>
                </c:pt>
                <c:pt idx="56">
                  <c:v>3.1468862624735743</c:v>
                </c:pt>
                <c:pt idx="57">
                  <c:v>3.0928529464743959</c:v>
                </c:pt>
                <c:pt idx="58">
                  <c:v>3.2230941796013086</c:v>
                </c:pt>
                <c:pt idx="59">
                  <c:v>3.1793547326248075</c:v>
                </c:pt>
                <c:pt idx="60">
                  <c:v>3.1991724935323815</c:v>
                </c:pt>
                <c:pt idx="61">
                  <c:v>3.2730708545871634</c:v>
                </c:pt>
                <c:pt idx="62">
                  <c:v>3.2941014212856912</c:v>
                </c:pt>
                <c:pt idx="63">
                  <c:v>3.2471927795965252</c:v>
                </c:pt>
                <c:pt idx="64">
                  <c:v>3.2238634300446321</c:v>
                </c:pt>
                <c:pt idx="65">
                  <c:v>3.2311191331600901</c:v>
                </c:pt>
                <c:pt idx="66">
                  <c:v>3.284120934456964</c:v>
                </c:pt>
                <c:pt idx="67">
                  <c:v>3.4002013820063959</c:v>
                </c:pt>
                <c:pt idx="68">
                  <c:v>3.4304419373984678</c:v>
                </c:pt>
                <c:pt idx="69">
                  <c:v>3.5013450430824666</c:v>
                </c:pt>
                <c:pt idx="70">
                  <c:v>3.6219906623420912</c:v>
                </c:pt>
                <c:pt idx="71">
                  <c:v>3.715741657855669</c:v>
                </c:pt>
                <c:pt idx="72">
                  <c:v>4.4598805728176547</c:v>
                </c:pt>
                <c:pt idx="73">
                  <c:v>4.471745134722064</c:v>
                </c:pt>
                <c:pt idx="74">
                  <c:v>4.6174456359288722</c:v>
                </c:pt>
                <c:pt idx="75">
                  <c:v>4.7529845180806296</c:v>
                </c:pt>
                <c:pt idx="76">
                  <c:v>4.6885590659552516</c:v>
                </c:pt>
                <c:pt idx="77">
                  <c:v>4.7026670807188049</c:v>
                </c:pt>
                <c:pt idx="78">
                  <c:v>4.7162909145402132</c:v>
                </c:pt>
                <c:pt idx="79">
                  <c:v>4.8920214140515856</c:v>
                </c:pt>
                <c:pt idx="80">
                  <c:v>4.9903911498945925</c:v>
                </c:pt>
                <c:pt idx="81">
                  <c:v>4.9498020391262179</c:v>
                </c:pt>
                <c:pt idx="82">
                  <c:v>5.1090756337030578</c:v>
                </c:pt>
                <c:pt idx="83">
                  <c:v>5.3623699744495541</c:v>
                </c:pt>
                <c:pt idx="84">
                  <c:v>5.4278765247528247</c:v>
                </c:pt>
                <c:pt idx="85">
                  <c:v>5.4483399419225167</c:v>
                </c:pt>
                <c:pt idx="86">
                  <c:v>5.5304696212745927</c:v>
                </c:pt>
                <c:pt idx="87">
                  <c:v>5.6840690954870849</c:v>
                </c:pt>
                <c:pt idx="88">
                  <c:v>5.669755534939017</c:v>
                </c:pt>
                <c:pt idx="89">
                  <c:v>6.0185659175634738</c:v>
                </c:pt>
                <c:pt idx="90">
                  <c:v>6.4012148942446885</c:v>
                </c:pt>
                <c:pt idx="91">
                  <c:v>6.5483524053190036</c:v>
                </c:pt>
                <c:pt idx="92">
                  <c:v>6.7209646091916353</c:v>
                </c:pt>
                <c:pt idx="93">
                  <c:v>6.8309937767146822</c:v>
                </c:pt>
                <c:pt idx="94">
                  <c:v>6.9086683751436544</c:v>
                </c:pt>
                <c:pt idx="95">
                  <c:v>6.8502281389638195</c:v>
                </c:pt>
                <c:pt idx="96">
                  <c:v>7.0535001300336981</c:v>
                </c:pt>
                <c:pt idx="97">
                  <c:v>7.1776983058119557</c:v>
                </c:pt>
                <c:pt idx="98">
                  <c:v>7.2350171992557044</c:v>
                </c:pt>
                <c:pt idx="99">
                  <c:v>7.3250020036594687</c:v>
                </c:pt>
                <c:pt idx="100">
                  <c:v>7.3569060560651671</c:v>
                </c:pt>
                <c:pt idx="101">
                  <c:v>7.7105640666282946</c:v>
                </c:pt>
                <c:pt idx="102">
                  <c:v>7.8747597813376125</c:v>
                </c:pt>
                <c:pt idx="103">
                  <c:v>8.4175442972262573</c:v>
                </c:pt>
                <c:pt idx="104">
                  <c:v>8.445372276649735</c:v>
                </c:pt>
                <c:pt idx="105">
                  <c:v>8.5926655672782797</c:v>
                </c:pt>
                <c:pt idx="106">
                  <c:v>8.7132447937941251</c:v>
                </c:pt>
                <c:pt idx="107">
                  <c:v>8.8729243468053927</c:v>
                </c:pt>
                <c:pt idx="108">
                  <c:v>8.9763633227865895</c:v>
                </c:pt>
                <c:pt idx="109">
                  <c:v>9.0344180637815708</c:v>
                </c:pt>
                <c:pt idx="110">
                  <c:v>8.9459277689901455</c:v>
                </c:pt>
                <c:pt idx="111">
                  <c:v>8.9798084852455027</c:v>
                </c:pt>
                <c:pt idx="112">
                  <c:v>8.9718371821630001</c:v>
                </c:pt>
                <c:pt idx="113">
                  <c:v>8.9796281072178683</c:v>
                </c:pt>
                <c:pt idx="114">
                  <c:v>9.0070010785189929</c:v>
                </c:pt>
                <c:pt idx="115">
                  <c:v>9.0008073776919169</c:v>
                </c:pt>
                <c:pt idx="116">
                  <c:v>9.0920788873611933</c:v>
                </c:pt>
                <c:pt idx="117">
                  <c:v>9.2013636210577285</c:v>
                </c:pt>
                <c:pt idx="118">
                  <c:v>9.3167399073629635</c:v>
                </c:pt>
                <c:pt idx="119">
                  <c:v>9.354555838133491</c:v>
                </c:pt>
                <c:pt idx="120">
                  <c:v>9.2428463453715626</c:v>
                </c:pt>
                <c:pt idx="121">
                  <c:v>9.2550600479017682</c:v>
                </c:pt>
                <c:pt idx="122">
                  <c:v>9.4247292176908459</c:v>
                </c:pt>
                <c:pt idx="123">
                  <c:v>9.5789697518502681</c:v>
                </c:pt>
                <c:pt idx="124">
                  <c:v>9.4989350959803929</c:v>
                </c:pt>
                <c:pt idx="125">
                  <c:v>9.7877623469230564</c:v>
                </c:pt>
                <c:pt idx="126">
                  <c:v>9.8732663448049323</c:v>
                </c:pt>
                <c:pt idx="127">
                  <c:v>9.8453864154865336</c:v>
                </c:pt>
                <c:pt idx="128">
                  <c:v>9.8281246949663359</c:v>
                </c:pt>
                <c:pt idx="129">
                  <c:v>9.9416087372342083</c:v>
                </c:pt>
                <c:pt idx="130">
                  <c:v>10.064363888837992</c:v>
                </c:pt>
                <c:pt idx="131">
                  <c:v>10.194437549618163</c:v>
                </c:pt>
                <c:pt idx="132">
                  <c:v>10.271217189922968</c:v>
                </c:pt>
                <c:pt idx="133">
                  <c:v>10.413289547351589</c:v>
                </c:pt>
                <c:pt idx="134">
                  <c:v>11.058200128337772</c:v>
                </c:pt>
                <c:pt idx="135">
                  <c:v>11.074922547742561</c:v>
                </c:pt>
                <c:pt idx="136">
                  <c:v>11.154490461315362</c:v>
                </c:pt>
                <c:pt idx="137">
                  <c:v>11.261775245293464</c:v>
                </c:pt>
                <c:pt idx="138">
                  <c:v>11.492569642377982</c:v>
                </c:pt>
                <c:pt idx="139">
                  <c:v>11.504929229610283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49A-48EC-841F-AC590EF49239}"/>
            </c:ext>
          </c:extLst>
        </c:ser>
        <c:ser>
          <c:idx val="10"/>
          <c:order val="10"/>
          <c:tx>
            <c:strRef>
              <c:f>畫圖0!$B$22</c:f>
              <c:strCache>
                <c:ptCount val="1"/>
                <c:pt idx="0">
                  <c:v>400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畫圖0!$C$22:$EL$22</c:f>
              <c:numCache>
                <c:formatCode>General</c:formatCode>
                <c:ptCount val="140"/>
                <c:pt idx="0">
                  <c:v>0.28886619116808843</c:v>
                </c:pt>
                <c:pt idx="1">
                  <c:v>0.38594482626239129</c:v>
                </c:pt>
                <c:pt idx="2">
                  <c:v>0.44242825648012674</c:v>
                </c:pt>
                <c:pt idx="3">
                  <c:v>0.21615655651888532</c:v>
                </c:pt>
                <c:pt idx="4">
                  <c:v>0.317678012267676</c:v>
                </c:pt>
                <c:pt idx="5">
                  <c:v>0.25375074023065902</c:v>
                </c:pt>
                <c:pt idx="6">
                  <c:v>0.14205804689322044</c:v>
                </c:pt>
                <c:pt idx="7">
                  <c:v>0.32941004753718262</c:v>
                </c:pt>
                <c:pt idx="8">
                  <c:v>0.42959882677828704</c:v>
                </c:pt>
                <c:pt idx="9">
                  <c:v>0.32644587537845665</c:v>
                </c:pt>
                <c:pt idx="10">
                  <c:v>0.3523104457084853</c:v>
                </c:pt>
                <c:pt idx="11">
                  <c:v>0.49655520050028168</c:v>
                </c:pt>
                <c:pt idx="12">
                  <c:v>0.5759722492999827</c:v>
                </c:pt>
                <c:pt idx="13">
                  <c:v>0.53625156592093104</c:v>
                </c:pt>
                <c:pt idx="14">
                  <c:v>0.42906790510998061</c:v>
                </c:pt>
                <c:pt idx="15">
                  <c:v>0.30361166963209407</c:v>
                </c:pt>
                <c:pt idx="16">
                  <c:v>0.45367461117096886</c:v>
                </c:pt>
                <c:pt idx="17">
                  <c:v>0.32484982620169078</c:v>
                </c:pt>
                <c:pt idx="18">
                  <c:v>0.3927735107918352</c:v>
                </c:pt>
                <c:pt idx="19">
                  <c:v>0.40704726533229058</c:v>
                </c:pt>
                <c:pt idx="20">
                  <c:v>0.57878038471286453</c:v>
                </c:pt>
                <c:pt idx="21">
                  <c:v>0.8118355965214834</c:v>
                </c:pt>
                <c:pt idx="22">
                  <c:v>0.96705007730595094</c:v>
                </c:pt>
                <c:pt idx="23">
                  <c:v>1.1678118273635989</c:v>
                </c:pt>
                <c:pt idx="24">
                  <c:v>1.3063083257198616</c:v>
                </c:pt>
                <c:pt idx="25">
                  <c:v>1.3911350189916238</c:v>
                </c:pt>
                <c:pt idx="26">
                  <c:v>1.4969090843466013</c:v>
                </c:pt>
                <c:pt idx="27">
                  <c:v>1.4967718057293844</c:v>
                </c:pt>
                <c:pt idx="28">
                  <c:v>1.5159480656659778</c:v>
                </c:pt>
                <c:pt idx="29">
                  <c:v>1.5389841325792246</c:v>
                </c:pt>
                <c:pt idx="30">
                  <c:v>1.5723350634751054</c:v>
                </c:pt>
                <c:pt idx="31">
                  <c:v>1.5340486900881913</c:v>
                </c:pt>
                <c:pt idx="32">
                  <c:v>1.5876259260352037</c:v>
                </c:pt>
                <c:pt idx="33">
                  <c:v>1.646436613032308</c:v>
                </c:pt>
                <c:pt idx="34">
                  <c:v>1.6933929830058645</c:v>
                </c:pt>
                <c:pt idx="35">
                  <c:v>1.8162814643930525</c:v>
                </c:pt>
                <c:pt idx="36">
                  <c:v>1.7815085573061511</c:v>
                </c:pt>
                <c:pt idx="37">
                  <c:v>1.9401682083342191</c:v>
                </c:pt>
                <c:pt idx="38">
                  <c:v>2.1072747435564985</c:v>
                </c:pt>
                <c:pt idx="39">
                  <c:v>2.0719207133930229</c:v>
                </c:pt>
                <c:pt idx="40">
                  <c:v>2.0362445220882188</c:v>
                </c:pt>
                <c:pt idx="41">
                  <c:v>2.1429507834453854</c:v>
                </c:pt>
                <c:pt idx="42">
                  <c:v>2.1084772936080411</c:v>
                </c:pt>
                <c:pt idx="43">
                  <c:v>2.2220816384675501</c:v>
                </c:pt>
                <c:pt idx="44">
                  <c:v>2.4771144071731799</c:v>
                </c:pt>
                <c:pt idx="45">
                  <c:v>2.5154888242831421</c:v>
                </c:pt>
                <c:pt idx="46">
                  <c:v>2.5969127370001126</c:v>
                </c:pt>
                <c:pt idx="47">
                  <c:v>2.5845600665972843</c:v>
                </c:pt>
                <c:pt idx="48">
                  <c:v>2.5025062081338483</c:v>
                </c:pt>
                <c:pt idx="49">
                  <c:v>2.5708431643281675</c:v>
                </c:pt>
                <c:pt idx="50">
                  <c:v>2.7494320899384395</c:v>
                </c:pt>
                <c:pt idx="51">
                  <c:v>2.9694102108135128</c:v>
                </c:pt>
                <c:pt idx="52">
                  <c:v>2.9759198884631965</c:v>
                </c:pt>
                <c:pt idx="53">
                  <c:v>3.0145821218434095</c:v>
                </c:pt>
                <c:pt idx="54">
                  <c:v>3.1428291323718036</c:v>
                </c:pt>
                <c:pt idx="55">
                  <c:v>3.2190143666847426</c:v>
                </c:pt>
                <c:pt idx="56">
                  <c:v>3.2423342950423653</c:v>
                </c:pt>
                <c:pt idx="57">
                  <c:v>3.1644623824793956</c:v>
                </c:pt>
                <c:pt idx="58">
                  <c:v>3.3332890490081568</c:v>
                </c:pt>
                <c:pt idx="59">
                  <c:v>3.2851141585871284</c:v>
                </c:pt>
                <c:pt idx="60">
                  <c:v>3.2494219238618678</c:v>
                </c:pt>
                <c:pt idx="61">
                  <c:v>3.361924013835615</c:v>
                </c:pt>
                <c:pt idx="62">
                  <c:v>3.3643544970811483</c:v>
                </c:pt>
                <c:pt idx="63">
                  <c:v>3.3013856139797708</c:v>
                </c:pt>
                <c:pt idx="64">
                  <c:v>3.2644016252708621</c:v>
                </c:pt>
                <c:pt idx="65">
                  <c:v>3.2651628472178453</c:v>
                </c:pt>
                <c:pt idx="66">
                  <c:v>3.3268111209598485</c:v>
                </c:pt>
                <c:pt idx="67">
                  <c:v>3.3841190537042602</c:v>
                </c:pt>
                <c:pt idx="68">
                  <c:v>3.4112392148553479</c:v>
                </c:pt>
                <c:pt idx="69">
                  <c:v>3.4627390284924053</c:v>
                </c:pt>
                <c:pt idx="70">
                  <c:v>3.5968211234630201</c:v>
                </c:pt>
                <c:pt idx="71">
                  <c:v>3.6616215825041003</c:v>
                </c:pt>
                <c:pt idx="72">
                  <c:v>4.2701568795321672</c:v>
                </c:pt>
                <c:pt idx="73">
                  <c:v>4.2711976907980294</c:v>
                </c:pt>
                <c:pt idx="74">
                  <c:v>4.4425619991642904</c:v>
                </c:pt>
                <c:pt idx="75">
                  <c:v>4.6032104317961959</c:v>
                </c:pt>
                <c:pt idx="76">
                  <c:v>4.4887261713162632</c:v>
                </c:pt>
                <c:pt idx="77">
                  <c:v>4.5424951954459374</c:v>
                </c:pt>
                <c:pt idx="78">
                  <c:v>4.5135099903713387</c:v>
                </c:pt>
                <c:pt idx="79">
                  <c:v>4.7026621301884015</c:v>
                </c:pt>
                <c:pt idx="80">
                  <c:v>4.6936161402694889</c:v>
                </c:pt>
                <c:pt idx="81">
                  <c:v>4.6528625572143421</c:v>
                </c:pt>
                <c:pt idx="82">
                  <c:v>4.8472829008260119</c:v>
                </c:pt>
                <c:pt idx="83">
                  <c:v>4.9710806353552357</c:v>
                </c:pt>
                <c:pt idx="84">
                  <c:v>4.9912140105832314</c:v>
                </c:pt>
                <c:pt idx="85">
                  <c:v>5.034173546357775</c:v>
                </c:pt>
                <c:pt idx="86">
                  <c:v>5.1171125348336588</c:v>
                </c:pt>
                <c:pt idx="87">
                  <c:v>5.306961804545737</c:v>
                </c:pt>
                <c:pt idx="88">
                  <c:v>5.3344815375411141</c:v>
                </c:pt>
                <c:pt idx="89">
                  <c:v>5.7467099343571277</c:v>
                </c:pt>
                <c:pt idx="90">
                  <c:v>6.1164345160502736</c:v>
                </c:pt>
                <c:pt idx="91">
                  <c:v>6.3382675945193796</c:v>
                </c:pt>
                <c:pt idx="92">
                  <c:v>6.5353085002009488</c:v>
                </c:pt>
                <c:pt idx="93">
                  <c:v>6.681384717714014</c:v>
                </c:pt>
                <c:pt idx="94">
                  <c:v>6.7123819257252686</c:v>
                </c:pt>
                <c:pt idx="95">
                  <c:v>6.6534709418965914</c:v>
                </c:pt>
                <c:pt idx="96">
                  <c:v>6.8799653447528648</c:v>
                </c:pt>
                <c:pt idx="97">
                  <c:v>7.0195010028243656</c:v>
                </c:pt>
                <c:pt idx="98">
                  <c:v>7.0221180227781996</c:v>
                </c:pt>
                <c:pt idx="99">
                  <c:v>7.0642293378349628</c:v>
                </c:pt>
                <c:pt idx="100">
                  <c:v>7.1641118798250414</c:v>
                </c:pt>
                <c:pt idx="101">
                  <c:v>7.481448244434584</c:v>
                </c:pt>
                <c:pt idx="102">
                  <c:v>7.7310336756721307</c:v>
                </c:pt>
                <c:pt idx="103">
                  <c:v>8.1682704636265822</c:v>
                </c:pt>
                <c:pt idx="104">
                  <c:v>8.2229382928830983</c:v>
                </c:pt>
                <c:pt idx="105">
                  <c:v>8.4206054076677006</c:v>
                </c:pt>
                <c:pt idx="106">
                  <c:v>8.5809379921435447</c:v>
                </c:pt>
                <c:pt idx="107">
                  <c:v>8.7124495116686553</c:v>
                </c:pt>
                <c:pt idx="108">
                  <c:v>8.869522073017059</c:v>
                </c:pt>
                <c:pt idx="109">
                  <c:v>8.8899185186152003</c:v>
                </c:pt>
                <c:pt idx="110">
                  <c:v>8.7949171381593878</c:v>
                </c:pt>
                <c:pt idx="111">
                  <c:v>8.854342985666932</c:v>
                </c:pt>
                <c:pt idx="112">
                  <c:v>8.942288990630411</c:v>
                </c:pt>
                <c:pt idx="113">
                  <c:v>8.9729123144927723</c:v>
                </c:pt>
                <c:pt idx="114">
                  <c:v>9.0032365936385261</c:v>
                </c:pt>
                <c:pt idx="115">
                  <c:v>8.9911419348580139</c:v>
                </c:pt>
                <c:pt idx="116">
                  <c:v>9.0677256267100113</c:v>
                </c:pt>
                <c:pt idx="117">
                  <c:v>9.2196829409338736</c:v>
                </c:pt>
                <c:pt idx="118">
                  <c:v>9.4260515349433245</c:v>
                </c:pt>
                <c:pt idx="119">
                  <c:v>9.4293143148211094</c:v>
                </c:pt>
                <c:pt idx="120">
                  <c:v>9.2836554689359545</c:v>
                </c:pt>
                <c:pt idx="121">
                  <c:v>9.2793487915197659</c:v>
                </c:pt>
                <c:pt idx="122">
                  <c:v>9.3812978911178231</c:v>
                </c:pt>
                <c:pt idx="123">
                  <c:v>9.5621232944092842</c:v>
                </c:pt>
                <c:pt idx="124">
                  <c:v>9.4800385477680518</c:v>
                </c:pt>
                <c:pt idx="125">
                  <c:v>9.6585207459018179</c:v>
                </c:pt>
                <c:pt idx="126">
                  <c:v>9.7529523857167781</c:v>
                </c:pt>
                <c:pt idx="127">
                  <c:v>9.7016894092223467</c:v>
                </c:pt>
                <c:pt idx="128">
                  <c:v>9.7159154360230868</c:v>
                </c:pt>
                <c:pt idx="129">
                  <c:v>9.9336437312332997</c:v>
                </c:pt>
                <c:pt idx="130">
                  <c:v>10.093965456244371</c:v>
                </c:pt>
                <c:pt idx="131">
                  <c:v>10.218031927638759</c:v>
                </c:pt>
                <c:pt idx="132">
                  <c:v>10.299950182099032</c:v>
                </c:pt>
                <c:pt idx="133">
                  <c:v>10.410569781988309</c:v>
                </c:pt>
                <c:pt idx="134">
                  <c:v>11.199930249943296</c:v>
                </c:pt>
                <c:pt idx="135">
                  <c:v>11.189477202162667</c:v>
                </c:pt>
                <c:pt idx="136">
                  <c:v>11.257218714245329</c:v>
                </c:pt>
                <c:pt idx="137">
                  <c:v>11.34837495964714</c:v>
                </c:pt>
                <c:pt idx="138">
                  <c:v>11.528053376213382</c:v>
                </c:pt>
                <c:pt idx="139">
                  <c:v>11.546053741042591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9A-48EC-841F-AC590EF49239}"/>
            </c:ext>
          </c:extLst>
        </c:ser>
        <c:ser>
          <c:idx val="11"/>
          <c:order val="11"/>
          <c:tx>
            <c:strRef>
              <c:f>畫圖0!$B$23</c:f>
              <c:strCache>
                <c:ptCount val="1"/>
                <c:pt idx="0">
                  <c:v>512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畫圖0!$C$23:$EL$23</c:f>
              <c:numCache>
                <c:formatCode>General</c:formatCode>
                <c:ptCount val="140"/>
                <c:pt idx="0">
                  <c:v>0.28298926569632887</c:v>
                </c:pt>
                <c:pt idx="1">
                  <c:v>0.34985662895518099</c:v>
                </c:pt>
                <c:pt idx="2">
                  <c:v>0.60470617022283402</c:v>
                </c:pt>
                <c:pt idx="3">
                  <c:v>0.23606087514156993</c:v>
                </c:pt>
                <c:pt idx="4">
                  <c:v>0.36408120164593494</c:v>
                </c:pt>
                <c:pt idx="5">
                  <c:v>0.24887499722638062</c:v>
                </c:pt>
                <c:pt idx="6">
                  <c:v>0.11237520486857713</c:v>
                </c:pt>
                <c:pt idx="7">
                  <c:v>0.30321397042773801</c:v>
                </c:pt>
                <c:pt idx="8">
                  <c:v>0.39571821184816175</c:v>
                </c:pt>
                <c:pt idx="9">
                  <c:v>0.30513155011549237</c:v>
                </c:pt>
                <c:pt idx="10">
                  <c:v>0.24744070031492016</c:v>
                </c:pt>
                <c:pt idx="11">
                  <c:v>0.25947478144456931</c:v>
                </c:pt>
                <c:pt idx="12">
                  <c:v>0.3983931411039513</c:v>
                </c:pt>
                <c:pt idx="13">
                  <c:v>0.31765119787886931</c:v>
                </c:pt>
                <c:pt idx="14">
                  <c:v>0.24464447205026041</c:v>
                </c:pt>
                <c:pt idx="15">
                  <c:v>0.20637327894900295</c:v>
                </c:pt>
                <c:pt idx="16">
                  <c:v>0.33922972997836853</c:v>
                </c:pt>
                <c:pt idx="17">
                  <c:v>0.23716771092746933</c:v>
                </c:pt>
                <c:pt idx="18">
                  <c:v>0.31281941135545299</c:v>
                </c:pt>
                <c:pt idx="19">
                  <c:v>0.27588870587949482</c:v>
                </c:pt>
                <c:pt idx="20">
                  <c:v>0.32431272907520114</c:v>
                </c:pt>
                <c:pt idx="21">
                  <c:v>0.53666640019165912</c:v>
                </c:pt>
                <c:pt idx="22">
                  <c:v>0.77119947500711139</c:v>
                </c:pt>
                <c:pt idx="23">
                  <c:v>0.96822934624984902</c:v>
                </c:pt>
                <c:pt idx="24">
                  <c:v>1.1447294410233888</c:v>
                </c:pt>
                <c:pt idx="25">
                  <c:v>1.2854087886184258</c:v>
                </c:pt>
                <c:pt idx="26">
                  <c:v>1.4439217604462833</c:v>
                </c:pt>
                <c:pt idx="27">
                  <c:v>1.4674631240914495</c:v>
                </c:pt>
                <c:pt idx="28">
                  <c:v>1.505876735272446</c:v>
                </c:pt>
                <c:pt idx="29">
                  <c:v>1.5663678428907091</c:v>
                </c:pt>
                <c:pt idx="30">
                  <c:v>1.5451781537690115</c:v>
                </c:pt>
                <c:pt idx="31">
                  <c:v>1.507651523532433</c:v>
                </c:pt>
                <c:pt idx="32">
                  <c:v>1.5663181452370794</c:v>
                </c:pt>
                <c:pt idx="33">
                  <c:v>1.6665642324981196</c:v>
                </c:pt>
                <c:pt idx="34">
                  <c:v>1.6996924922763696</c:v>
                </c:pt>
                <c:pt idx="35">
                  <c:v>1.8841182289607126</c:v>
                </c:pt>
                <c:pt idx="36">
                  <c:v>1.8893331659258787</c:v>
                </c:pt>
                <c:pt idx="37">
                  <c:v>2.1127055493958937</c:v>
                </c:pt>
                <c:pt idx="38">
                  <c:v>2.227670388965997</c:v>
                </c:pt>
                <c:pt idx="39">
                  <c:v>2.2540865464359103</c:v>
                </c:pt>
                <c:pt idx="40">
                  <c:v>2.1686665031062273</c:v>
                </c:pt>
                <c:pt idx="41">
                  <c:v>2.3148026674455946</c:v>
                </c:pt>
                <c:pt idx="42">
                  <c:v>2.3005771189533251</c:v>
                </c:pt>
                <c:pt idx="43">
                  <c:v>2.4100830219182252</c:v>
                </c:pt>
                <c:pt idx="44">
                  <c:v>2.5889572015190065</c:v>
                </c:pt>
                <c:pt idx="45">
                  <c:v>2.6759550068500633</c:v>
                </c:pt>
                <c:pt idx="46">
                  <c:v>2.7780275694820964</c:v>
                </c:pt>
                <c:pt idx="47">
                  <c:v>2.7758731441630702</c:v>
                </c:pt>
                <c:pt idx="48">
                  <c:v>2.7865102288111512</c:v>
                </c:pt>
                <c:pt idx="49">
                  <c:v>2.857375189058879</c:v>
                </c:pt>
                <c:pt idx="50">
                  <c:v>3.1006103949032755</c:v>
                </c:pt>
                <c:pt idx="51">
                  <c:v>3.5051350499105993</c:v>
                </c:pt>
                <c:pt idx="52">
                  <c:v>3.247021546796331</c:v>
                </c:pt>
                <c:pt idx="53">
                  <c:v>3.2681547192347966</c:v>
                </c:pt>
                <c:pt idx="54">
                  <c:v>3.4220350060556406</c:v>
                </c:pt>
                <c:pt idx="55">
                  <c:v>3.4895121783038152</c:v>
                </c:pt>
                <c:pt idx="56">
                  <c:v>3.3453542137414036</c:v>
                </c:pt>
                <c:pt idx="57">
                  <c:v>3.1970460934194835</c:v>
                </c:pt>
                <c:pt idx="58">
                  <c:v>3.325071154792707</c:v>
                </c:pt>
                <c:pt idx="59">
                  <c:v>3.2649155394302722</c:v>
                </c:pt>
                <c:pt idx="60">
                  <c:v>3.2386566794675988</c:v>
                </c:pt>
                <c:pt idx="61">
                  <c:v>3.3530229696092677</c:v>
                </c:pt>
                <c:pt idx="62">
                  <c:v>3.4966186604824303</c:v>
                </c:pt>
                <c:pt idx="63">
                  <c:v>3.6112991343445504</c:v>
                </c:pt>
                <c:pt idx="64">
                  <c:v>3.6078109804394223</c:v>
                </c:pt>
                <c:pt idx="65">
                  <c:v>3.6082082699408424</c:v>
                </c:pt>
                <c:pt idx="66">
                  <c:v>3.6517548305793817</c:v>
                </c:pt>
                <c:pt idx="67">
                  <c:v>3.728005830519038</c:v>
                </c:pt>
                <c:pt idx="68">
                  <c:v>3.6893215288918921</c:v>
                </c:pt>
                <c:pt idx="69">
                  <c:v>3.9755510957412659</c:v>
                </c:pt>
                <c:pt idx="70">
                  <c:v>3.944138288813114</c:v>
                </c:pt>
                <c:pt idx="71">
                  <c:v>4.0232308246523845</c:v>
                </c:pt>
                <c:pt idx="72">
                  <c:v>4.7357438691312232</c:v>
                </c:pt>
                <c:pt idx="73">
                  <c:v>4.730563398215029</c:v>
                </c:pt>
                <c:pt idx="74">
                  <c:v>4.9434375679672629</c:v>
                </c:pt>
                <c:pt idx="75">
                  <c:v>5.0798968984633355</c:v>
                </c:pt>
                <c:pt idx="76">
                  <c:v>5.0059010662540402</c:v>
                </c:pt>
                <c:pt idx="77">
                  <c:v>5.0734430048989996</c:v>
                </c:pt>
                <c:pt idx="78">
                  <c:v>4.9679979993565091</c:v>
                </c:pt>
                <c:pt idx="79">
                  <c:v>5.1515632796049324</c:v>
                </c:pt>
                <c:pt idx="80">
                  <c:v>5.0959895445430758</c:v>
                </c:pt>
                <c:pt idx="81">
                  <c:v>5.070768808266445</c:v>
                </c:pt>
                <c:pt idx="82">
                  <c:v>5.2169439439001062</c:v>
                </c:pt>
                <c:pt idx="83">
                  <c:v>5.2889481611413878</c:v>
                </c:pt>
                <c:pt idx="84">
                  <c:v>5.3174909615461132</c:v>
                </c:pt>
                <c:pt idx="85">
                  <c:v>5.3955445595725928</c:v>
                </c:pt>
                <c:pt idx="86">
                  <c:v>5.490089586941429</c:v>
                </c:pt>
                <c:pt idx="87">
                  <c:v>5.5974556503415434</c:v>
                </c:pt>
                <c:pt idx="88">
                  <c:v>5.5271163783104678</c:v>
                </c:pt>
                <c:pt idx="89">
                  <c:v>6.1933573602752459</c:v>
                </c:pt>
                <c:pt idx="90">
                  <c:v>6.5806289865232568</c:v>
                </c:pt>
                <c:pt idx="91">
                  <c:v>6.8008652095845674</c:v>
                </c:pt>
                <c:pt idx="92">
                  <c:v>7.0582400787146344</c:v>
                </c:pt>
                <c:pt idx="93">
                  <c:v>7.1972852270797283</c:v>
                </c:pt>
                <c:pt idx="94">
                  <c:v>7.184908133191219</c:v>
                </c:pt>
                <c:pt idx="95">
                  <c:v>7.1580717038268169</c:v>
                </c:pt>
                <c:pt idx="96">
                  <c:v>7.4665417442916944</c:v>
                </c:pt>
                <c:pt idx="97">
                  <c:v>7.6139463105809826</c:v>
                </c:pt>
                <c:pt idx="98">
                  <c:v>7.6504036199819714</c:v>
                </c:pt>
                <c:pt idx="99">
                  <c:v>7.6414587146451121</c:v>
                </c:pt>
                <c:pt idx="100">
                  <c:v>7.7827303550825846</c:v>
                </c:pt>
                <c:pt idx="101">
                  <c:v>8.250235410774998</c:v>
                </c:pt>
                <c:pt idx="102">
                  <c:v>8.5857819723511817</c:v>
                </c:pt>
                <c:pt idx="103">
                  <c:v>9.0582234965814834</c:v>
                </c:pt>
                <c:pt idx="104">
                  <c:v>9.1253678865010937</c:v>
                </c:pt>
                <c:pt idx="105">
                  <c:v>9.3158717953520167</c:v>
                </c:pt>
                <c:pt idx="106">
                  <c:v>9.4237626453014283</c:v>
                </c:pt>
                <c:pt idx="107">
                  <c:v>9.5324687199650864</c:v>
                </c:pt>
                <c:pt idx="108">
                  <c:v>9.6956400894071404</c:v>
                </c:pt>
                <c:pt idx="109">
                  <c:v>9.6761857471005932</c:v>
                </c:pt>
                <c:pt idx="110">
                  <c:v>9.6199367123851633</c:v>
                </c:pt>
                <c:pt idx="111">
                  <c:v>9.7028684794057458</c:v>
                </c:pt>
                <c:pt idx="112">
                  <c:v>9.6388379306418059</c:v>
                </c:pt>
                <c:pt idx="113">
                  <c:v>9.6965376534160725</c:v>
                </c:pt>
                <c:pt idx="114">
                  <c:v>9.7354817392331618</c:v>
                </c:pt>
                <c:pt idx="115">
                  <c:v>9.6899259989963387</c:v>
                </c:pt>
                <c:pt idx="116">
                  <c:v>9.7741897224174732</c:v>
                </c:pt>
                <c:pt idx="117">
                  <c:v>10.018141618733685</c:v>
                </c:pt>
                <c:pt idx="118">
                  <c:v>10.304355042256033</c:v>
                </c:pt>
                <c:pt idx="119">
                  <c:v>10.310321643234271</c:v>
                </c:pt>
                <c:pt idx="120">
                  <c:v>10.223282146342818</c:v>
                </c:pt>
                <c:pt idx="121">
                  <c:v>10.136445643029496</c:v>
                </c:pt>
                <c:pt idx="122">
                  <c:v>10.356374450553004</c:v>
                </c:pt>
                <c:pt idx="123">
                  <c:v>10.536292209735032</c:v>
                </c:pt>
                <c:pt idx="124">
                  <c:v>10.441708517237707</c:v>
                </c:pt>
                <c:pt idx="125">
                  <c:v>10.561170839397411</c:v>
                </c:pt>
                <c:pt idx="126">
                  <c:v>10.636644309036473</c:v>
                </c:pt>
                <c:pt idx="127">
                  <c:v>10.665020399305225</c:v>
                </c:pt>
                <c:pt idx="128">
                  <c:v>10.594146944160517</c:v>
                </c:pt>
                <c:pt idx="129">
                  <c:v>10.585743075541675</c:v>
                </c:pt>
                <c:pt idx="130">
                  <c:v>10.712451852051315</c:v>
                </c:pt>
                <c:pt idx="131">
                  <c:v>10.907965855604351</c:v>
                </c:pt>
                <c:pt idx="132">
                  <c:v>10.983201409816175</c:v>
                </c:pt>
                <c:pt idx="133">
                  <c:v>11.106690315008109</c:v>
                </c:pt>
                <c:pt idx="134">
                  <c:v>11.118204718983549</c:v>
                </c:pt>
                <c:pt idx="135">
                  <c:v>11.074209006733845</c:v>
                </c:pt>
                <c:pt idx="136">
                  <c:v>11.15268977696849</c:v>
                </c:pt>
                <c:pt idx="137">
                  <c:v>11.221947968671122</c:v>
                </c:pt>
                <c:pt idx="138">
                  <c:v>11.324179851991314</c:v>
                </c:pt>
                <c:pt idx="139">
                  <c:v>11.381148994460403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49A-48EC-841F-AC590EF49239}"/>
            </c:ext>
          </c:extLst>
        </c:ser>
        <c:ser>
          <c:idx val="12"/>
          <c:order val="12"/>
          <c:tx>
            <c:strRef>
              <c:f>畫圖0!$B$24</c:f>
              <c:strCache>
                <c:ptCount val="1"/>
                <c:pt idx="0">
                  <c:v>1051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畫圖0!$C$24:$EL$24</c:f>
              <c:numCache>
                <c:formatCode>General</c:formatCode>
                <c:ptCount val="140"/>
                <c:pt idx="0">
                  <c:v>9.9113364206882743E-2</c:v>
                </c:pt>
                <c:pt idx="1">
                  <c:v>0.11371015325652903</c:v>
                </c:pt>
                <c:pt idx="2">
                  <c:v>0.39822265094703091</c:v>
                </c:pt>
                <c:pt idx="3">
                  <c:v>0.24013340754084431</c:v>
                </c:pt>
                <c:pt idx="4">
                  <c:v>0.23172999674446493</c:v>
                </c:pt>
                <c:pt idx="5">
                  <c:v>0.18161452895098221</c:v>
                </c:pt>
                <c:pt idx="6">
                  <c:v>0.17950259574783869</c:v>
                </c:pt>
                <c:pt idx="7">
                  <c:v>0.2851650893635691</c:v>
                </c:pt>
                <c:pt idx="8">
                  <c:v>0.29143820704392032</c:v>
                </c:pt>
                <c:pt idx="9">
                  <c:v>0.19763851378716993</c:v>
                </c:pt>
                <c:pt idx="10">
                  <c:v>5.0819174887661439E-2</c:v>
                </c:pt>
                <c:pt idx="11">
                  <c:v>0.13618901984041762</c:v>
                </c:pt>
                <c:pt idx="12">
                  <c:v>0.35604849595343752</c:v>
                </c:pt>
                <c:pt idx="13">
                  <c:v>0.27964338371403219</c:v>
                </c:pt>
                <c:pt idx="14">
                  <c:v>-4.1415168203939201E-2</c:v>
                </c:pt>
                <c:pt idx="15">
                  <c:v>4.668604735805916E-3</c:v>
                </c:pt>
                <c:pt idx="16">
                  <c:v>4.0818693800706587E-2</c:v>
                </c:pt>
                <c:pt idx="17">
                  <c:v>-4.7458345932236454E-2</c:v>
                </c:pt>
                <c:pt idx="18">
                  <c:v>0.26173609476754034</c:v>
                </c:pt>
                <c:pt idx="19">
                  <c:v>0.27508626862359697</c:v>
                </c:pt>
                <c:pt idx="20">
                  <c:v>0.34682839388393344</c:v>
                </c:pt>
                <c:pt idx="21">
                  <c:v>0.36790311671871601</c:v>
                </c:pt>
                <c:pt idx="22">
                  <c:v>0.90365483826229098</c:v>
                </c:pt>
                <c:pt idx="23">
                  <c:v>1.0150510212238952</c:v>
                </c:pt>
                <c:pt idx="24">
                  <c:v>1.1797428537070205</c:v>
                </c:pt>
                <c:pt idx="25">
                  <c:v>1.2366763813659656</c:v>
                </c:pt>
                <c:pt idx="26">
                  <c:v>1.3641728432234517</c:v>
                </c:pt>
                <c:pt idx="27">
                  <c:v>1.3752521796755413</c:v>
                </c:pt>
                <c:pt idx="28">
                  <c:v>1.4704904513989074</c:v>
                </c:pt>
                <c:pt idx="29">
                  <c:v>1.5784571935645253</c:v>
                </c:pt>
                <c:pt idx="30">
                  <c:v>1.5604106552634711</c:v>
                </c:pt>
                <c:pt idx="31">
                  <c:v>1.4775229954577034</c:v>
                </c:pt>
                <c:pt idx="32">
                  <c:v>1.4664009992743341</c:v>
                </c:pt>
                <c:pt idx="33">
                  <c:v>1.4501166548186559</c:v>
                </c:pt>
                <c:pt idx="34">
                  <c:v>1.4436441403130384</c:v>
                </c:pt>
                <c:pt idx="35">
                  <c:v>1.5018850600242153</c:v>
                </c:pt>
                <c:pt idx="36">
                  <c:v>1.4175308128554744</c:v>
                </c:pt>
                <c:pt idx="37">
                  <c:v>1.5525868641932203</c:v>
                </c:pt>
                <c:pt idx="38">
                  <c:v>1.8002214355157258</c:v>
                </c:pt>
                <c:pt idx="39">
                  <c:v>2.0131017362594825</c:v>
                </c:pt>
                <c:pt idx="40">
                  <c:v>1.9308259746741556</c:v>
                </c:pt>
                <c:pt idx="41">
                  <c:v>2.1016593808449811</c:v>
                </c:pt>
                <c:pt idx="42">
                  <c:v>2.0137745561833578</c:v>
                </c:pt>
                <c:pt idx="43">
                  <c:v>2.1645435361090386</c:v>
                </c:pt>
                <c:pt idx="44">
                  <c:v>2.2312349106077107</c:v>
                </c:pt>
                <c:pt idx="45">
                  <c:v>2.3519621589056134</c:v>
                </c:pt>
                <c:pt idx="46">
                  <c:v>2.4785932985903782</c:v>
                </c:pt>
                <c:pt idx="47">
                  <c:v>2.535974930275926</c:v>
                </c:pt>
                <c:pt idx="48">
                  <c:v>2.6136479685941443</c:v>
                </c:pt>
                <c:pt idx="49">
                  <c:v>2.6271985756240728</c:v>
                </c:pt>
                <c:pt idx="50">
                  <c:v>2.677689881036085</c:v>
                </c:pt>
                <c:pt idx="51">
                  <c:v>3.3881004277311448</c:v>
                </c:pt>
                <c:pt idx="52">
                  <c:v>3.4949407739468454</c:v>
                </c:pt>
                <c:pt idx="53">
                  <c:v>3.5135718080337091</c:v>
                </c:pt>
                <c:pt idx="54">
                  <c:v>3.6953170191530491</c:v>
                </c:pt>
                <c:pt idx="55">
                  <c:v>3.8085122119243118</c:v>
                </c:pt>
                <c:pt idx="56">
                  <c:v>3.7710583105758917</c:v>
                </c:pt>
                <c:pt idx="57">
                  <c:v>3.8356962567056732</c:v>
                </c:pt>
                <c:pt idx="58">
                  <c:v>3.915830583938217</c:v>
                </c:pt>
                <c:pt idx="59">
                  <c:v>3.8085015637077184</c:v>
                </c:pt>
                <c:pt idx="60">
                  <c:v>3.7903996054648341</c:v>
                </c:pt>
                <c:pt idx="61">
                  <c:v>3.8965065256160005</c:v>
                </c:pt>
                <c:pt idx="62">
                  <c:v>3.9812894654549886</c:v>
                </c:pt>
                <c:pt idx="63">
                  <c:v>4.0902027257715359</c:v>
                </c:pt>
                <c:pt idx="64">
                  <c:v>4.0777346633346641</c:v>
                </c:pt>
                <c:pt idx="65">
                  <c:v>4.1095287676645542</c:v>
                </c:pt>
                <c:pt idx="66">
                  <c:v>4.0743031278481077</c:v>
                </c:pt>
                <c:pt idx="67">
                  <c:v>4.1732240170333492</c:v>
                </c:pt>
                <c:pt idx="68">
                  <c:v>4.1124504655057343</c:v>
                </c:pt>
                <c:pt idx="69">
                  <c:v>4.3891694816459426</c:v>
                </c:pt>
                <c:pt idx="70">
                  <c:v>4.3979179739607881</c:v>
                </c:pt>
                <c:pt idx="71">
                  <c:v>4.4138186747387316</c:v>
                </c:pt>
                <c:pt idx="72">
                  <c:v>5.522830744776094</c:v>
                </c:pt>
                <c:pt idx="73">
                  <c:v>5.4723704170720016</c:v>
                </c:pt>
                <c:pt idx="74">
                  <c:v>5.8048147097805192</c:v>
                </c:pt>
                <c:pt idx="75">
                  <c:v>5.9513152860230596</c:v>
                </c:pt>
                <c:pt idx="76">
                  <c:v>5.9201139551831794</c:v>
                </c:pt>
                <c:pt idx="77">
                  <c:v>6.0397072243783398</c:v>
                </c:pt>
                <c:pt idx="78">
                  <c:v>5.728399176023613</c:v>
                </c:pt>
                <c:pt idx="79">
                  <c:v>5.9026590126358247</c:v>
                </c:pt>
                <c:pt idx="80">
                  <c:v>5.8476542853334719</c:v>
                </c:pt>
                <c:pt idx="81">
                  <c:v>5.8689316837807572</c:v>
                </c:pt>
                <c:pt idx="82">
                  <c:v>6.088009753941753</c:v>
                </c:pt>
                <c:pt idx="83">
                  <c:v>5.9871069068235263</c:v>
                </c:pt>
                <c:pt idx="84">
                  <c:v>6.0112806510557473</c:v>
                </c:pt>
                <c:pt idx="85">
                  <c:v>5.7343506196297591</c:v>
                </c:pt>
                <c:pt idx="86">
                  <c:v>6.057409884958143</c:v>
                </c:pt>
                <c:pt idx="87">
                  <c:v>6.0570112547910568</c:v>
                </c:pt>
                <c:pt idx="88">
                  <c:v>6.2512567792923655</c:v>
                </c:pt>
                <c:pt idx="89">
                  <c:v>6.8588164532695322</c:v>
                </c:pt>
                <c:pt idx="90">
                  <c:v>7.5745454619948926</c:v>
                </c:pt>
                <c:pt idx="91">
                  <c:v>7.9421805841652482</c:v>
                </c:pt>
                <c:pt idx="92">
                  <c:v>8.2001534097059956</c:v>
                </c:pt>
                <c:pt idx="93">
                  <c:v>8.2377515167873607</c:v>
                </c:pt>
                <c:pt idx="94">
                  <c:v>8.0889712899436734</c:v>
                </c:pt>
                <c:pt idx="95">
                  <c:v>8.1168894314837967</c:v>
                </c:pt>
                <c:pt idx="96">
                  <c:v>8.3062699962582176</c:v>
                </c:pt>
                <c:pt idx="97">
                  <c:v>8.2780593706682666</c:v>
                </c:pt>
                <c:pt idx="98">
                  <c:v>8.532064986360739</c:v>
                </c:pt>
                <c:pt idx="99">
                  <c:v>8.6033337167685655</c:v>
                </c:pt>
                <c:pt idx="100">
                  <c:v>8.9627042531231744</c:v>
                </c:pt>
                <c:pt idx="101">
                  <c:v>9.5060928551467381</c:v>
                </c:pt>
                <c:pt idx="102">
                  <c:v>10.141072560645426</c:v>
                </c:pt>
                <c:pt idx="103">
                  <c:v>10.953334963590759</c:v>
                </c:pt>
                <c:pt idx="104">
                  <c:v>11.130925369662258</c:v>
                </c:pt>
                <c:pt idx="105">
                  <c:v>11.03684931672314</c:v>
                </c:pt>
                <c:pt idx="106">
                  <c:v>11.283373316681415</c:v>
                </c:pt>
                <c:pt idx="107">
                  <c:v>11.398278788260534</c:v>
                </c:pt>
                <c:pt idx="108">
                  <c:v>11.573633515241005</c:v>
                </c:pt>
                <c:pt idx="109">
                  <c:v>11.516058532833281</c:v>
                </c:pt>
                <c:pt idx="110">
                  <c:v>11.35972658737392</c:v>
                </c:pt>
                <c:pt idx="111">
                  <c:v>11.131397798932246</c:v>
                </c:pt>
                <c:pt idx="112">
                  <c:v>10.966939211462776</c:v>
                </c:pt>
                <c:pt idx="113">
                  <c:v>11.033400663794449</c:v>
                </c:pt>
                <c:pt idx="114">
                  <c:v>10.991047613343687</c:v>
                </c:pt>
                <c:pt idx="115">
                  <c:v>11.007741063416873</c:v>
                </c:pt>
                <c:pt idx="116">
                  <c:v>11.121882347690381</c:v>
                </c:pt>
                <c:pt idx="117">
                  <c:v>11.36951353055499</c:v>
                </c:pt>
                <c:pt idx="118">
                  <c:v>11.582869075503037</c:v>
                </c:pt>
                <c:pt idx="119">
                  <c:v>11.561989457519029</c:v>
                </c:pt>
                <c:pt idx="120">
                  <c:v>11.37860296915319</c:v>
                </c:pt>
                <c:pt idx="121">
                  <c:v>11.352470676429448</c:v>
                </c:pt>
                <c:pt idx="122">
                  <c:v>11.559732554509615</c:v>
                </c:pt>
                <c:pt idx="123">
                  <c:v>11.954051072524681</c:v>
                </c:pt>
                <c:pt idx="124">
                  <c:v>12.055233569179926</c:v>
                </c:pt>
                <c:pt idx="125">
                  <c:v>12.087969175298737</c:v>
                </c:pt>
                <c:pt idx="126">
                  <c:v>12.089543720165294</c:v>
                </c:pt>
                <c:pt idx="127">
                  <c:v>11.963607836790839</c:v>
                </c:pt>
                <c:pt idx="128">
                  <c:v>11.851686138216859</c:v>
                </c:pt>
                <c:pt idx="129">
                  <c:v>11.851548288610561</c:v>
                </c:pt>
                <c:pt idx="130">
                  <c:v>11.862248525295454</c:v>
                </c:pt>
                <c:pt idx="131">
                  <c:v>12.029964959862047</c:v>
                </c:pt>
                <c:pt idx="132">
                  <c:v>12.177195624750247</c:v>
                </c:pt>
                <c:pt idx="133">
                  <c:v>12.411058493056288</c:v>
                </c:pt>
                <c:pt idx="134">
                  <c:v>12.379599115723098</c:v>
                </c:pt>
                <c:pt idx="135">
                  <c:v>12.250532173934705</c:v>
                </c:pt>
                <c:pt idx="136">
                  <c:v>12.362276454956138</c:v>
                </c:pt>
                <c:pt idx="137">
                  <c:v>12.46309097117739</c:v>
                </c:pt>
                <c:pt idx="138">
                  <c:v>12.537616750268606</c:v>
                </c:pt>
                <c:pt idx="139">
                  <c:v>12.374151260212884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9A-48EC-841F-AC590EF49239}"/>
            </c:ext>
          </c:extLst>
        </c:ser>
        <c:ser>
          <c:idx val="13"/>
          <c:order val="13"/>
          <c:tx>
            <c:strRef>
              <c:f>畫圖0!$B$25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49A-48EC-841F-AC590EF49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116656"/>
        <c:axId val="435117072"/>
      </c:lineChart>
      <c:catAx>
        <c:axId val="43511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5117072"/>
        <c:crosses val="autoZero"/>
        <c:auto val="1"/>
        <c:lblAlgn val="ctr"/>
        <c:lblOffset val="100"/>
        <c:noMultiLvlLbl val="0"/>
      </c:catAx>
      <c:valAx>
        <c:axId val="43511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51166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698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abSelected="1" topLeftCell="DU1" zoomScale="130" zoomScaleNormal="130" workbookViewId="0">
      <selection activeCell="EE9" sqref="EE9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14" t="s">
        <v>146</v>
      </c>
      <c r="B6" s="15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14" t="s">
        <v>147</v>
      </c>
      <c r="B10" s="15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1">
        <v>10</v>
      </c>
      <c r="B12" s="11">
        <f t="shared" ref="B12:B24" si="10">ROUND($D$10/A12,0)</f>
        <v>105</v>
      </c>
      <c r="C12" s="3">
        <v>0.10089844298657411</v>
      </c>
      <c r="D12" s="3">
        <v>0.1020597883778066</v>
      </c>
      <c r="E12" s="3">
        <v>3.9609506951447812E-2</v>
      </c>
      <c r="F12" s="3">
        <v>2.9055682163571579E-2</v>
      </c>
      <c r="G12" s="3">
        <v>1.9464889877544141E-2</v>
      </c>
      <c r="H12" s="3">
        <v>4.297062670482453E-2</v>
      </c>
      <c r="I12" s="3">
        <v>4.7247384089172499E-2</v>
      </c>
      <c r="J12" s="3">
        <v>4.6414327886042252E-2</v>
      </c>
      <c r="K12" s="3">
        <v>2.3658896846235369E-2</v>
      </c>
      <c r="L12" s="3">
        <v>2.7998247094693809E-2</v>
      </c>
      <c r="M12" s="3">
        <v>1.9122952075517931E-2</v>
      </c>
      <c r="N12" s="3">
        <v>8.5563557863297446E-2</v>
      </c>
      <c r="O12" s="3">
        <v>1.0636064564987001E-2</v>
      </c>
      <c r="P12" s="3">
        <v>8.6610866116849303E-3</v>
      </c>
      <c r="Q12" s="3">
        <v>3.4106700160797553E-2</v>
      </c>
      <c r="R12" s="3">
        <v>4.9289692079779344E-3</v>
      </c>
      <c r="S12" s="3">
        <v>5.4837755185065298E-2</v>
      </c>
      <c r="T12" s="3">
        <v>5.2587669295827782E-2</v>
      </c>
      <c r="U12" s="3">
        <v>2.1667905745156091E-2</v>
      </c>
      <c r="V12" s="3">
        <v>4.1428754320005937E-2</v>
      </c>
      <c r="W12" s="3">
        <v>6.3710268164591521E-2</v>
      </c>
      <c r="X12" s="3">
        <v>0.103896156359364</v>
      </c>
      <c r="Y12" s="3">
        <v>5.1251780970772778E-2</v>
      </c>
      <c r="Z12" s="3">
        <v>7.0230399903213558E-2</v>
      </c>
      <c r="AA12" s="3">
        <v>3.4125404982876383E-2</v>
      </c>
      <c r="AB12" s="3">
        <v>1.8298313695853101E-2</v>
      </c>
      <c r="AC12" s="3">
        <v>3.5880540014938227E-2</v>
      </c>
      <c r="AD12" s="3">
        <v>2.0856409221369939E-2</v>
      </c>
      <c r="AE12" s="3">
        <v>4.6017199184805298E-2</v>
      </c>
      <c r="AF12" s="3">
        <v>4.0362403264274059E-2</v>
      </c>
      <c r="AG12" s="3">
        <v>4.3637800318951363E-2</v>
      </c>
      <c r="AH12" s="3">
        <v>2.376061792731542E-2</v>
      </c>
      <c r="AI12" s="3">
        <v>1.4562053666798851E-2</v>
      </c>
      <c r="AJ12" s="3">
        <v>9.9567280152645724E-3</v>
      </c>
      <c r="AK12" s="3">
        <v>3.694714581783648E-2</v>
      </c>
      <c r="AL12" s="3">
        <v>4.2207371108048508E-2</v>
      </c>
      <c r="AM12" s="3">
        <v>4.6513704938912187E-2</v>
      </c>
      <c r="AN12" s="3">
        <v>6.4352985403803423E-2</v>
      </c>
      <c r="AO12" s="3">
        <v>1.811957699059677E-2</v>
      </c>
      <c r="AP12" s="3">
        <v>2.9257473785565289E-2</v>
      </c>
      <c r="AQ12" s="3">
        <v>1.4647831146463839E-2</v>
      </c>
      <c r="AR12" s="3">
        <v>2.7563203459402691E-2</v>
      </c>
      <c r="AS12" s="3">
        <v>3.3836409384837188E-2</v>
      </c>
      <c r="AT12" s="3">
        <v>7.8623565517694533E-2</v>
      </c>
      <c r="AU12" s="3">
        <v>7.5344925874929719E-2</v>
      </c>
      <c r="AV12" s="3">
        <v>6.1733046781058253E-2</v>
      </c>
      <c r="AW12" s="3">
        <v>3.0819966489973361E-2</v>
      </c>
      <c r="AX12" s="3">
        <v>6.3308333905653463E-2</v>
      </c>
      <c r="AY12" s="3">
        <v>1.104565754464445E-2</v>
      </c>
      <c r="AZ12" s="3">
        <v>5.6967306666709461E-2</v>
      </c>
      <c r="BA12" s="3">
        <v>8.3688502994663502E-2</v>
      </c>
      <c r="BB12" s="3">
        <v>6.1662593528459993E-2</v>
      </c>
      <c r="BC12" s="3">
        <v>1.3678878216525071E-2</v>
      </c>
      <c r="BD12" s="3">
        <v>5.4540478695564103E-2</v>
      </c>
      <c r="BE12" s="3">
        <v>6.3129884196570424E-2</v>
      </c>
      <c r="BF12" s="3">
        <v>6.8727602598543241E-2</v>
      </c>
      <c r="BG12" s="3">
        <v>7.5244469808505285E-2</v>
      </c>
      <c r="BH12" s="3">
        <v>6.138075424053388E-2</v>
      </c>
      <c r="BI12" s="3">
        <v>5.3830348120389011E-2</v>
      </c>
      <c r="BJ12" s="3">
        <v>4.6993564558639248E-2</v>
      </c>
      <c r="BK12" s="3">
        <v>3.1664972052732172E-2</v>
      </c>
      <c r="BL12" s="3">
        <v>4.2042740000800889E-2</v>
      </c>
      <c r="BM12" s="3">
        <v>4.2676360435190193E-2</v>
      </c>
      <c r="BN12" s="3">
        <v>4.2322115138166028E-2</v>
      </c>
      <c r="BO12" s="3">
        <v>2.6392541432171821E-2</v>
      </c>
      <c r="BP12" s="3">
        <v>2.3401135887683219E-2</v>
      </c>
      <c r="BQ12" s="3">
        <v>1.77297576239566E-2</v>
      </c>
      <c r="BR12" s="3">
        <v>6.1002549369312362E-2</v>
      </c>
      <c r="BS12" s="3">
        <v>2.4626744091129679E-2</v>
      </c>
      <c r="BT12" s="3">
        <v>2.8722864630394491E-2</v>
      </c>
      <c r="BU12" s="3">
        <v>3.5961565866561802E-2</v>
      </c>
      <c r="BV12" s="3">
        <v>4.1762273717137532E-2</v>
      </c>
      <c r="BW12" s="3">
        <v>4.2657263321725987E-2</v>
      </c>
      <c r="BX12" s="3">
        <v>5.6215010871367328E-3</v>
      </c>
      <c r="BY12" s="3">
        <v>5.0273991139827327E-2</v>
      </c>
      <c r="BZ12" s="3">
        <v>4.4646759553115062E-2</v>
      </c>
      <c r="CA12" s="3">
        <v>5.9972698706794822E-2</v>
      </c>
      <c r="CB12" s="3">
        <v>6.4232199598200951E-2</v>
      </c>
      <c r="CC12" s="3">
        <v>3.3330505400358451E-2</v>
      </c>
      <c r="CD12" s="3">
        <v>7.588332483869123E-2</v>
      </c>
      <c r="CE12" s="3">
        <v>0.1211298526850908</v>
      </c>
      <c r="CF12" s="3">
        <v>1.6094234576531211E-2</v>
      </c>
      <c r="CG12" s="3">
        <v>4.0564868127327083E-2</v>
      </c>
      <c r="CH12" s="3">
        <v>8.2352849081060095E-2</v>
      </c>
      <c r="CI12" s="3">
        <v>1.4822580734958761E-2</v>
      </c>
      <c r="CJ12" s="3">
        <v>6.2905006184173967E-2</v>
      </c>
      <c r="CK12" s="3">
        <v>6.4387703707776078E-2</v>
      </c>
      <c r="CL12" s="3">
        <v>0.14742448883054421</v>
      </c>
      <c r="CM12" s="3">
        <v>7.4027470899295456E-2</v>
      </c>
      <c r="CN12" s="3">
        <v>0.1127192346584265</v>
      </c>
      <c r="CO12" s="3">
        <v>8.54016618396225E-2</v>
      </c>
      <c r="CP12" s="3">
        <v>4.6239126830666097E-2</v>
      </c>
      <c r="CQ12" s="3">
        <v>6.5214138137250965E-2</v>
      </c>
      <c r="CR12" s="3">
        <v>7.0147967276698239E-2</v>
      </c>
      <c r="CS12" s="3">
        <v>4.0755537614322532E-2</v>
      </c>
      <c r="CT12" s="3">
        <v>3.079003576644403E-2</v>
      </c>
      <c r="CU12" s="3">
        <v>8.8392990613724076E-2</v>
      </c>
      <c r="CV12" s="3">
        <v>7.3116077808083421E-2</v>
      </c>
      <c r="CW12" s="3">
        <v>3.9411592470584553E-2</v>
      </c>
      <c r="CX12" s="3">
        <v>8.3190745252740048E-2</v>
      </c>
      <c r="CY12" s="3">
        <v>3.9694987988409522E-2</v>
      </c>
      <c r="CZ12" s="3">
        <v>0.11666009258940439</v>
      </c>
      <c r="DA12" s="3">
        <v>3.9058496393084403E-2</v>
      </c>
      <c r="DB12" s="3">
        <v>7.0670790736112099E-2</v>
      </c>
      <c r="DC12" s="3">
        <v>3.6054019444307153E-2</v>
      </c>
      <c r="DD12" s="3">
        <v>4.13574946212295E-2</v>
      </c>
      <c r="DE12" s="3">
        <v>2.7733894911376789E-2</v>
      </c>
      <c r="DF12" s="3">
        <v>5.5989749865855712E-2</v>
      </c>
      <c r="DG12" s="3">
        <v>3.7568937055758748E-2</v>
      </c>
      <c r="DH12" s="3">
        <v>4.5308176423614253E-2</v>
      </c>
      <c r="DI12" s="3">
        <v>6.7875627477653133E-2</v>
      </c>
      <c r="DJ12" s="3">
        <v>1.6216031172156229E-2</v>
      </c>
      <c r="DK12" s="3">
        <v>4.2214397597767059E-2</v>
      </c>
      <c r="DL12" s="3">
        <v>3.821940667167753E-2</v>
      </c>
      <c r="DM12" s="3">
        <v>3.2202393817914253E-2</v>
      </c>
      <c r="DN12" s="3">
        <v>2.2413485469703821E-2</v>
      </c>
      <c r="DO12" s="3">
        <v>3.6061997102493831E-2</v>
      </c>
      <c r="DP12" s="3">
        <v>7.1364160225066628E-2</v>
      </c>
      <c r="DQ12" s="3">
        <v>6.935447529618835E-2</v>
      </c>
      <c r="DR12" s="3">
        <v>2.3549760385483471E-2</v>
      </c>
      <c r="DS12" s="3">
        <v>8.1651559512914029E-2</v>
      </c>
      <c r="DT12" s="3">
        <v>4.2520147991918923E-2</v>
      </c>
      <c r="DU12" s="3">
        <v>5.2379095012491647E-2</v>
      </c>
      <c r="DV12" s="3">
        <v>4.8126762263467113E-2</v>
      </c>
      <c r="DW12" s="3">
        <v>6.2468752919548551E-2</v>
      </c>
      <c r="DX12" s="3">
        <v>5.5455555882539302E-2</v>
      </c>
      <c r="DY12" s="3">
        <v>5.6497269821194782E-2</v>
      </c>
      <c r="DZ12" s="3">
        <v>2.050046953055161E-2</v>
      </c>
      <c r="EA12" s="3">
        <v>0.13587595770290381</v>
      </c>
      <c r="EB12" s="3">
        <v>3.5864674058528188E-2</v>
      </c>
      <c r="EC12" s="3">
        <v>3.4659365730754253E-2</v>
      </c>
      <c r="ED12" s="3">
        <v>4.3747282651241309E-2</v>
      </c>
      <c r="EE12" s="3">
        <v>4.0255366442441202E-2</v>
      </c>
      <c r="EF12" s="3">
        <v>5.1783708608562212E-2</v>
      </c>
      <c r="EG12" s="3">
        <v>9.8026236358875737E-2</v>
      </c>
      <c r="EH12" s="3">
        <v>1.34306611445078E-2</v>
      </c>
      <c r="EI12" s="3">
        <v>1.64337294570281E-2</v>
      </c>
      <c r="EJ12" s="3">
        <v>6.6244209171097301E-2</v>
      </c>
      <c r="EK12" s="3">
        <v>5.244857973024919E-2</v>
      </c>
      <c r="EL12" s="3">
        <v>3.7927258210677758E-2</v>
      </c>
      <c r="EM12" s="3">
        <v>3.7927258210677758E-2</v>
      </c>
      <c r="EN12">
        <f t="shared" ref="EN12:EN25" si="11">STDEV(C12:EL12)</f>
        <v>2.6744022210608041E-2</v>
      </c>
      <c r="EO12">
        <f t="shared" ref="EO12:EO25" si="12">EM12/EN12</f>
        <v>1.4181583425261244</v>
      </c>
    </row>
    <row r="13" spans="1:145" x14ac:dyDescent="0.3">
      <c r="A13" s="11">
        <v>20</v>
      </c>
      <c r="B13" s="11">
        <f t="shared" si="10"/>
        <v>53</v>
      </c>
      <c r="C13" s="3">
        <v>0.14000495612798919</v>
      </c>
      <c r="D13" s="3">
        <v>0.13082773257460101</v>
      </c>
      <c r="E13" s="3">
        <v>3.8961201495579453E-2</v>
      </c>
      <c r="F13" s="3">
        <v>2.4231110107792799E-2</v>
      </c>
      <c r="G13" s="3">
        <v>1.580622110069204E-2</v>
      </c>
      <c r="H13" s="3">
        <v>5.9207125103496128E-2</v>
      </c>
      <c r="I13" s="3">
        <v>5.8308824618998681E-2</v>
      </c>
      <c r="J13" s="3">
        <v>4.5902772805035373E-2</v>
      </c>
      <c r="K13" s="3">
        <v>6.7126577323732839E-2</v>
      </c>
      <c r="L13" s="3">
        <v>2.2814602230784801E-2</v>
      </c>
      <c r="M13" s="3">
        <v>6.5840677766898156E-3</v>
      </c>
      <c r="N13" s="3">
        <v>0.1247691614701653</v>
      </c>
      <c r="O13" s="3">
        <v>1.4837765050859431E-2</v>
      </c>
      <c r="P13" s="3">
        <v>1.4644985017576819E-2</v>
      </c>
      <c r="Q13" s="3">
        <v>3.4941031938948167E-2</v>
      </c>
      <c r="R13" s="3">
        <v>-7.3881828471582204E-3</v>
      </c>
      <c r="S13" s="3">
        <v>6.6705055956516116E-2</v>
      </c>
      <c r="T13" s="3">
        <v>7.784901096571209E-2</v>
      </c>
      <c r="U13" s="3">
        <v>4.708244197596749E-2</v>
      </c>
      <c r="V13" s="3">
        <v>5.7289127050981548E-2</v>
      </c>
      <c r="W13" s="3">
        <v>8.9248536672423884E-2</v>
      </c>
      <c r="X13" s="3">
        <v>0.14239725984573351</v>
      </c>
      <c r="Y13" s="3">
        <v>1.9706626603802891E-2</v>
      </c>
      <c r="Z13" s="3">
        <v>0.10239723031414449</v>
      </c>
      <c r="AA13" s="3">
        <v>4.0525408866535113E-2</v>
      </c>
      <c r="AB13" s="3">
        <v>4.3393698137982467E-2</v>
      </c>
      <c r="AC13" s="3">
        <v>3.147394105925147E-2</v>
      </c>
      <c r="AD13" s="3">
        <v>1.420414438460155E-2</v>
      </c>
      <c r="AE13" s="3">
        <v>6.2519970527853325E-2</v>
      </c>
      <c r="AF13" s="3">
        <v>6.3262452126622723E-2</v>
      </c>
      <c r="AG13" s="3">
        <v>3.0956335263374431E-2</v>
      </c>
      <c r="AH13" s="3">
        <v>2.5435291029944181E-2</v>
      </c>
      <c r="AI13" s="3">
        <v>2.255881564151618E-2</v>
      </c>
      <c r="AJ13" s="3">
        <v>3.4429878053965891E-2</v>
      </c>
      <c r="AK13" s="3">
        <v>4.9957107458059931E-2</v>
      </c>
      <c r="AL13" s="3">
        <v>4.4323761578816408E-2</v>
      </c>
      <c r="AM13" s="3">
        <v>3.4651220040982082E-2</v>
      </c>
      <c r="AN13" s="3">
        <v>9.5609030844500231E-2</v>
      </c>
      <c r="AO13" s="3">
        <v>3.3371834133970502E-3</v>
      </c>
      <c r="AP13" s="3">
        <v>4.8899098735383853E-2</v>
      </c>
      <c r="AQ13" s="3">
        <v>9.5876566310260057E-3</v>
      </c>
      <c r="AR13" s="3">
        <v>1.150202109899877E-2</v>
      </c>
      <c r="AS13" s="3">
        <v>2.4085848115406261E-2</v>
      </c>
      <c r="AT13" s="3">
        <v>0.1284192389589271</v>
      </c>
      <c r="AU13" s="3">
        <v>7.4237643429075753E-2</v>
      </c>
      <c r="AV13" s="3">
        <v>8.048662823762516E-2</v>
      </c>
      <c r="AW13" s="3">
        <v>4.4238945026653723E-2</v>
      </c>
      <c r="AX13" s="3">
        <v>8.2986374369510507E-2</v>
      </c>
      <c r="AY13" s="3">
        <v>5.743023187329728E-3</v>
      </c>
      <c r="AZ13" s="3">
        <v>7.310031329095025E-2</v>
      </c>
      <c r="BA13" s="3">
        <v>7.9579366901322071E-2</v>
      </c>
      <c r="BB13" s="3">
        <v>8.4741045982694038E-2</v>
      </c>
      <c r="BC13" s="3">
        <v>3.4043681668177971E-3</v>
      </c>
      <c r="BD13" s="3">
        <v>3.2010903947677603E-2</v>
      </c>
      <c r="BE13" s="3">
        <v>6.1203472646554999E-2</v>
      </c>
      <c r="BF13" s="3">
        <v>0.1193884640192029</v>
      </c>
      <c r="BG13" s="3">
        <v>0.11091176103838481</v>
      </c>
      <c r="BH13" s="3">
        <v>0.10012329203105889</v>
      </c>
      <c r="BI13" s="3">
        <v>7.1298568307370386E-2</v>
      </c>
      <c r="BJ13" s="3">
        <v>4.2097729002864612E-2</v>
      </c>
      <c r="BK13" s="3">
        <v>1.2859349876102381E-2</v>
      </c>
      <c r="BL13" s="3">
        <v>3.8670756985091738E-2</v>
      </c>
      <c r="BM13" s="3">
        <v>3.6035755128293011E-2</v>
      </c>
      <c r="BN13" s="3">
        <v>4.1851821055739008E-2</v>
      </c>
      <c r="BO13" s="3">
        <v>3.0273980092605089E-2</v>
      </c>
      <c r="BP13" s="3">
        <v>1.6030136590657561E-2</v>
      </c>
      <c r="BQ13" s="3">
        <v>5.0411180474789642E-3</v>
      </c>
      <c r="BR13" s="3">
        <v>5.9306775029571282E-2</v>
      </c>
      <c r="BS13" s="3">
        <v>2.200471241716934E-2</v>
      </c>
      <c r="BT13" s="3">
        <v>8.6200683851088422E-3</v>
      </c>
      <c r="BU13" s="3">
        <v>5.0893094615570289E-2</v>
      </c>
      <c r="BV13" s="3">
        <v>5.5541763749830962E-2</v>
      </c>
      <c r="BW13" s="3">
        <v>7.0141257302889726E-2</v>
      </c>
      <c r="BX13" s="3">
        <v>1.470428869864546E-2</v>
      </c>
      <c r="BY13" s="3">
        <v>7.2707967603162449E-2</v>
      </c>
      <c r="BZ13" s="3">
        <v>4.7942001411659267E-2</v>
      </c>
      <c r="CA13" s="3">
        <v>6.1236374615796667E-2</v>
      </c>
      <c r="CB13" s="3">
        <v>0.1115215256451787</v>
      </c>
      <c r="CC13" s="3">
        <v>3.7750999615867128E-2</v>
      </c>
      <c r="CD13" s="3">
        <v>8.9140572495943676E-2</v>
      </c>
      <c r="CE13" s="3">
        <v>0.15188020830173279</v>
      </c>
      <c r="CF13" s="3">
        <v>2.4992757249034929E-2</v>
      </c>
      <c r="CG13" s="3">
        <v>6.6794521656957553E-2</v>
      </c>
      <c r="CH13" s="3">
        <v>0.1089051674228341</v>
      </c>
      <c r="CI13" s="3">
        <v>2.9704004254620619E-2</v>
      </c>
      <c r="CJ13" s="3">
        <v>7.240864560461055E-2</v>
      </c>
      <c r="CK13" s="3">
        <v>4.0606735721466468E-2</v>
      </c>
      <c r="CL13" s="3">
        <v>0.1459167478489308</v>
      </c>
      <c r="CM13" s="3">
        <v>8.1364427864670019E-2</v>
      </c>
      <c r="CN13" s="3">
        <v>0.1023574554502633</v>
      </c>
      <c r="CO13" s="3">
        <v>0.1013115860979672</v>
      </c>
      <c r="CP13" s="3">
        <v>6.2220296244630803E-2</v>
      </c>
      <c r="CQ13" s="3">
        <v>7.0547124556264815E-2</v>
      </c>
      <c r="CR13" s="3">
        <v>0.1040389792585581</v>
      </c>
      <c r="CS13" s="3">
        <v>3.5979653055433457E-2</v>
      </c>
      <c r="CT13" s="3">
        <v>4.6879734474876061E-2</v>
      </c>
      <c r="CU13" s="3">
        <v>0.1210991257311779</v>
      </c>
      <c r="CV13" s="3">
        <v>7.9914435983759469E-2</v>
      </c>
      <c r="CW13" s="3">
        <v>5.2295754256630383E-2</v>
      </c>
      <c r="CX13" s="3">
        <v>7.404046685250279E-2</v>
      </c>
      <c r="CY13" s="3">
        <v>4.3409700058611098E-2</v>
      </c>
      <c r="CZ13" s="3">
        <v>0.12868454234102239</v>
      </c>
      <c r="DA13" s="3">
        <v>2.384258478813758E-2</v>
      </c>
      <c r="DB13" s="3">
        <v>0.11078901472476969</v>
      </c>
      <c r="DC13" s="3">
        <v>4.8967656180136217E-2</v>
      </c>
      <c r="DD13" s="3">
        <v>8.205497958358407E-2</v>
      </c>
      <c r="DE13" s="3">
        <v>3.3683465814131237E-2</v>
      </c>
      <c r="DF13" s="3">
        <v>7.8373542686790254E-2</v>
      </c>
      <c r="DG13" s="3">
        <v>3.8510062498494688E-2</v>
      </c>
      <c r="DH13" s="3">
        <v>6.6585246198408762E-2</v>
      </c>
      <c r="DI13" s="3">
        <v>6.6213871449675249E-2</v>
      </c>
      <c r="DJ13" s="3">
        <v>3.1244666568508481E-2</v>
      </c>
      <c r="DK13" s="3">
        <v>3.6407822637822357E-2</v>
      </c>
      <c r="DL13" s="3">
        <v>4.614028859742824E-2</v>
      </c>
      <c r="DM13" s="3">
        <v>5.0230511606559641E-2</v>
      </c>
      <c r="DN13" s="3">
        <v>3.3185463660345818E-2</v>
      </c>
      <c r="DO13" s="3">
        <v>6.4618719781726244E-2</v>
      </c>
      <c r="DP13" s="3">
        <v>0.1112071990502045</v>
      </c>
      <c r="DQ13" s="3">
        <v>8.773306435642475E-2</v>
      </c>
      <c r="DR13" s="3">
        <v>1.138957386505174E-2</v>
      </c>
      <c r="DS13" s="3">
        <v>7.9376368859369897E-2</v>
      </c>
      <c r="DT13" s="3">
        <v>4.1686668509101417E-2</v>
      </c>
      <c r="DU13" s="3">
        <v>2.3300182067782841E-2</v>
      </c>
      <c r="DV13" s="3">
        <v>7.2402818713776976E-2</v>
      </c>
      <c r="DW13" s="3">
        <v>8.7122021520254972E-2</v>
      </c>
      <c r="DX13" s="3">
        <v>5.4500776568180052E-2</v>
      </c>
      <c r="DY13" s="3">
        <v>7.8678352992154268E-2</v>
      </c>
      <c r="DZ13" s="3">
        <v>-5.0676231193237838E-3</v>
      </c>
      <c r="EA13" s="3">
        <v>0.13070312616714369</v>
      </c>
      <c r="EB13" s="3">
        <v>5.8923295464248127E-2</v>
      </c>
      <c r="EC13" s="3">
        <v>1.08443369491504E-2</v>
      </c>
      <c r="ED13" s="3">
        <v>6.0564819305882492E-2</v>
      </c>
      <c r="EE13" s="3">
        <v>4.3752354160511937E-2</v>
      </c>
      <c r="EF13" s="3">
        <v>5.6554432640540157E-2</v>
      </c>
      <c r="EG13" s="3">
        <v>0.1168701806880643</v>
      </c>
      <c r="EH13" s="3">
        <v>1.9497584770937462E-2</v>
      </c>
      <c r="EI13" s="3">
        <v>2.3819974382942411E-2</v>
      </c>
      <c r="EJ13" s="3">
        <v>8.0026968380531041E-2</v>
      </c>
      <c r="EK13" s="3">
        <v>5.8720593039494048E-2</v>
      </c>
      <c r="EL13" s="3">
        <v>2.982737284755391E-2</v>
      </c>
      <c r="EM13" s="3">
        <v>3.7927258210677758E-2</v>
      </c>
      <c r="EN13">
        <f t="shared" si="11"/>
        <v>3.5956045033533758E-2</v>
      </c>
      <c r="EO13">
        <f t="shared" si="12"/>
        <v>1.054822858723911</v>
      </c>
    </row>
    <row r="14" spans="1:145" x14ac:dyDescent="0.3">
      <c r="A14" s="11">
        <v>50</v>
      </c>
      <c r="B14" s="11">
        <f t="shared" si="10"/>
        <v>21</v>
      </c>
      <c r="C14" s="3">
        <v>0.116774653241843</v>
      </c>
      <c r="D14" s="3">
        <v>0.16415046262919941</v>
      </c>
      <c r="E14" s="3">
        <v>4.9868595609604702E-2</v>
      </c>
      <c r="F14" s="3">
        <v>6.4111698882147903E-3</v>
      </c>
      <c r="G14" s="3">
        <v>4.3794483040926813E-2</v>
      </c>
      <c r="H14" s="3">
        <v>3.212081557738735E-2</v>
      </c>
      <c r="I14" s="3">
        <v>5.7252421942059553E-2</v>
      </c>
      <c r="J14" s="3">
        <v>5.6396246591286801E-2</v>
      </c>
      <c r="K14" s="3">
        <v>4.4679258873892312E-2</v>
      </c>
      <c r="L14" s="3">
        <v>-5.4203868983894489E-3</v>
      </c>
      <c r="M14" s="3">
        <v>3.6741900112678118E-2</v>
      </c>
      <c r="N14" s="3">
        <v>9.6044939308867094E-2</v>
      </c>
      <c r="O14" s="3">
        <v>-2.3740440810001089E-2</v>
      </c>
      <c r="P14" s="3">
        <v>-1.3043843749944181E-2</v>
      </c>
      <c r="Q14" s="3">
        <v>7.2328994851169948E-2</v>
      </c>
      <c r="R14" s="3">
        <v>1.284060369594445E-2</v>
      </c>
      <c r="S14" s="3">
        <v>3.017332485180765E-2</v>
      </c>
      <c r="T14" s="3">
        <v>6.1584154820635013E-2</v>
      </c>
      <c r="U14" s="3">
        <v>8.1256961039917239E-2</v>
      </c>
      <c r="V14" s="3">
        <v>1.6041740678130061E-2</v>
      </c>
      <c r="W14" s="3">
        <v>9.9006641946699808E-2</v>
      </c>
      <c r="X14" s="3">
        <v>0.16312466667553971</v>
      </c>
      <c r="Y14" s="3">
        <v>-2.3434667833785658E-3</v>
      </c>
      <c r="Z14" s="3">
        <v>9.1074144036350196E-2</v>
      </c>
      <c r="AA14" s="3">
        <v>7.0870173926218222E-2</v>
      </c>
      <c r="AB14" s="3">
        <v>4.5407222136743267E-2</v>
      </c>
      <c r="AC14" s="3">
        <v>5.2748107274409178E-4</v>
      </c>
      <c r="AD14" s="3">
        <v>-7.6617808621797789E-3</v>
      </c>
      <c r="AE14" s="3">
        <v>8.5257889064714806E-2</v>
      </c>
      <c r="AF14" s="3">
        <v>8.602877444151609E-2</v>
      </c>
      <c r="AG14" s="3">
        <v>6.8990310734098587E-2</v>
      </c>
      <c r="AH14" s="3">
        <v>7.8141614429950729E-3</v>
      </c>
      <c r="AI14" s="3">
        <v>3.3724310112772139E-2</v>
      </c>
      <c r="AJ14" s="3">
        <v>2.4408385233622001E-2</v>
      </c>
      <c r="AK14" s="3">
        <v>3.1650713222247003E-2</v>
      </c>
      <c r="AL14" s="3">
        <v>4.9372526195099561E-2</v>
      </c>
      <c r="AM14" s="3">
        <v>5.2747631927244312E-2</v>
      </c>
      <c r="AN14" s="3">
        <v>9.9227907498329368E-2</v>
      </c>
      <c r="AO14" s="3">
        <v>3.2296171530063193E-2</v>
      </c>
      <c r="AP14" s="3">
        <v>6.8767884785554539E-2</v>
      </c>
      <c r="AQ14" s="3">
        <v>1.493155799310251E-2</v>
      </c>
      <c r="AR14" s="3">
        <v>7.6321636324179543E-2</v>
      </c>
      <c r="AS14" s="3">
        <v>2.1172980205308951E-2</v>
      </c>
      <c r="AT14" s="3">
        <v>0.14235520117117781</v>
      </c>
      <c r="AU14" s="3">
        <v>0.1022956527797467</v>
      </c>
      <c r="AV14" s="3">
        <v>5.422785462029097E-2</v>
      </c>
      <c r="AW14" s="3">
        <v>3.4219725945107728E-2</v>
      </c>
      <c r="AX14" s="3">
        <v>9.2167320939404981E-2</v>
      </c>
      <c r="AY14" s="3">
        <v>2.965773248628539E-2</v>
      </c>
      <c r="AZ14" s="3">
        <v>6.6536280858647573E-2</v>
      </c>
      <c r="BA14" s="3">
        <v>9.5412809686682296E-2</v>
      </c>
      <c r="BB14" s="3">
        <v>0.12422944298135601</v>
      </c>
      <c r="BC14" s="3">
        <v>-1.7767956636215831E-2</v>
      </c>
      <c r="BD14" s="3">
        <v>3.0840671663219601E-2</v>
      </c>
      <c r="BE14" s="3">
        <v>4.0977357964441907E-2</v>
      </c>
      <c r="BF14" s="3">
        <v>0.17226007873007329</v>
      </c>
      <c r="BG14" s="3">
        <v>0.14506622908663061</v>
      </c>
      <c r="BH14" s="3">
        <v>7.7428243515707484E-2</v>
      </c>
      <c r="BI14" s="3">
        <v>8.3313410266932411E-2</v>
      </c>
      <c r="BJ14" s="3">
        <v>3.9897377430001879E-2</v>
      </c>
      <c r="BK14" s="3">
        <v>-2.1161475412130301E-2</v>
      </c>
      <c r="BL14" s="3">
        <v>4.6664964345731273E-2</v>
      </c>
      <c r="BM14" s="3">
        <v>4.5323430285224807E-2</v>
      </c>
      <c r="BN14" s="3">
        <v>3.3140140698072577E-2</v>
      </c>
      <c r="BO14" s="3">
        <v>-4.6694570257111608E-3</v>
      </c>
      <c r="BP14" s="3">
        <v>-1.191145543439483E-2</v>
      </c>
      <c r="BQ14" s="3">
        <v>3.6400160141180693E-2</v>
      </c>
      <c r="BR14" s="3">
        <v>7.2227762101400653E-2</v>
      </c>
      <c r="BS14" s="3">
        <v>2.105656416215208E-2</v>
      </c>
      <c r="BT14" s="3">
        <v>-5.828317917779538E-2</v>
      </c>
      <c r="BU14" s="3">
        <v>3.4909459965971813E-2</v>
      </c>
      <c r="BV14" s="3">
        <v>4.203037473695128E-2</v>
      </c>
      <c r="BW14" s="3">
        <v>0.16127731273560381</v>
      </c>
      <c r="BX14" s="3">
        <v>-6.5411928852597556E-4</v>
      </c>
      <c r="BY14" s="3">
        <v>0.1225528029899299</v>
      </c>
      <c r="BZ14" s="3">
        <v>7.2972513820726254E-2</v>
      </c>
      <c r="CA14" s="3">
        <v>2.2736808598222701E-2</v>
      </c>
      <c r="CB14" s="3">
        <v>9.2296113790626078E-2</v>
      </c>
      <c r="CC14" s="3">
        <v>-1.073433702704933E-2</v>
      </c>
      <c r="CD14" s="3">
        <v>0.1209066444013689</v>
      </c>
      <c r="CE14" s="3">
        <v>0.26246210220937782</v>
      </c>
      <c r="CF14" s="3">
        <v>4.6823776833112972E-2</v>
      </c>
      <c r="CG14" s="3">
        <v>5.9164067353860768E-2</v>
      </c>
      <c r="CH14" s="3">
        <v>7.5201745526204983E-2</v>
      </c>
      <c r="CI14" s="3">
        <v>2.0960313135111031E-2</v>
      </c>
      <c r="CJ14" s="3">
        <v>4.6409617323413963E-2</v>
      </c>
      <c r="CK14" s="3">
        <v>5.6149646531500487E-2</v>
      </c>
      <c r="CL14" s="3">
        <v>9.2670916684585158E-2</v>
      </c>
      <c r="CM14" s="3">
        <v>8.7482525231662556E-2</v>
      </c>
      <c r="CN14" s="3">
        <v>0.13955890219940051</v>
      </c>
      <c r="CO14" s="3">
        <v>0.13400989124536131</v>
      </c>
      <c r="CP14" s="3">
        <v>8.449628150559324E-2</v>
      </c>
      <c r="CQ14" s="3">
        <v>8.4574169016135639E-2</v>
      </c>
      <c r="CR14" s="3">
        <v>0.15705583372308801</v>
      </c>
      <c r="CS14" s="3">
        <v>3.5883473120445583E-2</v>
      </c>
      <c r="CT14" s="3">
        <v>7.1568075814472554E-2</v>
      </c>
      <c r="CU14" s="3">
        <v>0.1548111460634721</v>
      </c>
      <c r="CV14" s="3">
        <v>0.13227388870262879</v>
      </c>
      <c r="CW14" s="3">
        <v>7.1229233165182509E-2</v>
      </c>
      <c r="CX14" s="3">
        <v>0.10818126484859331</v>
      </c>
      <c r="CY14" s="3">
        <v>5.1815190132118591E-2</v>
      </c>
      <c r="CZ14" s="3">
        <v>0.15429824304877801</v>
      </c>
      <c r="DA14" s="3">
        <v>6.2697838738943135E-2</v>
      </c>
      <c r="DB14" s="3">
        <v>0.1653176643988177</v>
      </c>
      <c r="DC14" s="3">
        <v>3.1047865552312499E-2</v>
      </c>
      <c r="DD14" s="3">
        <v>9.6161494535774883E-2</v>
      </c>
      <c r="DE14" s="3">
        <v>3.7192006161639167E-2</v>
      </c>
      <c r="DF14" s="3">
        <v>0.16121951011713759</v>
      </c>
      <c r="DG14" s="3">
        <v>5.0739689277283277E-2</v>
      </c>
      <c r="DH14" s="3">
        <v>0.109029197705288</v>
      </c>
      <c r="DI14" s="3">
        <v>0.12903626969843959</v>
      </c>
      <c r="DJ14" s="3">
        <v>4.6046325280748188E-2</v>
      </c>
      <c r="DK14" s="3">
        <v>2.3627783171919031E-2</v>
      </c>
      <c r="DL14" s="3">
        <v>6.0280923596511243E-2</v>
      </c>
      <c r="DM14" s="3">
        <v>7.2530871434844296E-2</v>
      </c>
      <c r="DN14" s="3">
        <v>4.5440869818118908E-2</v>
      </c>
      <c r="DO14" s="3">
        <v>0.1134312235792564</v>
      </c>
      <c r="DP14" s="3">
        <v>0.1149327138609995</v>
      </c>
      <c r="DQ14" s="3">
        <v>6.4154874528776579E-2</v>
      </c>
      <c r="DR14" s="3">
        <v>8.3775920295715463E-3</v>
      </c>
      <c r="DS14" s="3">
        <v>6.9270560137331599E-2</v>
      </c>
      <c r="DT14" s="3">
        <v>1.248602359235928E-2</v>
      </c>
      <c r="DU14" s="3">
        <v>-2.7940417459305089E-2</v>
      </c>
      <c r="DV14" s="3">
        <v>0.1175466945970783</v>
      </c>
      <c r="DW14" s="3">
        <v>8.8910586232405206E-2</v>
      </c>
      <c r="DX14" s="3">
        <v>5.6779229480582838E-2</v>
      </c>
      <c r="DY14" s="3">
        <v>7.9926830854683051E-2</v>
      </c>
      <c r="DZ14" s="3">
        <v>-1.327477039960241E-2</v>
      </c>
      <c r="EA14" s="3">
        <v>3.1815841510330983E-2</v>
      </c>
      <c r="EB14" s="3">
        <v>7.7849021744422792E-2</v>
      </c>
      <c r="EC14" s="3">
        <v>-2.098034759484637E-2</v>
      </c>
      <c r="ED14" s="3">
        <v>6.339787689919274E-2</v>
      </c>
      <c r="EE14" s="3">
        <v>5.1676824668292022E-2</v>
      </c>
      <c r="EF14" s="3">
        <v>9.2583549877263693E-2</v>
      </c>
      <c r="EG14" s="3">
        <v>0.19711380398943601</v>
      </c>
      <c r="EH14" s="3">
        <v>2.2500093283724289E-2</v>
      </c>
      <c r="EI14" s="3">
        <v>4.6758349000475027E-2</v>
      </c>
      <c r="EJ14" s="3">
        <v>6.2103221539809947E-2</v>
      </c>
      <c r="EK14" s="3">
        <v>0.10580011961808269</v>
      </c>
      <c r="EL14" s="3">
        <v>4.3880702859692672E-2</v>
      </c>
      <c r="EM14" s="3">
        <v>3.7927258210677758E-2</v>
      </c>
      <c r="EN14">
        <f t="shared" si="11"/>
        <v>5.1892087221871837E-2</v>
      </c>
      <c r="EO14">
        <f t="shared" si="12"/>
        <v>0.73088712058380867</v>
      </c>
    </row>
    <row r="15" spans="1:145" x14ac:dyDescent="0.3">
      <c r="A15" s="11">
        <v>110</v>
      </c>
      <c r="B15" s="11">
        <f t="shared" si="10"/>
        <v>10</v>
      </c>
      <c r="C15" s="3">
        <v>0.1692247166337075</v>
      </c>
      <c r="D15" s="3">
        <v>0.14620566896822421</v>
      </c>
      <c r="E15" s="3">
        <v>0.13596976423923879</v>
      </c>
      <c r="F15" s="3">
        <v>1.3350817374926049E-2</v>
      </c>
      <c r="G15" s="3">
        <v>4.6208602826730748E-2</v>
      </c>
      <c r="H15" s="3">
        <v>6.9059126128616477E-2</v>
      </c>
      <c r="I15" s="3">
        <v>6.3419903630340571E-2</v>
      </c>
      <c r="J15" s="3">
        <v>7.83016706747761E-2</v>
      </c>
      <c r="K15" s="3">
        <v>7.1013968976784067E-2</v>
      </c>
      <c r="L15" s="3">
        <v>-3.7310881473974773E-2</v>
      </c>
      <c r="M15" s="3">
        <v>-7.507961710814498E-3</v>
      </c>
      <c r="N15" s="3">
        <v>0.1240170891014421</v>
      </c>
      <c r="O15" s="3">
        <v>-2.1688647160220668E-2</v>
      </c>
      <c r="P15" s="3">
        <v>7.666170817506146E-3</v>
      </c>
      <c r="Q15" s="3">
        <v>-1.56227252968486E-2</v>
      </c>
      <c r="R15" s="3">
        <v>-5.9946547419229099E-2</v>
      </c>
      <c r="S15" s="3">
        <v>6.3796983944310159E-2</v>
      </c>
      <c r="T15" s="3">
        <v>5.3741842219810883E-2</v>
      </c>
      <c r="U15" s="3">
        <v>2.8776665029839971E-2</v>
      </c>
      <c r="V15" s="3">
        <v>-2.8840820852151158E-2</v>
      </c>
      <c r="W15" s="3">
        <v>0.10656922034769251</v>
      </c>
      <c r="X15" s="3">
        <v>0.17760645800455549</v>
      </c>
      <c r="Y15" s="3">
        <v>4.0378357582690323E-2</v>
      </c>
      <c r="Z15" s="3">
        <v>9.4726417371383848E-2</v>
      </c>
      <c r="AA15" s="3">
        <v>0.11225744408477389</v>
      </c>
      <c r="AB15" s="3">
        <v>6.9402539361342053E-2</v>
      </c>
      <c r="AC15" s="3">
        <v>2.6133389980160241E-2</v>
      </c>
      <c r="AD15" s="3">
        <v>-8.8315488180716467E-3</v>
      </c>
      <c r="AE15" s="3">
        <v>2.3837424525943979E-2</v>
      </c>
      <c r="AF15" s="3">
        <v>0.1128539076346604</v>
      </c>
      <c r="AG15" s="3">
        <v>5.686089970579182E-2</v>
      </c>
      <c r="AH15" s="3">
        <v>6.6434396519815878E-5</v>
      </c>
      <c r="AI15" s="3">
        <v>6.3878418240567558E-2</v>
      </c>
      <c r="AJ15" s="3">
        <v>3.6232104906751737E-2</v>
      </c>
      <c r="AK15" s="3">
        <v>4.8429788319522341E-2</v>
      </c>
      <c r="AL15" s="3">
        <v>6.5230049640728746E-2</v>
      </c>
      <c r="AM15" s="3">
        <v>3.1534289577067359E-2</v>
      </c>
      <c r="AN15" s="3">
        <v>0.1138449288691835</v>
      </c>
      <c r="AO15" s="3">
        <v>4.5680052779731417E-2</v>
      </c>
      <c r="AP15" s="3">
        <v>-1.187511379553116E-2</v>
      </c>
      <c r="AQ15" s="3">
        <v>-4.2089596169303991E-3</v>
      </c>
      <c r="AR15" s="3">
        <v>9.3411466608650226E-2</v>
      </c>
      <c r="AS15" s="3">
        <v>-2.424048008080167E-3</v>
      </c>
      <c r="AT15" s="3">
        <v>0.20708836597445421</v>
      </c>
      <c r="AU15" s="3">
        <v>0.1267732282516896</v>
      </c>
      <c r="AV15" s="3">
        <v>0.1020390340873519</v>
      </c>
      <c r="AW15" s="3">
        <v>9.593919809554316E-2</v>
      </c>
      <c r="AX15" s="3">
        <v>0.11950454375150719</v>
      </c>
      <c r="AY15" s="3">
        <v>5.8918212013136829E-2</v>
      </c>
      <c r="AZ15" s="3">
        <v>9.9704699724982943E-2</v>
      </c>
      <c r="BA15" s="3">
        <v>0.145118752488093</v>
      </c>
      <c r="BB15" s="3">
        <v>0.13927292128246421</v>
      </c>
      <c r="BC15" s="3">
        <v>-5.5078315416855553E-2</v>
      </c>
      <c r="BD15" s="3">
        <v>-8.2496220631787E-3</v>
      </c>
      <c r="BE15" s="3">
        <v>5.8592477591863583E-2</v>
      </c>
      <c r="BF15" s="3">
        <v>0.23243890847011481</v>
      </c>
      <c r="BG15" s="3">
        <v>0.1090588726587071</v>
      </c>
      <c r="BH15" s="3">
        <v>5.1038163192908409E-2</v>
      </c>
      <c r="BI15" s="3">
        <v>0.1246385604223464</v>
      </c>
      <c r="BJ15" s="3">
        <v>8.3184445680215061E-2</v>
      </c>
      <c r="BK15" s="3">
        <v>1.5841976340617878E-2</v>
      </c>
      <c r="BL15" s="3">
        <v>6.3880233320754279E-2</v>
      </c>
      <c r="BM15" s="3">
        <v>3.9275821973848248E-2</v>
      </c>
      <c r="BN15" s="3">
        <v>-2.4855380056958251E-3</v>
      </c>
      <c r="BO15" s="3">
        <v>-5.0964675827656564E-3</v>
      </c>
      <c r="BP15" s="3">
        <v>-2.7441799521807541E-2</v>
      </c>
      <c r="BQ15" s="3">
        <v>6.453262688715225E-2</v>
      </c>
      <c r="BR15" s="3">
        <v>0.124551669966149</v>
      </c>
      <c r="BS15" s="3">
        <v>7.5467382671151717E-2</v>
      </c>
      <c r="BT15" s="3">
        <v>-0.10231135221958659</v>
      </c>
      <c r="BU15" s="3">
        <v>0.11842261934950871</v>
      </c>
      <c r="BV15" s="3">
        <v>5.9562164609890923E-2</v>
      </c>
      <c r="BW15" s="3">
        <v>0.32182228979189709</v>
      </c>
      <c r="BX15" s="3">
        <v>-2.265474120295746E-3</v>
      </c>
      <c r="BY15" s="3">
        <v>0.12181987817383021</v>
      </c>
      <c r="BZ15" s="3">
        <v>0.1107467604113489</v>
      </c>
      <c r="CA15" s="3">
        <v>1.456330264180589E-2</v>
      </c>
      <c r="CB15" s="3">
        <v>4.9837466443320197E-2</v>
      </c>
      <c r="CC15" s="3">
        <v>4.1228536635279943E-2</v>
      </c>
      <c r="CD15" s="3">
        <v>0.13912701382261219</v>
      </c>
      <c r="CE15" s="3">
        <v>0.27367785356024621</v>
      </c>
      <c r="CF15" s="3">
        <v>6.5308115888156826E-2</v>
      </c>
      <c r="CG15" s="3">
        <v>0.14356374839088329</v>
      </c>
      <c r="CH15" s="3">
        <v>0.21027997297673401</v>
      </c>
      <c r="CI15" s="3">
        <v>5.1724015801021511E-2</v>
      </c>
      <c r="CJ15" s="3">
        <v>7.3210938205949871E-2</v>
      </c>
      <c r="CK15" s="3">
        <v>2.197123263955518E-2</v>
      </c>
      <c r="CL15" s="3">
        <v>7.40647482433585E-2</v>
      </c>
      <c r="CM15" s="3">
        <v>3.8135070393234979E-2</v>
      </c>
      <c r="CN15" s="3">
        <v>0.2191996634584284</v>
      </c>
      <c r="CO15" s="3">
        <v>0.22796133537510271</v>
      </c>
      <c r="CP15" s="3">
        <v>0.12400744877413911</v>
      </c>
      <c r="CQ15" s="3">
        <v>0.1045652277254457</v>
      </c>
      <c r="CR15" s="3">
        <v>0.22539362723884951</v>
      </c>
      <c r="CS15" s="3">
        <v>3.4390275652036513E-2</v>
      </c>
      <c r="CT15" s="3">
        <v>7.6567246826504329E-2</v>
      </c>
      <c r="CU15" s="3">
        <v>0.16829033243782759</v>
      </c>
      <c r="CV15" s="3">
        <v>0.1424678752668064</v>
      </c>
      <c r="CW15" s="3">
        <v>7.8648617869131535E-2</v>
      </c>
      <c r="CX15" s="3">
        <v>0.1206674842195529</v>
      </c>
      <c r="CY15" s="3">
        <v>2.165820136404294E-2</v>
      </c>
      <c r="CZ15" s="3">
        <v>0.2183266825596174</v>
      </c>
      <c r="DA15" s="3">
        <v>3.4436495546574117E-2</v>
      </c>
      <c r="DB15" s="3">
        <v>0.24864813345861911</v>
      </c>
      <c r="DC15" s="3">
        <v>2.2048653679871688E-3</v>
      </c>
      <c r="DD15" s="3">
        <v>0.10718147311341129</v>
      </c>
      <c r="DE15" s="3">
        <v>9.0926222341654817E-2</v>
      </c>
      <c r="DF15" s="3">
        <v>0.14053985046302189</v>
      </c>
      <c r="DG15" s="3">
        <v>6.3528709856320323E-2</v>
      </c>
      <c r="DH15" s="3">
        <v>5.0135606395944658E-2</v>
      </c>
      <c r="DI15" s="3">
        <v>1.092833054761478E-2</v>
      </c>
      <c r="DJ15" s="3">
        <v>2.5709265146253438E-2</v>
      </c>
      <c r="DK15" s="3">
        <v>9.9828256751400279E-3</v>
      </c>
      <c r="DL15" s="3">
        <v>2.818925071887329E-2</v>
      </c>
      <c r="DM15" s="3">
        <v>6.1645869693459178E-2</v>
      </c>
      <c r="DN15" s="3">
        <v>1.149219422564373E-2</v>
      </c>
      <c r="DO15" s="3">
        <v>8.6216411811717311E-2</v>
      </c>
      <c r="DP15" s="3">
        <v>0.1237818728136304</v>
      </c>
      <c r="DQ15" s="3">
        <v>8.9756939581619205E-2</v>
      </c>
      <c r="DR15" s="3">
        <v>2.385224346290165E-3</v>
      </c>
      <c r="DS15" s="3">
        <v>9.117734155555085E-2</v>
      </c>
      <c r="DT15" s="3">
        <v>-2.357943175440429E-2</v>
      </c>
      <c r="DU15" s="3">
        <v>0.10954206165598759</v>
      </c>
      <c r="DV15" s="3">
        <v>0.1210898235218528</v>
      </c>
      <c r="DW15" s="3">
        <v>4.7079597214785322E-2</v>
      </c>
      <c r="DX15" s="3">
        <v>0.14500765861171949</v>
      </c>
      <c r="DY15" s="3">
        <v>4.1378936398904692E-2</v>
      </c>
      <c r="DZ15" s="3">
        <v>-1.961654077057708E-3</v>
      </c>
      <c r="EA15" s="3">
        <v>-3.9592042483180549E-4</v>
      </c>
      <c r="EB15" s="3">
        <v>9.5649127095473352E-2</v>
      </c>
      <c r="EC15" s="3">
        <v>-4.0576805783426532E-2</v>
      </c>
      <c r="ED15" s="3">
        <v>0.14191009921978279</v>
      </c>
      <c r="EE15" s="3">
        <v>4.9981346000860988E-2</v>
      </c>
      <c r="EF15" s="3">
        <v>0.13643006144392861</v>
      </c>
      <c r="EG15" s="3">
        <v>0.31320278706365201</v>
      </c>
      <c r="EH15" s="3">
        <v>-1.0236497953620459E-2</v>
      </c>
      <c r="EI15" s="3">
        <v>3.7247933879691372E-2</v>
      </c>
      <c r="EJ15" s="3">
        <v>8.0668391989656918E-2</v>
      </c>
      <c r="EK15" s="3">
        <v>0.12968762618365401</v>
      </c>
      <c r="EL15" s="3">
        <v>-2.9850034017997532E-3</v>
      </c>
      <c r="EM15" s="3">
        <v>3.7927258210677758E-2</v>
      </c>
      <c r="EN15">
        <f t="shared" si="11"/>
        <v>7.4155662672549458E-2</v>
      </c>
      <c r="EO15">
        <f t="shared" si="12"/>
        <v>0.51145464612937064</v>
      </c>
    </row>
    <row r="16" spans="1:145" x14ac:dyDescent="0.3">
      <c r="A16" s="11">
        <v>120</v>
      </c>
      <c r="B16" s="11">
        <f t="shared" si="10"/>
        <v>9</v>
      </c>
      <c r="C16" s="3">
        <v>0.18176985952742791</v>
      </c>
      <c r="D16" s="3">
        <v>0.1431974428005405</v>
      </c>
      <c r="E16" s="3">
        <v>6.5760409696179897E-2</v>
      </c>
      <c r="F16" s="3">
        <v>-2.6908234379495081E-2</v>
      </c>
      <c r="G16" s="3">
        <v>4.7244063493588409E-2</v>
      </c>
      <c r="H16" s="3">
        <v>6.8090777933390981E-2</v>
      </c>
      <c r="I16" s="3">
        <v>5.4740544530971907E-2</v>
      </c>
      <c r="J16" s="3">
        <v>7.8243569860014281E-2</v>
      </c>
      <c r="K16" s="3">
        <v>3.9807640201587842E-2</v>
      </c>
      <c r="L16" s="3">
        <v>-3.6721816452281113E-2</v>
      </c>
      <c r="M16" s="3">
        <v>-1.198905331428274E-2</v>
      </c>
      <c r="N16" s="3">
        <v>0.12492838643821361</v>
      </c>
      <c r="O16" s="3">
        <v>-2.1371068827146771E-2</v>
      </c>
      <c r="P16" s="3">
        <v>3.457448297930453E-4</v>
      </c>
      <c r="Q16" s="3">
        <v>-2.747202771321441E-3</v>
      </c>
      <c r="R16" s="3">
        <v>-6.1104843147619617E-2</v>
      </c>
      <c r="S16" s="3">
        <v>7.8278305533252143E-2</v>
      </c>
      <c r="T16" s="3">
        <v>4.2501558092843991E-2</v>
      </c>
      <c r="U16" s="3">
        <v>5.4205306436043987E-3</v>
      </c>
      <c r="V16" s="3">
        <v>-3.9323192657200398E-3</v>
      </c>
      <c r="W16" s="3">
        <v>0.101824118238011</v>
      </c>
      <c r="X16" s="3">
        <v>0.1736250242706934</v>
      </c>
      <c r="Y16" s="3">
        <v>4.3204806075467769E-2</v>
      </c>
      <c r="Z16" s="3">
        <v>0.1055919248229711</v>
      </c>
      <c r="AA16" s="3">
        <v>0.13135647953459589</v>
      </c>
      <c r="AB16" s="3">
        <v>7.4745780078666349E-2</v>
      </c>
      <c r="AC16" s="3">
        <v>2.692139494131195E-2</v>
      </c>
      <c r="AD16" s="3">
        <v>-1.998149202193528E-2</v>
      </c>
      <c r="AE16" s="3">
        <v>2.753663563818495E-2</v>
      </c>
      <c r="AF16" s="3">
        <v>0.11310403553770949</v>
      </c>
      <c r="AG16" s="3">
        <v>4.0131912212164972E-2</v>
      </c>
      <c r="AH16" s="3">
        <v>5.5891835452535231E-3</v>
      </c>
      <c r="AI16" s="3">
        <v>7.138354185836332E-2</v>
      </c>
      <c r="AJ16" s="3">
        <v>2.8290892777637119E-2</v>
      </c>
      <c r="AK16" s="3">
        <v>2.8180502807340701E-2</v>
      </c>
      <c r="AL16" s="3">
        <v>6.0254976980250133E-2</v>
      </c>
      <c r="AM16" s="3">
        <v>3.0657456016744342E-2</v>
      </c>
      <c r="AN16" s="3">
        <v>0.12636382173794389</v>
      </c>
      <c r="AO16" s="3">
        <v>7.6121304482327082E-2</v>
      </c>
      <c r="AP16" s="3">
        <v>-3.379936580471414E-2</v>
      </c>
      <c r="AQ16" s="3">
        <v>-4.9582938412204833E-2</v>
      </c>
      <c r="AR16" s="3">
        <v>0.10470501835811311</v>
      </c>
      <c r="AS16" s="3">
        <v>5.4874054015143503E-3</v>
      </c>
      <c r="AT16" s="3">
        <v>0.21893458680149019</v>
      </c>
      <c r="AU16" s="3">
        <v>0.1139821961641788</v>
      </c>
      <c r="AV16" s="3">
        <v>8.5725716315548706E-2</v>
      </c>
      <c r="AW16" s="3">
        <v>0.1092766147260547</v>
      </c>
      <c r="AX16" s="3">
        <v>0.14856062819404581</v>
      </c>
      <c r="AY16" s="3">
        <v>5.8875166215684629E-2</v>
      </c>
      <c r="AZ16" s="3">
        <v>0.12631124281251349</v>
      </c>
      <c r="BA16" s="3">
        <v>0.1559685162104045</v>
      </c>
      <c r="BB16" s="3">
        <v>0.1754905915440598</v>
      </c>
      <c r="BC16" s="3">
        <v>-3.2765600467353537E-2</v>
      </c>
      <c r="BD16" s="3">
        <v>-1.5724110318471918E-2</v>
      </c>
      <c r="BE16" s="3">
        <v>3.8053377367072858E-2</v>
      </c>
      <c r="BF16" s="3">
        <v>0.13296844464110161</v>
      </c>
      <c r="BG16" s="3">
        <v>0.108846762717139</v>
      </c>
      <c r="BH16" s="3">
        <v>7.4466605035235223E-2</v>
      </c>
      <c r="BI16" s="3">
        <v>0.13499343555415699</v>
      </c>
      <c r="BJ16" s="3">
        <v>6.9265610469942826E-2</v>
      </c>
      <c r="BK16" s="3">
        <v>1.441446254056326E-2</v>
      </c>
      <c r="BL16" s="3">
        <v>6.9580575405395612E-2</v>
      </c>
      <c r="BM16" s="3">
        <v>3.9774419577503189E-2</v>
      </c>
      <c r="BN16" s="3">
        <v>-1.0304387353607581E-2</v>
      </c>
      <c r="BO16" s="3">
        <v>-8.3077940253815374E-3</v>
      </c>
      <c r="BP16" s="3">
        <v>-2.3479759686881159E-2</v>
      </c>
      <c r="BQ16" s="3">
        <v>6.205708865549505E-2</v>
      </c>
      <c r="BR16" s="3">
        <v>0.101689063275631</v>
      </c>
      <c r="BS16" s="3">
        <v>5.6430730662938237E-2</v>
      </c>
      <c r="BT16" s="3">
        <v>-0.1130932217180662</v>
      </c>
      <c r="BU16" s="3">
        <v>0.1130209752251673</v>
      </c>
      <c r="BV16" s="3">
        <v>5.6286261393010753E-2</v>
      </c>
      <c r="BW16" s="3">
        <v>0.35455210898975731</v>
      </c>
      <c r="BX16" s="3">
        <v>-8.7903629501791675E-3</v>
      </c>
      <c r="BY16" s="3">
        <v>0.1025315032945944</v>
      </c>
      <c r="BZ16" s="3">
        <v>0.120450202461931</v>
      </c>
      <c r="CA16" s="3">
        <v>2.3232569818852151E-2</v>
      </c>
      <c r="CB16" s="3">
        <v>3.8683827561860992E-2</v>
      </c>
      <c r="CC16" s="3">
        <v>2.0315866436637742E-2</v>
      </c>
      <c r="CD16" s="3">
        <v>0.13887109833288919</v>
      </c>
      <c r="CE16" s="3">
        <v>0.2976612783136981</v>
      </c>
      <c r="CF16" s="3">
        <v>6.5943832071067604E-2</v>
      </c>
      <c r="CG16" s="3">
        <v>0.1535004234258561</v>
      </c>
      <c r="CH16" s="3">
        <v>0.23964119167662529</v>
      </c>
      <c r="CI16" s="3">
        <v>4.8215461242498633E-2</v>
      </c>
      <c r="CJ16" s="3">
        <v>4.5349920580550318E-2</v>
      </c>
      <c r="CK16" s="3">
        <v>3.2669551334162057E-2</v>
      </c>
      <c r="CL16" s="3">
        <v>9.0362616254439615E-2</v>
      </c>
      <c r="CM16" s="3">
        <v>3.5056670451742968E-2</v>
      </c>
      <c r="CN16" s="3">
        <v>0.24595667900053569</v>
      </c>
      <c r="CO16" s="3">
        <v>0.2122958146558295</v>
      </c>
      <c r="CP16" s="3">
        <v>0.1398230488006468</v>
      </c>
      <c r="CQ16" s="3">
        <v>9.7878183403998981E-2</v>
      </c>
      <c r="CR16" s="3">
        <v>0.25334096284835311</v>
      </c>
      <c r="CS16" s="3">
        <v>6.3852263159558179E-2</v>
      </c>
      <c r="CT16" s="3">
        <v>8.0878618213031675E-2</v>
      </c>
      <c r="CU16" s="3">
        <v>0.16576794686288199</v>
      </c>
      <c r="CV16" s="3">
        <v>9.2017059588359235E-2</v>
      </c>
      <c r="CW16" s="3">
        <v>8.4148234206680758E-2</v>
      </c>
      <c r="CX16" s="3">
        <v>8.4249156990087865E-2</v>
      </c>
      <c r="CY16" s="3">
        <v>2.593553746280702E-2</v>
      </c>
      <c r="CZ16" s="3">
        <v>0.19553760415256499</v>
      </c>
      <c r="DA16" s="3">
        <v>2.5211743724363401E-2</v>
      </c>
      <c r="DB16" s="3">
        <v>0.27836539538513838</v>
      </c>
      <c r="DC16" s="3">
        <v>-6.6718279098689206E-3</v>
      </c>
      <c r="DD16" s="3">
        <v>0.1204136909321971</v>
      </c>
      <c r="DE16" s="3">
        <v>0.11304300898316939</v>
      </c>
      <c r="DF16" s="3">
        <v>0.13906486516440139</v>
      </c>
      <c r="DG16" s="3">
        <v>7.1710157683231371E-2</v>
      </c>
      <c r="DH16" s="3">
        <v>3.4150705352371323E-2</v>
      </c>
      <c r="DI16" s="3">
        <v>2.1073427271629079E-2</v>
      </c>
      <c r="DJ16" s="3">
        <v>3.3795687502739022E-2</v>
      </c>
      <c r="DK16" s="3">
        <v>9.5408823527419889E-3</v>
      </c>
      <c r="DL16" s="3">
        <v>1.757438344813762E-2</v>
      </c>
      <c r="DM16" s="3">
        <v>7.2807467875927512E-2</v>
      </c>
      <c r="DN16" s="3">
        <v>1.9541340560230769E-2</v>
      </c>
      <c r="DO16" s="3">
        <v>8.9864775131722752E-2</v>
      </c>
      <c r="DP16" s="3">
        <v>0.14489885217586071</v>
      </c>
      <c r="DQ16" s="3">
        <v>9.4292218530663371E-2</v>
      </c>
      <c r="DR16" s="3">
        <v>1.383577462260259E-2</v>
      </c>
      <c r="DS16" s="3">
        <v>9.5237895875238121E-2</v>
      </c>
      <c r="DT16" s="3">
        <v>-2.2406255436909151E-2</v>
      </c>
      <c r="DU16" s="3">
        <v>0.1163048113786696</v>
      </c>
      <c r="DV16" s="3">
        <v>0.1213184822427433</v>
      </c>
      <c r="DW16" s="3">
        <v>3.5136881836145543E-2</v>
      </c>
      <c r="DX16" s="3">
        <v>0.15038705916666451</v>
      </c>
      <c r="DY16" s="3">
        <v>3.9249890541309812E-2</v>
      </c>
      <c r="DZ16" s="3">
        <v>2.710675448736273E-3</v>
      </c>
      <c r="EA16" s="3">
        <v>4.2379807324895609E-2</v>
      </c>
      <c r="EB16" s="3">
        <v>0.10209010116808689</v>
      </c>
      <c r="EC16" s="3">
        <v>-4.3793646059031167E-2</v>
      </c>
      <c r="ED16" s="3">
        <v>0.15753533798146011</v>
      </c>
      <c r="EE16" s="3">
        <v>4.9783893277785672E-2</v>
      </c>
      <c r="EF16" s="3">
        <v>0.15491891427605811</v>
      </c>
      <c r="EG16" s="3">
        <v>0.34277878940100731</v>
      </c>
      <c r="EH16" s="3">
        <v>-1.0988343432819341E-2</v>
      </c>
      <c r="EI16" s="3">
        <v>4.0898191924875059E-2</v>
      </c>
      <c r="EJ16" s="3">
        <v>8.7863447998673405E-2</v>
      </c>
      <c r="EK16" s="3">
        <v>0.13191357919775409</v>
      </c>
      <c r="EL16" s="3">
        <v>-4.5778937229522124E-3</v>
      </c>
      <c r="EM16" s="3">
        <v>3.7927258210677758E-2</v>
      </c>
      <c r="EN16">
        <f t="shared" si="11"/>
        <v>7.8487887672999565E-2</v>
      </c>
      <c r="EO16">
        <f t="shared" si="12"/>
        <v>0.48322434626718874</v>
      </c>
    </row>
    <row r="17" spans="1:145" x14ac:dyDescent="0.3">
      <c r="A17" s="11">
        <v>130</v>
      </c>
      <c r="B17" s="11">
        <f t="shared" si="10"/>
        <v>8</v>
      </c>
      <c r="C17" s="3">
        <v>0.1871514429496644</v>
      </c>
      <c r="D17" s="3">
        <v>0.17457169445757151</v>
      </c>
      <c r="E17" s="3">
        <v>6.7215583075234273E-2</v>
      </c>
      <c r="F17" s="3">
        <v>-2.0423674860098991E-2</v>
      </c>
      <c r="G17" s="3">
        <v>4.7473979790006088E-2</v>
      </c>
      <c r="H17" s="3">
        <v>7.3899396530294106E-2</v>
      </c>
      <c r="I17" s="3">
        <v>5.8336176796935812E-2</v>
      </c>
      <c r="J17" s="3">
        <v>9.5235383902009432E-2</v>
      </c>
      <c r="K17" s="3">
        <v>7.2126765766073075E-2</v>
      </c>
      <c r="L17" s="3">
        <v>-3.1882112652459271E-2</v>
      </c>
      <c r="M17" s="3">
        <v>-4.1923360214805729E-2</v>
      </c>
      <c r="N17" s="3">
        <v>0.13509630788623089</v>
      </c>
      <c r="O17" s="3">
        <v>-8.2090815184187992E-3</v>
      </c>
      <c r="P17" s="3">
        <v>1.7124195965107991E-4</v>
      </c>
      <c r="Q17" s="3">
        <v>-2.3419396105708229E-2</v>
      </c>
      <c r="R17" s="3">
        <v>-5.5615042673318321E-2</v>
      </c>
      <c r="S17" s="3">
        <v>9.3008793750682536E-2</v>
      </c>
      <c r="T17" s="3">
        <v>6.0305716626486192E-2</v>
      </c>
      <c r="U17" s="3">
        <v>5.0111064482193921E-2</v>
      </c>
      <c r="V17" s="3">
        <v>-5.725706588873683E-3</v>
      </c>
      <c r="W17" s="3">
        <v>0.1111137727030989</v>
      </c>
      <c r="X17" s="3">
        <v>0.14618599333353829</v>
      </c>
      <c r="Y17" s="3">
        <v>4.1985773827150893E-2</v>
      </c>
      <c r="Z17" s="3">
        <v>0.1119178693436795</v>
      </c>
      <c r="AA17" s="3">
        <v>0.12110057927906361</v>
      </c>
      <c r="AB17" s="3">
        <v>7.5256755956176369E-2</v>
      </c>
      <c r="AC17" s="3">
        <v>1.25077191620928E-2</v>
      </c>
      <c r="AD17" s="3">
        <v>-3.0284592068795479E-2</v>
      </c>
      <c r="AE17" s="3">
        <v>2.492674291406825E-2</v>
      </c>
      <c r="AF17" s="3">
        <v>0.13269883274468949</v>
      </c>
      <c r="AG17" s="3">
        <v>4.2042262930073418E-2</v>
      </c>
      <c r="AH17" s="3">
        <v>2.0871851303896589E-2</v>
      </c>
      <c r="AI17" s="3">
        <v>5.0904018893273173E-2</v>
      </c>
      <c r="AJ17" s="3">
        <v>3.4611931654096539E-2</v>
      </c>
      <c r="AK17" s="3">
        <v>1.223482306648719E-2</v>
      </c>
      <c r="AL17" s="3">
        <v>7.8563877522808662E-2</v>
      </c>
      <c r="AM17" s="3">
        <v>2.4299923194201659E-2</v>
      </c>
      <c r="AN17" s="3">
        <v>0.14178165916313559</v>
      </c>
      <c r="AO17" s="3">
        <v>9.4462075851476923E-2</v>
      </c>
      <c r="AP17" s="3">
        <v>-3.09310595902746E-2</v>
      </c>
      <c r="AQ17" s="3">
        <v>-7.9683176788919258E-2</v>
      </c>
      <c r="AR17" s="3">
        <v>0.1218119635665606</v>
      </c>
      <c r="AS17" s="3">
        <v>7.3989034719627589E-3</v>
      </c>
      <c r="AT17" s="3">
        <v>0.25018992099919191</v>
      </c>
      <c r="AU17" s="3">
        <v>0.1229490671431139</v>
      </c>
      <c r="AV17" s="3">
        <v>8.6843278735010881E-2</v>
      </c>
      <c r="AW17" s="3">
        <v>-1.024365348717543E-2</v>
      </c>
      <c r="AX17" s="3">
        <v>0.1354272985241724</v>
      </c>
      <c r="AY17" s="3">
        <v>4.298316959711701E-2</v>
      </c>
      <c r="AZ17" s="3">
        <v>5.219670986451911E-2</v>
      </c>
      <c r="BA17" s="3">
        <v>0.17857799397896951</v>
      </c>
      <c r="BB17" s="3">
        <v>0.14741697034908219</v>
      </c>
      <c r="BC17" s="3">
        <v>-6.3149477469225071E-2</v>
      </c>
      <c r="BD17" s="3">
        <v>-1.7051063813665841E-2</v>
      </c>
      <c r="BE17" s="3">
        <v>7.480613881037429E-2</v>
      </c>
      <c r="BF17" s="3">
        <v>0.15522955463129801</v>
      </c>
      <c r="BG17" s="3">
        <v>9.5407699959620507E-2</v>
      </c>
      <c r="BH17" s="3">
        <v>8.700989869268802E-2</v>
      </c>
      <c r="BI17" s="3">
        <v>0.13614088507212169</v>
      </c>
      <c r="BJ17" s="3">
        <v>8.0893273670060925E-2</v>
      </c>
      <c r="BK17" s="3">
        <v>-4.2751235059334666E-3</v>
      </c>
      <c r="BL17" s="3">
        <v>6.0757530081734602E-2</v>
      </c>
      <c r="BM17" s="3">
        <v>3.0718521269969622E-2</v>
      </c>
      <c r="BN17" s="3">
        <v>-1.051523495296379E-2</v>
      </c>
      <c r="BO17" s="3">
        <v>-2.6851098723029571E-3</v>
      </c>
      <c r="BP17" s="3">
        <v>-3.1807489917346797E-2</v>
      </c>
      <c r="BQ17" s="3">
        <v>6.7993030331286036E-2</v>
      </c>
      <c r="BR17" s="3">
        <v>0.11922775653917581</v>
      </c>
      <c r="BS17" s="3">
        <v>4.6038574873273161E-2</v>
      </c>
      <c r="BT17" s="3">
        <v>1.6418499306365679E-2</v>
      </c>
      <c r="BU17" s="3">
        <v>0.12406645657960549</v>
      </c>
      <c r="BV17" s="3">
        <v>7.3279885304019798E-2</v>
      </c>
      <c r="BW17" s="3">
        <v>0.41196526268905281</v>
      </c>
      <c r="BX17" s="3">
        <v>-5.236903817730558E-3</v>
      </c>
      <c r="BY17" s="3">
        <v>0.13403180994373601</v>
      </c>
      <c r="BZ17" s="3">
        <v>0.12053284597176619</v>
      </c>
      <c r="CA17" s="3">
        <v>1.5079638971586391E-2</v>
      </c>
      <c r="CB17" s="3">
        <v>2.942918224881717E-2</v>
      </c>
      <c r="CC17" s="3">
        <v>2.8877979674064289E-2</v>
      </c>
      <c r="CD17" s="3">
        <v>0.14874834249704891</v>
      </c>
      <c r="CE17" s="3">
        <v>0.32874567458664949</v>
      </c>
      <c r="CF17" s="3">
        <v>3.9936722578931889E-2</v>
      </c>
      <c r="CG17" s="3">
        <v>0.1605795503224717</v>
      </c>
      <c r="CH17" s="3">
        <v>0.23636173104327049</v>
      </c>
      <c r="CI17" s="3">
        <v>4.3149743261331489E-2</v>
      </c>
      <c r="CJ17" s="3">
        <v>3.1217075204227399E-2</v>
      </c>
      <c r="CK17" s="3">
        <v>4.5469060481620083E-2</v>
      </c>
      <c r="CL17" s="3">
        <v>9.9746253146276553E-2</v>
      </c>
      <c r="CM17" s="3">
        <v>3.1464324924207067E-2</v>
      </c>
      <c r="CN17" s="3">
        <v>0.28727541720596828</v>
      </c>
      <c r="CO17" s="3">
        <v>0.230113444452094</v>
      </c>
      <c r="CP17" s="3">
        <v>0.12512376786453791</v>
      </c>
      <c r="CQ17" s="3">
        <v>8.775921824244029E-2</v>
      </c>
      <c r="CR17" s="3">
        <v>0.29953052500892968</v>
      </c>
      <c r="CS17" s="3">
        <v>6.8097895498488603E-2</v>
      </c>
      <c r="CT17" s="3">
        <v>0.1027231722622705</v>
      </c>
      <c r="CU17" s="3">
        <v>0.16352714687453049</v>
      </c>
      <c r="CV17" s="3">
        <v>8.9059357938545983E-2</v>
      </c>
      <c r="CW17" s="3">
        <v>6.4430198852604967E-2</v>
      </c>
      <c r="CX17" s="3">
        <v>7.3801917525264674E-2</v>
      </c>
      <c r="CY17" s="3">
        <v>1.608018927870836E-2</v>
      </c>
      <c r="CZ17" s="3">
        <v>0.2252499060246704</v>
      </c>
      <c r="DA17" s="3">
        <v>3.9929638931564287E-2</v>
      </c>
      <c r="DB17" s="3">
        <v>0.28165320777134922</v>
      </c>
      <c r="DC17" s="3">
        <v>-6.4417216982113326E-3</v>
      </c>
      <c r="DD17" s="3">
        <v>9.7232155237918977E-2</v>
      </c>
      <c r="DE17" s="3">
        <v>9.2049718068673361E-2</v>
      </c>
      <c r="DF17" s="3">
        <v>0.15621906014375139</v>
      </c>
      <c r="DG17" s="3">
        <v>6.9001178472930094E-2</v>
      </c>
      <c r="DH17" s="3">
        <v>3.7455321163421512E-2</v>
      </c>
      <c r="DI17" s="3">
        <v>2.6425776566963158E-2</v>
      </c>
      <c r="DJ17" s="3">
        <v>3.9063173018407851E-2</v>
      </c>
      <c r="DK17" s="3">
        <v>7.9435849659198615E-3</v>
      </c>
      <c r="DL17" s="3">
        <v>5.4768215520972904E-3</v>
      </c>
      <c r="DM17" s="3">
        <v>2.2553551068930179E-2</v>
      </c>
      <c r="DN17" s="3">
        <v>2.3130968835218792E-2</v>
      </c>
      <c r="DO17" s="3">
        <v>0.10750791815368239</v>
      </c>
      <c r="DP17" s="3">
        <v>0.1393938406314745</v>
      </c>
      <c r="DQ17" s="3">
        <v>0.1043376535600677</v>
      </c>
      <c r="DR17" s="3">
        <v>1.1808014325288101E-2</v>
      </c>
      <c r="DS17" s="3">
        <v>8.3654581248357548E-2</v>
      </c>
      <c r="DT17" s="3">
        <v>-1.594348748778112E-2</v>
      </c>
      <c r="DU17" s="3">
        <v>0.1224330012329413</v>
      </c>
      <c r="DV17" s="3">
        <v>0.14998919564138949</v>
      </c>
      <c r="DW17" s="3">
        <v>6.166029281992641E-3</v>
      </c>
      <c r="DX17" s="3">
        <v>0.16528244595464431</v>
      </c>
      <c r="DY17" s="3">
        <v>3.4218546757893951E-2</v>
      </c>
      <c r="DZ17" s="3">
        <v>-9.4158226581668343E-3</v>
      </c>
      <c r="EA17" s="3">
        <v>4.5411838209433647E-2</v>
      </c>
      <c r="EB17" s="3">
        <v>9.3618821769579946E-2</v>
      </c>
      <c r="EC17" s="3">
        <v>-3.7608332065093251E-2</v>
      </c>
      <c r="ED17" s="3">
        <v>0.1724074543982993</v>
      </c>
      <c r="EE17" s="3">
        <v>6.9494917367295406E-2</v>
      </c>
      <c r="EF17" s="3">
        <v>0.17572732650476039</v>
      </c>
      <c r="EG17" s="3">
        <v>0.40721280796035331</v>
      </c>
      <c r="EH17" s="3">
        <v>5.0788315191291952E-3</v>
      </c>
      <c r="EI17" s="3">
        <v>4.2953235480020217E-2</v>
      </c>
      <c r="EJ17" s="3">
        <v>8.5919764127936282E-2</v>
      </c>
      <c r="EK17" s="3">
        <v>0.11693582081119611</v>
      </c>
      <c r="EL17" s="3">
        <v>6.702859152481682E-3</v>
      </c>
      <c r="EM17" s="3">
        <v>3.7927258210677758E-2</v>
      </c>
      <c r="EN17">
        <f t="shared" si="11"/>
        <v>8.5824520412077998E-2</v>
      </c>
      <c r="EO17">
        <f t="shared" si="12"/>
        <v>0.44191634312168315</v>
      </c>
    </row>
    <row r="18" spans="1:145" x14ac:dyDescent="0.3">
      <c r="A18" s="11">
        <v>150</v>
      </c>
      <c r="B18" s="11">
        <f t="shared" si="10"/>
        <v>7</v>
      </c>
      <c r="C18" s="3">
        <v>0.1969661530427449</v>
      </c>
      <c r="D18" s="3">
        <v>0.1060981576292111</v>
      </c>
      <c r="E18" s="3">
        <v>6.6056998070253059E-2</v>
      </c>
      <c r="F18" s="3">
        <v>1.7188546199374991E-2</v>
      </c>
      <c r="G18" s="3">
        <v>4.0097187886553802E-2</v>
      </c>
      <c r="H18" s="3">
        <v>5.3946155793407918E-2</v>
      </c>
      <c r="I18" s="3">
        <v>2.4159508246006919E-2</v>
      </c>
      <c r="J18" s="3">
        <v>0.13381053071372839</v>
      </c>
      <c r="K18" s="3">
        <v>0.1133868053028515</v>
      </c>
      <c r="L18" s="3">
        <v>-3.1903910322083201E-2</v>
      </c>
      <c r="M18" s="3">
        <v>-4.9257600051423232E-2</v>
      </c>
      <c r="N18" s="3">
        <v>0.14494067255294821</v>
      </c>
      <c r="O18" s="3">
        <v>-3.0235769476311238E-3</v>
      </c>
      <c r="P18" s="3">
        <v>-9.7517944793392604E-3</v>
      </c>
      <c r="Q18" s="3">
        <v>-8.4707568878490486E-2</v>
      </c>
      <c r="R18" s="3">
        <v>-6.622569331000791E-2</v>
      </c>
      <c r="S18" s="3">
        <v>9.3121294348672862E-2</v>
      </c>
      <c r="T18" s="3">
        <v>4.3731599384329863E-2</v>
      </c>
      <c r="U18" s="3">
        <v>3.134736028777145E-2</v>
      </c>
      <c r="V18" s="3">
        <v>1.0494066588602319E-2</v>
      </c>
      <c r="W18" s="3">
        <v>0.1155389400869299</v>
      </c>
      <c r="X18" s="3">
        <v>0.1760353122768353</v>
      </c>
      <c r="Y18" s="3">
        <v>4.0073851761905498E-2</v>
      </c>
      <c r="Z18" s="3">
        <v>0.13474732064150549</v>
      </c>
      <c r="AA18" s="3">
        <v>0.1309107044748791</v>
      </c>
      <c r="AB18" s="3">
        <v>8.6627103310148321E-2</v>
      </c>
      <c r="AC18" s="3">
        <v>1.181000151212473E-2</v>
      </c>
      <c r="AD18" s="3">
        <v>-3.5643843938660477E-2</v>
      </c>
      <c r="AE18" s="3">
        <v>4.6260175642544338E-2</v>
      </c>
      <c r="AF18" s="3">
        <v>0.14926763248130889</v>
      </c>
      <c r="AG18" s="3">
        <v>2.362987250786382E-2</v>
      </c>
      <c r="AH18" s="3">
        <v>-8.2103297914416645E-3</v>
      </c>
      <c r="AI18" s="3">
        <v>4.9203657184505027E-2</v>
      </c>
      <c r="AJ18" s="3">
        <v>1.8426108762735861E-2</v>
      </c>
      <c r="AK18" s="3">
        <v>8.4270060100037833E-3</v>
      </c>
      <c r="AL18" s="3">
        <v>7.5969938831580874E-2</v>
      </c>
      <c r="AM18" s="3">
        <v>2.428348529752684E-2</v>
      </c>
      <c r="AN18" s="3">
        <v>0.14793024951221681</v>
      </c>
      <c r="AO18" s="3">
        <v>0.1184981346177304</v>
      </c>
      <c r="AP18" s="3">
        <v>-1.7042343849854629E-2</v>
      </c>
      <c r="AQ18" s="3">
        <v>-4.0653361171879718E-2</v>
      </c>
      <c r="AR18" s="3">
        <v>0.12413697448363629</v>
      </c>
      <c r="AS18" s="3">
        <v>-1.415653607558773E-2</v>
      </c>
      <c r="AT18" s="3">
        <v>0.24772449270081751</v>
      </c>
      <c r="AU18" s="3">
        <v>0.12026462411459619</v>
      </c>
      <c r="AV18" s="3">
        <v>7.5298143068117177E-2</v>
      </c>
      <c r="AW18" s="3">
        <v>-8.0716489148081605E-3</v>
      </c>
      <c r="AX18" s="3">
        <v>0.17202823251276159</v>
      </c>
      <c r="AY18" s="3">
        <v>5.5223763175377139E-4</v>
      </c>
      <c r="AZ18" s="3">
        <v>5.8996567095360497E-2</v>
      </c>
      <c r="BA18" s="3">
        <v>0.18389232349623061</v>
      </c>
      <c r="BB18" s="3">
        <v>0.15531052378138541</v>
      </c>
      <c r="BC18" s="3">
        <v>6.441108881890667E-2</v>
      </c>
      <c r="BD18" s="3">
        <v>-6.178832959838571E-3</v>
      </c>
      <c r="BE18" s="3">
        <v>5.4616669463268867E-2</v>
      </c>
      <c r="BF18" s="3">
        <v>0.13165430738701281</v>
      </c>
      <c r="BG18" s="3">
        <v>9.0273857577951103E-2</v>
      </c>
      <c r="BH18" s="3">
        <v>6.337286741380535E-2</v>
      </c>
      <c r="BI18" s="3">
        <v>0.1803163205805893</v>
      </c>
      <c r="BJ18" s="3">
        <v>8.6147042706197066E-2</v>
      </c>
      <c r="BK18" s="3">
        <v>4.270490907532308E-3</v>
      </c>
      <c r="BL18" s="3">
        <v>5.9171998996890768E-2</v>
      </c>
      <c r="BM18" s="3">
        <v>1.7486512866813599E-2</v>
      </c>
      <c r="BN18" s="3">
        <v>-9.3146969696831228E-3</v>
      </c>
      <c r="BO18" s="3">
        <v>-1.6415369829885989E-2</v>
      </c>
      <c r="BP18" s="3">
        <v>-3.9968892745463183E-2</v>
      </c>
      <c r="BQ18" s="3">
        <v>6.6796871068216759E-2</v>
      </c>
      <c r="BR18" s="3">
        <v>0.1391524537466424</v>
      </c>
      <c r="BS18" s="3">
        <v>4.6770382297426319E-2</v>
      </c>
      <c r="BT18" s="3">
        <v>4.1173723893526248E-2</v>
      </c>
      <c r="BU18" s="3">
        <v>9.5272589413459563E-2</v>
      </c>
      <c r="BV18" s="3">
        <v>4.0599216059957262E-2</v>
      </c>
      <c r="BW18" s="3">
        <v>0.46814306834784047</v>
      </c>
      <c r="BX18" s="3">
        <v>-5.1530146079794004E-3</v>
      </c>
      <c r="BY18" s="3">
        <v>0.16975968918953499</v>
      </c>
      <c r="BZ18" s="3">
        <v>0.15326820504909061</v>
      </c>
      <c r="CA18" s="3">
        <v>3.352224145337597E-2</v>
      </c>
      <c r="CB18" s="3">
        <v>1.9962144249808189E-2</v>
      </c>
      <c r="CC18" s="3">
        <v>1.3324523906028771E-2</v>
      </c>
      <c r="CD18" s="3">
        <v>0.1432984238456475</v>
      </c>
      <c r="CE18" s="3">
        <v>0.36352999679144821</v>
      </c>
      <c r="CF18" s="3">
        <v>3.1890540400594879E-2</v>
      </c>
      <c r="CG18" s="3">
        <v>0.11390991315546189</v>
      </c>
      <c r="CH18" s="3">
        <v>0.2772405720846236</v>
      </c>
      <c r="CI18" s="3">
        <v>4.9178389874759983E-2</v>
      </c>
      <c r="CJ18" s="3">
        <v>1.622965429263112E-2</v>
      </c>
      <c r="CK18" s="3">
        <v>2.3136160014205001E-2</v>
      </c>
      <c r="CL18" s="3">
        <v>8.4851508367563694E-2</v>
      </c>
      <c r="CM18" s="3">
        <v>2.622678442911721E-2</v>
      </c>
      <c r="CN18" s="3">
        <v>0.34817407239356779</v>
      </c>
      <c r="CO18" s="3">
        <v>0.22779964032606609</v>
      </c>
      <c r="CP18" s="3">
        <v>0.1022283442022781</v>
      </c>
      <c r="CQ18" s="3">
        <v>0.116705177659406</v>
      </c>
      <c r="CR18" s="3">
        <v>0.32536432433624107</v>
      </c>
      <c r="CS18" s="3">
        <v>7.9431319607833534E-2</v>
      </c>
      <c r="CT18" s="3">
        <v>6.2037314828460539E-2</v>
      </c>
      <c r="CU18" s="3">
        <v>0.17704537345008961</v>
      </c>
      <c r="CV18" s="3">
        <v>7.7232086654529797E-2</v>
      </c>
      <c r="CW18" s="3">
        <v>8.4594416555661675E-2</v>
      </c>
      <c r="CX18" s="3">
        <v>6.9316280611526046E-2</v>
      </c>
      <c r="CY18" s="3">
        <v>3.7344689781579947E-2</v>
      </c>
      <c r="CZ18" s="3">
        <v>0.21691468537286129</v>
      </c>
      <c r="DA18" s="3">
        <v>5.3167019091479133E-3</v>
      </c>
      <c r="DB18" s="3">
        <v>0.29418156021514008</v>
      </c>
      <c r="DC18" s="3">
        <v>-4.0244133039183533E-3</v>
      </c>
      <c r="DD18" s="3">
        <v>8.2306564842146282E-2</v>
      </c>
      <c r="DE18" s="3">
        <v>7.514140162455446E-2</v>
      </c>
      <c r="DF18" s="3">
        <v>0.16778892952037089</v>
      </c>
      <c r="DG18" s="3">
        <v>7.8127995528756003E-2</v>
      </c>
      <c r="DH18" s="3">
        <v>5.231911096609794E-2</v>
      </c>
      <c r="DI18" s="3">
        <v>3.2009471524320543E-2</v>
      </c>
      <c r="DJ18" s="3">
        <v>3.3494064218897418E-2</v>
      </c>
      <c r="DK18" s="3">
        <v>1.9122261240179919E-2</v>
      </c>
      <c r="DL18" s="3">
        <v>6.6189644900881868E-3</v>
      </c>
      <c r="DM18" s="3">
        <v>7.9657557322104611E-2</v>
      </c>
      <c r="DN18" s="3">
        <v>2.0422219313777999E-2</v>
      </c>
      <c r="DO18" s="3">
        <v>0.10414933969957629</v>
      </c>
      <c r="DP18" s="3">
        <v>0.1350037259912093</v>
      </c>
      <c r="DQ18" s="3">
        <v>9.9058659758970713E-2</v>
      </c>
      <c r="DR18" s="3">
        <v>2.1665678205547659E-2</v>
      </c>
      <c r="DS18" s="3">
        <v>8.5835770084298685E-2</v>
      </c>
      <c r="DT18" s="3">
        <v>2.453543327357886E-2</v>
      </c>
      <c r="DU18" s="3">
        <v>0.13467227318195249</v>
      </c>
      <c r="DV18" s="3">
        <v>0.1549831451878845</v>
      </c>
      <c r="DW18" s="3">
        <v>2.576423238577422E-2</v>
      </c>
      <c r="DX18" s="3">
        <v>0.18810495536717339</v>
      </c>
      <c r="DY18" s="3">
        <v>4.9334466045824872E-2</v>
      </c>
      <c r="DZ18" s="3">
        <v>-3.4632878994112173E-2</v>
      </c>
      <c r="EA18" s="3">
        <v>4.1658816925241308E-2</v>
      </c>
      <c r="EB18" s="3">
        <v>0.1102609968583054</v>
      </c>
      <c r="EC18" s="3">
        <v>-1.004631932896961E-2</v>
      </c>
      <c r="ED18" s="3">
        <v>0.16663675973959699</v>
      </c>
      <c r="EE18" s="3">
        <v>8.5239287154293131E-2</v>
      </c>
      <c r="EF18" s="3">
        <v>0.16811761617216051</v>
      </c>
      <c r="EG18" s="3">
        <v>0.43933576410633712</v>
      </c>
      <c r="EH18" s="3">
        <v>8.8913541178716748E-3</v>
      </c>
      <c r="EI18" s="3">
        <v>3.7004840015041063E-2</v>
      </c>
      <c r="EJ18" s="3">
        <v>6.6839601294893719E-2</v>
      </c>
      <c r="EK18" s="3">
        <v>0.1248103344447751</v>
      </c>
      <c r="EL18" s="3">
        <v>1.4055461337932659E-2</v>
      </c>
      <c r="EM18" s="3">
        <v>3.7927258210677758E-2</v>
      </c>
      <c r="EN18">
        <f t="shared" si="11"/>
        <v>9.237872979696965E-2</v>
      </c>
      <c r="EO18">
        <f t="shared" si="12"/>
        <v>0.410562672749825</v>
      </c>
    </row>
    <row r="19" spans="1:145" x14ac:dyDescent="0.3">
      <c r="A19" s="11">
        <v>180</v>
      </c>
      <c r="B19" s="11">
        <f t="shared" si="10"/>
        <v>6</v>
      </c>
      <c r="C19" s="3">
        <v>0.21790735892209151</v>
      </c>
      <c r="D19" s="3">
        <v>7.0655582823606317E-2</v>
      </c>
      <c r="E19" s="3">
        <v>8.3742852636197698E-2</v>
      </c>
      <c r="F19" s="3">
        <v>1.872449001550994E-4</v>
      </c>
      <c r="G19" s="3">
        <v>1.5394064657468979E-2</v>
      </c>
      <c r="H19" s="3">
        <v>7.5603136526613657E-2</v>
      </c>
      <c r="I19" s="3">
        <v>3.340920410426871E-2</v>
      </c>
      <c r="J19" s="3">
        <v>0.159974282766636</v>
      </c>
      <c r="K19" s="3">
        <v>9.6442529721011916E-2</v>
      </c>
      <c r="L19" s="3">
        <v>-4.1666967574305991E-2</v>
      </c>
      <c r="M19" s="3">
        <v>-0.11988642417000291</v>
      </c>
      <c r="N19" s="3">
        <v>0.14583804867106179</v>
      </c>
      <c r="O19" s="3">
        <v>-1.6233395563485659E-2</v>
      </c>
      <c r="P19" s="3">
        <v>-7.7602432253593076E-3</v>
      </c>
      <c r="Q19" s="3">
        <v>-9.0212605407034033E-2</v>
      </c>
      <c r="R19" s="3">
        <v>-7.2071310222224405E-2</v>
      </c>
      <c r="S19" s="3">
        <v>6.1816234039346607E-2</v>
      </c>
      <c r="T19" s="3">
        <v>2.3271867222989111E-2</v>
      </c>
      <c r="U19" s="3">
        <v>3.3732226066385961E-3</v>
      </c>
      <c r="V19" s="3">
        <v>-1.928949949979504E-2</v>
      </c>
      <c r="W19" s="3">
        <v>0.1380590136848667</v>
      </c>
      <c r="X19" s="3">
        <v>0.21867993922389509</v>
      </c>
      <c r="Y19" s="3">
        <v>3.4473191002175448E-2</v>
      </c>
      <c r="Z19" s="3">
        <v>0.15633746631243639</v>
      </c>
      <c r="AA19" s="3">
        <v>0.1114495232450672</v>
      </c>
      <c r="AB19" s="3">
        <v>9.0876240399519248E-2</v>
      </c>
      <c r="AC19" s="3">
        <v>9.6664656936663873E-3</v>
      </c>
      <c r="AD19" s="3">
        <v>-4.0527843347771618E-2</v>
      </c>
      <c r="AE19" s="3">
        <v>2.3007944438409721E-2</v>
      </c>
      <c r="AF19" s="3">
        <v>9.7682905702411366E-2</v>
      </c>
      <c r="AG19" s="3">
        <v>4.7196408196206033E-2</v>
      </c>
      <c r="AH19" s="3">
        <v>-5.588769524371897E-4</v>
      </c>
      <c r="AI19" s="3">
        <v>5.9450719653519793E-2</v>
      </c>
      <c r="AJ19" s="3">
        <v>-4.1167574013709247E-3</v>
      </c>
      <c r="AK19" s="3">
        <v>-1.7523425056192431E-2</v>
      </c>
      <c r="AL19" s="3">
        <v>7.2743041690700797E-2</v>
      </c>
      <c r="AM19" s="3">
        <v>1.368581365154121E-2</v>
      </c>
      <c r="AN19" s="3">
        <v>0.13751241395278629</v>
      </c>
      <c r="AO19" s="3">
        <v>0.1229009143548601</v>
      </c>
      <c r="AP19" s="3">
        <v>-3.1415248251686588E-2</v>
      </c>
      <c r="AQ19" s="3">
        <v>-6.4785305753260677E-2</v>
      </c>
      <c r="AR19" s="3">
        <v>0.13873041935852451</v>
      </c>
      <c r="AS19" s="3">
        <v>-3.3014115671864082E-2</v>
      </c>
      <c r="AT19" s="3">
        <v>0.26765057806651532</v>
      </c>
      <c r="AU19" s="3">
        <v>0.1371763961088007</v>
      </c>
      <c r="AV19" s="3">
        <v>8.8766830141071937E-2</v>
      </c>
      <c r="AW19" s="3">
        <v>-7.0967836270691143E-4</v>
      </c>
      <c r="AX19" s="3">
        <v>0.1790652122027343</v>
      </c>
      <c r="AY19" s="3">
        <v>-1.8709071321191411E-2</v>
      </c>
      <c r="AZ19" s="3">
        <v>8.0910908806026929E-2</v>
      </c>
      <c r="BA19" s="3">
        <v>0.1915282349129028</v>
      </c>
      <c r="BB19" s="3">
        <v>0.15830554062734711</v>
      </c>
      <c r="BC19" s="3">
        <v>4.941604434325203E-2</v>
      </c>
      <c r="BD19" s="3">
        <v>-3.8107954989429448E-4</v>
      </c>
      <c r="BE19" s="3">
        <v>3.7734456226027932E-2</v>
      </c>
      <c r="BF19" s="3">
        <v>0.10157892120837229</v>
      </c>
      <c r="BG19" s="3">
        <v>0.12911215993890349</v>
      </c>
      <c r="BH19" s="3">
        <v>-4.2141938677465176E-3</v>
      </c>
      <c r="BI19" s="3">
        <v>0.15319845732594839</v>
      </c>
      <c r="BJ19" s="3">
        <v>0.1010071437081073</v>
      </c>
      <c r="BK19" s="3">
        <v>5.6921221782888906E-3</v>
      </c>
      <c r="BL19" s="3">
        <v>6.6379685576495512E-2</v>
      </c>
      <c r="BM19" s="3">
        <v>3.6138471115545599E-2</v>
      </c>
      <c r="BN19" s="3">
        <v>-6.497839442814804E-3</v>
      </c>
      <c r="BO19" s="3">
        <v>-6.3702179315354157E-3</v>
      </c>
      <c r="BP19" s="3">
        <v>2.1172443559365751E-2</v>
      </c>
      <c r="BQ19" s="3">
        <v>7.4030431098121199E-2</v>
      </c>
      <c r="BR19" s="3">
        <v>0.16845341564575539</v>
      </c>
      <c r="BS19" s="3">
        <v>5.0629392635549338E-2</v>
      </c>
      <c r="BT19" s="3">
        <v>3.4674455794239417E-2</v>
      </c>
      <c r="BU19" s="3">
        <v>0.1199716482329939</v>
      </c>
      <c r="BV19" s="3">
        <v>4.6979893604060838E-2</v>
      </c>
      <c r="BW19" s="3">
        <v>0.52358770406078992</v>
      </c>
      <c r="BX19" s="3">
        <v>2.0764270094924399E-3</v>
      </c>
      <c r="BY19" s="3">
        <v>0.16110751851492411</v>
      </c>
      <c r="BZ19" s="3">
        <v>0.16055846490956749</v>
      </c>
      <c r="CA19" s="3">
        <v>2.48211724214123E-2</v>
      </c>
      <c r="CB19" s="3">
        <v>1.6840432976799481E-2</v>
      </c>
      <c r="CC19" s="3">
        <v>2.7697685413722421E-2</v>
      </c>
      <c r="CD19" s="3">
        <v>0.16061850266191849</v>
      </c>
      <c r="CE19" s="3">
        <v>0.1459181383446361</v>
      </c>
      <c r="CF19" s="3">
        <v>5.9324747805935022E-4</v>
      </c>
      <c r="CG19" s="3">
        <v>0.11625192542907579</v>
      </c>
      <c r="CH19" s="3">
        <v>0.27817692885965489</v>
      </c>
      <c r="CI19" s="3">
        <v>6.1750759047692318E-2</v>
      </c>
      <c r="CJ19" s="3">
        <v>-5.5399692631970809E-3</v>
      </c>
      <c r="CK19" s="3">
        <v>2.409985914282059E-2</v>
      </c>
      <c r="CL19" s="3">
        <v>9.7117993729477298E-2</v>
      </c>
      <c r="CM19" s="3">
        <v>2.242785914084432E-2</v>
      </c>
      <c r="CN19" s="3">
        <v>0.40173236675357388</v>
      </c>
      <c r="CO19" s="3">
        <v>0.26658087711114897</v>
      </c>
      <c r="CP19" s="3">
        <v>0.1034457327487826</v>
      </c>
      <c r="CQ19" s="3">
        <v>0.1038248280009875</v>
      </c>
      <c r="CR19" s="3">
        <v>6.7862354558374097E-2</v>
      </c>
      <c r="CS19" s="3">
        <v>0.10632246282827749</v>
      </c>
      <c r="CT19" s="3">
        <v>4.1934686447276243E-3</v>
      </c>
      <c r="CU19" s="3">
        <v>0.1832483821782149</v>
      </c>
      <c r="CV19" s="3">
        <v>7.9528592042567375E-2</v>
      </c>
      <c r="CW19" s="3">
        <v>9.7142426737437171E-2</v>
      </c>
      <c r="CX19" s="3">
        <v>7.3547716105959407E-2</v>
      </c>
      <c r="CY19" s="3">
        <v>5.7579450901860819E-2</v>
      </c>
      <c r="CZ19" s="3">
        <v>0.2455772600078274</v>
      </c>
      <c r="DA19" s="3">
        <v>1.7110885600707389E-2</v>
      </c>
      <c r="DB19" s="3">
        <v>0.3602248118651773</v>
      </c>
      <c r="DC19" s="3">
        <v>-1.1020886671358121E-2</v>
      </c>
      <c r="DD19" s="3">
        <v>0.1136460331357351</v>
      </c>
      <c r="DE19" s="3">
        <v>9.2567876920807035E-2</v>
      </c>
      <c r="DF19" s="3">
        <v>0.18400259033553759</v>
      </c>
      <c r="DG19" s="3">
        <v>6.7611274571446653E-2</v>
      </c>
      <c r="DH19" s="3">
        <v>4.5456047046515978E-2</v>
      </c>
      <c r="DI19" s="3">
        <v>5.9944791304501546E-3</v>
      </c>
      <c r="DJ19" s="3">
        <v>4.1470678801987612E-2</v>
      </c>
      <c r="DK19" s="3">
        <v>-8.3695401289245602E-3</v>
      </c>
      <c r="DL19" s="3">
        <v>2.1423400622382519E-2</v>
      </c>
      <c r="DM19" s="3">
        <v>8.7208638119973939E-2</v>
      </c>
      <c r="DN19" s="3">
        <v>2.619002836473372E-2</v>
      </c>
      <c r="DO19" s="3">
        <v>0.1036017436259021</v>
      </c>
      <c r="DP19" s="3">
        <v>0.14012747932694439</v>
      </c>
      <c r="DQ19" s="3">
        <v>0.1068019261002533</v>
      </c>
      <c r="DR19" s="3">
        <v>3.429143676707333E-2</v>
      </c>
      <c r="DS19" s="3">
        <v>7.3266042828389888E-2</v>
      </c>
      <c r="DT19" s="3">
        <v>9.6028468900711261E-3</v>
      </c>
      <c r="DU19" s="3">
        <v>0.1378402535795949</v>
      </c>
      <c r="DV19" s="3">
        <v>0.1552543894145863</v>
      </c>
      <c r="DW19" s="3">
        <v>-9.1677711249369409E-3</v>
      </c>
      <c r="DX19" s="3">
        <v>0.19711173822749939</v>
      </c>
      <c r="DY19" s="3">
        <v>4.913595025582447E-2</v>
      </c>
      <c r="DZ19" s="3">
        <v>-1.7277000009105589E-2</v>
      </c>
      <c r="EA19" s="3">
        <v>3.6025929771717889E-2</v>
      </c>
      <c r="EB19" s="3">
        <v>0.16014310566091181</v>
      </c>
      <c r="EC19" s="3">
        <v>9.4883307795568889E-2</v>
      </c>
      <c r="ED19" s="3">
        <v>0.13928771882844551</v>
      </c>
      <c r="EE19" s="3">
        <v>8.1354073150468026E-2</v>
      </c>
      <c r="EF19" s="3">
        <v>0.1606279101831215</v>
      </c>
      <c r="EG19" s="3">
        <v>0.49902749921992218</v>
      </c>
      <c r="EH19" s="3">
        <v>1.78384613726872E-2</v>
      </c>
      <c r="EI19" s="3">
        <v>5.7392954921558353E-2</v>
      </c>
      <c r="EJ19" s="3">
        <v>7.6523921515916901E-2</v>
      </c>
      <c r="EK19" s="3">
        <v>0.1685175324379041</v>
      </c>
      <c r="EL19" s="3">
        <v>5.5398178081324731E-2</v>
      </c>
      <c r="EM19" s="3">
        <v>3.7927258210677758E-2</v>
      </c>
      <c r="EN19">
        <f t="shared" si="11"/>
        <v>9.8187231300984681E-2</v>
      </c>
      <c r="EO19">
        <f t="shared" si="12"/>
        <v>0.38627485171075804</v>
      </c>
    </row>
    <row r="20" spans="1:145" x14ac:dyDescent="0.3">
      <c r="A20" s="11">
        <v>200</v>
      </c>
      <c r="B20" s="11">
        <f t="shared" si="10"/>
        <v>5</v>
      </c>
      <c r="C20" s="3">
        <v>0.24256624392705009</v>
      </c>
      <c r="D20" s="3">
        <v>7.4342164423672058E-2</v>
      </c>
      <c r="E20" s="3">
        <v>2.8954142277273678E-2</v>
      </c>
      <c r="F20" s="3">
        <v>-4.6281550463517757E-2</v>
      </c>
      <c r="G20" s="3">
        <v>0.12762175200735421</v>
      </c>
      <c r="H20" s="3">
        <v>4.0309248145747698E-2</v>
      </c>
      <c r="I20" s="3">
        <v>-3.7230303092827821E-3</v>
      </c>
      <c r="J20" s="3">
        <v>0.2060345582199809</v>
      </c>
      <c r="K20" s="3">
        <v>0.1568010387757075</v>
      </c>
      <c r="L20" s="3">
        <v>-6.4179983383497119E-2</v>
      </c>
      <c r="M20" s="3">
        <v>-0.16329873455605209</v>
      </c>
      <c r="N20" s="3">
        <v>0.1492742691162797</v>
      </c>
      <c r="O20" s="3">
        <v>-4.4714752280414841E-3</v>
      </c>
      <c r="P20" s="3">
        <v>-1.7190938950857989E-2</v>
      </c>
      <c r="Q20" s="3">
        <v>-7.6073933882511227E-2</v>
      </c>
      <c r="R20" s="3">
        <v>-8.7379719147110527E-2</v>
      </c>
      <c r="S20" s="3">
        <v>7.2994576877287914E-2</v>
      </c>
      <c r="T20" s="3">
        <v>-1.7193267387568361E-2</v>
      </c>
      <c r="U20" s="3">
        <v>-1.8899098008832271E-2</v>
      </c>
      <c r="V20" s="3">
        <v>3.2897823932204889E-3</v>
      </c>
      <c r="W20" s="3">
        <v>0.16616403492087869</v>
      </c>
      <c r="X20" s="3">
        <v>0.20352896423889619</v>
      </c>
      <c r="Y20" s="3">
        <v>6.5811256325376141E-2</v>
      </c>
      <c r="Z20" s="3">
        <v>0.1565442052312179</v>
      </c>
      <c r="AA20" s="3">
        <v>0.1198789117183241</v>
      </c>
      <c r="AB20" s="3">
        <v>7.6624218396126764E-2</v>
      </c>
      <c r="AC20" s="3">
        <v>1.807639171240101E-2</v>
      </c>
      <c r="AD20" s="3">
        <v>-4.7587867830783503E-2</v>
      </c>
      <c r="AE20" s="3">
        <v>1.6413392978652141E-2</v>
      </c>
      <c r="AF20" s="3">
        <v>0.11960919347021</v>
      </c>
      <c r="AG20" s="3">
        <v>5.6725027398910659E-2</v>
      </c>
      <c r="AH20" s="3">
        <v>-1.078380375675933E-2</v>
      </c>
      <c r="AI20" s="3">
        <v>6.6675838692942496E-2</v>
      </c>
      <c r="AJ20" s="3">
        <v>2.4117027747653692E-2</v>
      </c>
      <c r="AK20" s="3">
        <v>8.0689634094404966E-2</v>
      </c>
      <c r="AL20" s="3">
        <v>8.2865818030573496E-2</v>
      </c>
      <c r="AM20" s="3">
        <v>-2.1591102749985921E-2</v>
      </c>
      <c r="AN20" s="3">
        <v>0.14976942366576679</v>
      </c>
      <c r="AO20" s="3">
        <v>0.16719026534652751</v>
      </c>
      <c r="AP20" s="3">
        <v>-2.410338491074393E-2</v>
      </c>
      <c r="AQ20" s="3">
        <v>-6.5379809235867031E-2</v>
      </c>
      <c r="AR20" s="3">
        <v>0.20162476571415461</v>
      </c>
      <c r="AS20" s="3">
        <v>-5.5317551103825642E-2</v>
      </c>
      <c r="AT20" s="3">
        <v>0.10589083324842639</v>
      </c>
      <c r="AU20" s="3">
        <v>0.1598219226981937</v>
      </c>
      <c r="AV20" s="3">
        <v>7.9589921494643959E-2</v>
      </c>
      <c r="AW20" s="3">
        <v>1.2563818382514221E-2</v>
      </c>
      <c r="AX20" s="3">
        <v>0.19247032254116969</v>
      </c>
      <c r="AY20" s="3">
        <v>-7.2814422626993232E-3</v>
      </c>
      <c r="AZ20" s="3">
        <v>5.5350433270196127E-2</v>
      </c>
      <c r="BA20" s="3">
        <v>0.1901703021186319</v>
      </c>
      <c r="BB20" s="3">
        <v>0.16669321372218471</v>
      </c>
      <c r="BC20" s="3">
        <v>8.8449873068685292E-3</v>
      </c>
      <c r="BD20" s="3">
        <v>2.5693043848273731E-2</v>
      </c>
      <c r="BE20" s="3">
        <v>6.8313760965132239E-2</v>
      </c>
      <c r="BF20" s="3">
        <v>9.7451533455091416E-2</v>
      </c>
      <c r="BG20" s="3">
        <v>0.13685299814694429</v>
      </c>
      <c r="BH20" s="3">
        <v>-2.4351656093871021E-2</v>
      </c>
      <c r="BI20" s="3">
        <v>0.14382300280663449</v>
      </c>
      <c r="BJ20" s="3">
        <v>0.14408406834199769</v>
      </c>
      <c r="BK20" s="3">
        <v>7.145165383088365E-3</v>
      </c>
      <c r="BL20" s="3">
        <v>5.5024302304553907E-2</v>
      </c>
      <c r="BM20" s="3">
        <v>1.441137104200849E-2</v>
      </c>
      <c r="BN20" s="3">
        <v>-2.705761727689078E-2</v>
      </c>
      <c r="BO20" s="3">
        <v>-2.1136780653907779E-2</v>
      </c>
      <c r="BP20" s="3">
        <v>1.115429696323289E-2</v>
      </c>
      <c r="BQ20" s="3">
        <v>5.983518458808685E-2</v>
      </c>
      <c r="BR20" s="3">
        <v>0.14648675329108221</v>
      </c>
      <c r="BS20" s="3">
        <v>3.8252198309636352E-2</v>
      </c>
      <c r="BT20" s="3">
        <v>5.1388462219722403E-2</v>
      </c>
      <c r="BU20" s="3">
        <v>0.1036413592228605</v>
      </c>
      <c r="BV20" s="3">
        <v>7.2228326141480712E-2</v>
      </c>
      <c r="BW20" s="3">
        <v>0.57836471639744136</v>
      </c>
      <c r="BX20" s="3">
        <v>1.1410891476597599E-2</v>
      </c>
      <c r="BY20" s="3">
        <v>0.20169454639308509</v>
      </c>
      <c r="BZ20" s="3">
        <v>0.15611331041040569</v>
      </c>
      <c r="CA20" s="3">
        <v>-3.1621143115131478E-2</v>
      </c>
      <c r="CB20" s="3">
        <v>1.757052285120593E-2</v>
      </c>
      <c r="CC20" s="3">
        <v>4.8648611543453797E-2</v>
      </c>
      <c r="CD20" s="3">
        <v>0.1796855727109323</v>
      </c>
      <c r="CE20" s="3">
        <v>0.13101432807027</v>
      </c>
      <c r="CF20" s="3">
        <v>-7.7120632115768618E-3</v>
      </c>
      <c r="CG20" s="3">
        <v>0.13319839014330259</v>
      </c>
      <c r="CH20" s="3">
        <v>0.1919133984032034</v>
      </c>
      <c r="CI20" s="3">
        <v>5.7510961381064277E-2</v>
      </c>
      <c r="CJ20" s="3">
        <v>-1.9455792119852881E-2</v>
      </c>
      <c r="CK20" s="3">
        <v>0.1034927515055751</v>
      </c>
      <c r="CL20" s="3">
        <v>0.12379959275641279</v>
      </c>
      <c r="CM20" s="3">
        <v>-1.426191981877049E-2</v>
      </c>
      <c r="CN20" s="3">
        <v>0.43727164861530837</v>
      </c>
      <c r="CO20" s="3">
        <v>0.30152103749109799</v>
      </c>
      <c r="CP20" s="3">
        <v>0.14444102608189571</v>
      </c>
      <c r="CQ20" s="3">
        <v>0.13341396931461991</v>
      </c>
      <c r="CR20" s="3">
        <v>9.4950162394014589E-2</v>
      </c>
      <c r="CS20" s="3">
        <v>0.1040497224203942</v>
      </c>
      <c r="CT20" s="3">
        <v>-4.995070635068273E-2</v>
      </c>
      <c r="CU20" s="3">
        <v>0.2096037141264753</v>
      </c>
      <c r="CV20" s="3">
        <v>9.0730901276277323E-2</v>
      </c>
      <c r="CW20" s="3">
        <v>0.1039493982207982</v>
      </c>
      <c r="CX20" s="3">
        <v>8.9296560139418668E-2</v>
      </c>
      <c r="CY20" s="3">
        <v>2.2315036347710229E-2</v>
      </c>
      <c r="CZ20" s="3">
        <v>0.28272751836899113</v>
      </c>
      <c r="DA20" s="3">
        <v>7.7035375415229354E-2</v>
      </c>
      <c r="DB20" s="3">
        <v>0.43885470225182249</v>
      </c>
      <c r="DC20" s="3">
        <v>-6.2691351615834362E-3</v>
      </c>
      <c r="DD20" s="3">
        <v>0.1417095368186958</v>
      </c>
      <c r="DE20" s="3">
        <v>0.1033458266866147</v>
      </c>
      <c r="DF20" s="3">
        <v>0.216044305358573</v>
      </c>
      <c r="DG20" s="3">
        <v>7.9335782688349094E-2</v>
      </c>
      <c r="DH20" s="3">
        <v>4.6297990675397173E-2</v>
      </c>
      <c r="DI20" s="3">
        <v>-5.247879712804223E-2</v>
      </c>
      <c r="DJ20" s="3">
        <v>4.3591514303194252E-2</v>
      </c>
      <c r="DK20" s="3">
        <v>-8.6561593553780569E-3</v>
      </c>
      <c r="DL20" s="3">
        <v>2.143070057940932E-2</v>
      </c>
      <c r="DM20" s="3">
        <v>0.11199613493732349</v>
      </c>
      <c r="DN20" s="3">
        <v>1.50848722240395E-2</v>
      </c>
      <c r="DO20" s="3">
        <v>0.1219357099510511</v>
      </c>
      <c r="DP20" s="3">
        <v>0.12702353407344669</v>
      </c>
      <c r="DQ20" s="3">
        <v>0.11052376891321181</v>
      </c>
      <c r="DR20" s="3">
        <v>3.1313755062360053E-2</v>
      </c>
      <c r="DS20" s="3">
        <v>-6.7846502629846817E-2</v>
      </c>
      <c r="DT20" s="3">
        <v>1.154502003950755E-2</v>
      </c>
      <c r="DU20" s="3">
        <v>0.14630121314184741</v>
      </c>
      <c r="DV20" s="3">
        <v>0.14592601432546029</v>
      </c>
      <c r="DW20" s="3">
        <v>-5.2616795941837428E-2</v>
      </c>
      <c r="DX20" s="3">
        <v>0.24891148239268329</v>
      </c>
      <c r="DY20" s="3">
        <v>5.9870295667185963E-2</v>
      </c>
      <c r="DZ20" s="3">
        <v>9.4877475783058246E-4</v>
      </c>
      <c r="EA20" s="3">
        <v>1.7204776776789249E-2</v>
      </c>
      <c r="EB20" s="3">
        <v>0.1710013653594688</v>
      </c>
      <c r="EC20" s="3">
        <v>0.1293391564829163</v>
      </c>
      <c r="ED20" s="3">
        <v>0.12679586247695671</v>
      </c>
      <c r="EE20" s="3">
        <v>7.4226260626695448E-2</v>
      </c>
      <c r="EF20" s="3">
        <v>0.12581972429139321</v>
      </c>
      <c r="EG20" s="3">
        <v>0.52567040169107082</v>
      </c>
      <c r="EH20" s="3">
        <v>2.5807932296476471E-2</v>
      </c>
      <c r="EI20" s="3">
        <v>2.9226131485872608E-2</v>
      </c>
      <c r="EJ20" s="3">
        <v>9.0439753441967696E-2</v>
      </c>
      <c r="EK20" s="3">
        <v>0.17460923745260179</v>
      </c>
      <c r="EL20" s="3">
        <v>6.0560758991802743E-2</v>
      </c>
      <c r="EM20" s="3">
        <v>3.7927258210677758E-2</v>
      </c>
      <c r="EN20">
        <f t="shared" si="11"/>
        <v>0.10972735444203768</v>
      </c>
      <c r="EO20">
        <f t="shared" si="12"/>
        <v>0.34564998311986489</v>
      </c>
    </row>
    <row r="21" spans="1:145" x14ac:dyDescent="0.3">
      <c r="A21" s="11">
        <v>256</v>
      </c>
      <c r="B21" s="11">
        <f t="shared" si="10"/>
        <v>4</v>
      </c>
      <c r="C21" s="3">
        <v>0.24253845087959089</v>
      </c>
      <c r="D21" s="3">
        <v>5.7506656854131907E-2</v>
      </c>
      <c r="E21" s="3">
        <v>3.6580398365973647E-2</v>
      </c>
      <c r="F21" s="3">
        <v>-0.1125016404719044</v>
      </c>
      <c r="G21" s="3">
        <v>0.1452751425636723</v>
      </c>
      <c r="H21" s="3">
        <v>-3.964522623795623E-2</v>
      </c>
      <c r="I21" s="3">
        <v>-8.6914448499838939E-2</v>
      </c>
      <c r="J21" s="3">
        <v>0.2314612211078389</v>
      </c>
      <c r="K21" s="3">
        <v>8.6070859054277221E-2</v>
      </c>
      <c r="L21" s="3">
        <v>-7.7040020925239414E-2</v>
      </c>
      <c r="M21" s="3">
        <v>-0.25134059520126573</v>
      </c>
      <c r="N21" s="3">
        <v>0.1308667806246866</v>
      </c>
      <c r="O21" s="3">
        <v>6.9306979419354431E-2</v>
      </c>
      <c r="P21" s="3">
        <v>-5.1755699493226018E-2</v>
      </c>
      <c r="Q21" s="3">
        <v>-9.7988498934828125E-2</v>
      </c>
      <c r="R21" s="3">
        <v>-0.101784702342265</v>
      </c>
      <c r="S21" s="3">
        <v>8.4328795220308367E-2</v>
      </c>
      <c r="T21" s="3">
        <v>-6.3758260505437592E-2</v>
      </c>
      <c r="U21" s="3">
        <v>-3.5523992520219823E-2</v>
      </c>
      <c r="V21" s="3">
        <v>-1.51033421537278E-2</v>
      </c>
      <c r="W21" s="3">
        <v>0.16547004662656761</v>
      </c>
      <c r="X21" s="3">
        <v>0.24267554111554751</v>
      </c>
      <c r="Y21" s="3">
        <v>0.1067483223517391</v>
      </c>
      <c r="Z21" s="3">
        <v>0.20326902623440671</v>
      </c>
      <c r="AA21" s="3">
        <v>0.15247795628303451</v>
      </c>
      <c r="AB21" s="3">
        <v>0.10303549874931579</v>
      </c>
      <c r="AC21" s="3">
        <v>4.37581220456284E-2</v>
      </c>
      <c r="AD21" s="3">
        <v>-2.1287673574679741E-2</v>
      </c>
      <c r="AE21" s="3">
        <v>-5.3295142290502584E-3</v>
      </c>
      <c r="AF21" s="3">
        <v>7.3044128528482299E-2</v>
      </c>
      <c r="AG21" s="3">
        <v>2.7576615981892701E-2</v>
      </c>
      <c r="AH21" s="3">
        <v>-1.348759176843747E-2</v>
      </c>
      <c r="AI21" s="3">
        <v>5.5829304757348451E-2</v>
      </c>
      <c r="AJ21" s="3">
        <v>4.2469720780973663E-2</v>
      </c>
      <c r="AK21" s="3">
        <v>5.019009402991776E-2</v>
      </c>
      <c r="AL21" s="3">
        <v>8.5547442544383928E-2</v>
      </c>
      <c r="AM21" s="3">
        <v>-3.5018765671298371E-3</v>
      </c>
      <c r="AN21" s="3">
        <v>0.1404404186314849</v>
      </c>
      <c r="AO21" s="3">
        <v>0.1976170203981413</v>
      </c>
      <c r="AP21" s="3">
        <v>3.4901144150468332E-3</v>
      </c>
      <c r="AQ21" s="3">
        <v>-3.9660940042633722E-2</v>
      </c>
      <c r="AR21" s="3">
        <v>0.128154817318406</v>
      </c>
      <c r="AS21" s="3">
        <v>-0.1077600691450476</v>
      </c>
      <c r="AT21" s="3">
        <v>0.18550390205645129</v>
      </c>
      <c r="AU21" s="3">
        <v>0.210946152538073</v>
      </c>
      <c r="AV21" s="3">
        <v>8.0534355178553299E-2</v>
      </c>
      <c r="AW21" s="3">
        <v>4.3183605880271807E-2</v>
      </c>
      <c r="AX21" s="3">
        <v>0.20650660170500229</v>
      </c>
      <c r="AY21" s="3">
        <v>-5.023018015561255E-2</v>
      </c>
      <c r="AZ21" s="3">
        <v>3.4574624948682769E-2</v>
      </c>
      <c r="BA21" s="3">
        <v>0.2186037079025249</v>
      </c>
      <c r="BB21" s="3">
        <v>0.17160915165509499</v>
      </c>
      <c r="BC21" s="3">
        <v>4.1158432563340169E-4</v>
      </c>
      <c r="BD21" s="3">
        <v>4.0297141885174088E-2</v>
      </c>
      <c r="BE21" s="3">
        <v>8.5411312749031854E-2</v>
      </c>
      <c r="BF21" s="3">
        <v>7.3049805953308941E-2</v>
      </c>
      <c r="BG21" s="3">
        <v>5.8671099403717807E-2</v>
      </c>
      <c r="BH21" s="3">
        <v>-5.4033315999178183E-2</v>
      </c>
      <c r="BI21" s="3">
        <v>0.13024123312691269</v>
      </c>
      <c r="BJ21" s="3">
        <v>-4.3739446976501041E-2</v>
      </c>
      <c r="BK21" s="3">
        <v>1.9817760907574131E-2</v>
      </c>
      <c r="BL21" s="3">
        <v>7.38983610547818E-2</v>
      </c>
      <c r="BM21" s="3">
        <v>2.1030566698527941E-2</v>
      </c>
      <c r="BN21" s="3">
        <v>-4.6908641689165788E-2</v>
      </c>
      <c r="BO21" s="3">
        <v>-2.3329349551893312E-2</v>
      </c>
      <c r="BP21" s="3">
        <v>7.2557031154580976E-3</v>
      </c>
      <c r="BQ21" s="3">
        <v>5.3001801296873978E-2</v>
      </c>
      <c r="BR21" s="3">
        <v>0.11608044754943179</v>
      </c>
      <c r="BS21" s="3">
        <v>3.0240555392072131E-2</v>
      </c>
      <c r="BT21" s="3">
        <v>7.0903105683998963E-2</v>
      </c>
      <c r="BU21" s="3">
        <v>0.1206456192596245</v>
      </c>
      <c r="BV21" s="3">
        <v>9.375099551357774E-2</v>
      </c>
      <c r="BW21" s="3">
        <v>0.74413891496198614</v>
      </c>
      <c r="BX21" s="3">
        <v>1.186456190440926E-2</v>
      </c>
      <c r="BY21" s="3">
        <v>0.14570050120680819</v>
      </c>
      <c r="BZ21" s="3">
        <v>0.13553888215175769</v>
      </c>
      <c r="CA21" s="3">
        <v>-6.4425452125378285E-2</v>
      </c>
      <c r="CB21" s="3">
        <v>1.4108014763552921E-2</v>
      </c>
      <c r="CC21" s="3">
        <v>1.3623833821408551E-2</v>
      </c>
      <c r="CD21" s="3">
        <v>0.17573049951137229</v>
      </c>
      <c r="CE21" s="3">
        <v>9.8369735843007122E-2</v>
      </c>
      <c r="CF21" s="3">
        <v>-4.0589110768375042E-2</v>
      </c>
      <c r="CG21" s="3">
        <v>0.15927359457683959</v>
      </c>
      <c r="CH21" s="3">
        <v>0.25329434074649659</v>
      </c>
      <c r="CI21" s="3">
        <v>6.5506550303270336E-2</v>
      </c>
      <c r="CJ21" s="3">
        <v>2.0463417169692241E-2</v>
      </c>
      <c r="CK21" s="3">
        <v>8.2129679352075671E-2</v>
      </c>
      <c r="CL21" s="3">
        <v>0.1535994742124924</v>
      </c>
      <c r="CM21" s="3">
        <v>-1.4313560548067849E-2</v>
      </c>
      <c r="CN21" s="3">
        <v>0.34881038262445718</v>
      </c>
      <c r="CO21" s="3">
        <v>0.38264897668121428</v>
      </c>
      <c r="CP21" s="3">
        <v>0.14713751107431511</v>
      </c>
      <c r="CQ21" s="3">
        <v>0.1726122038726319</v>
      </c>
      <c r="CR21" s="3">
        <v>0.1100291675230466</v>
      </c>
      <c r="CS21" s="3">
        <v>7.7674598428972341E-2</v>
      </c>
      <c r="CT21" s="3">
        <v>-5.8440236179834883E-2</v>
      </c>
      <c r="CU21" s="3">
        <v>0.20327199106987889</v>
      </c>
      <c r="CV21" s="3">
        <v>0.1241981757782574</v>
      </c>
      <c r="CW21" s="3">
        <v>5.7318893443748763E-2</v>
      </c>
      <c r="CX21" s="3">
        <v>8.9984804403764093E-2</v>
      </c>
      <c r="CY21" s="3">
        <v>3.1904052405698047E-2</v>
      </c>
      <c r="CZ21" s="3">
        <v>0.35365801056312779</v>
      </c>
      <c r="DA21" s="3">
        <v>0.16419571470931801</v>
      </c>
      <c r="DB21" s="3">
        <v>0.54278451588864418</v>
      </c>
      <c r="DC21" s="3">
        <v>2.7827979423477211E-2</v>
      </c>
      <c r="DD21" s="3">
        <v>0.14729329062854421</v>
      </c>
      <c r="DE21" s="3">
        <v>0.12057922651584541</v>
      </c>
      <c r="DF21" s="3">
        <v>0.15967955301126791</v>
      </c>
      <c r="DG21" s="3">
        <v>0.1034389759811969</v>
      </c>
      <c r="DH21" s="3">
        <v>5.8054740994981369E-2</v>
      </c>
      <c r="DI21" s="3">
        <v>-8.8490294791425422E-2</v>
      </c>
      <c r="DJ21" s="3">
        <v>3.3880716255357969E-2</v>
      </c>
      <c r="DK21" s="3">
        <v>-7.9713030825021847E-3</v>
      </c>
      <c r="DL21" s="3">
        <v>7.7909250548676007E-3</v>
      </c>
      <c r="DM21" s="3">
        <v>2.7372971301124441E-2</v>
      </c>
      <c r="DN21" s="3">
        <v>-6.1937008270766128E-3</v>
      </c>
      <c r="DO21" s="3">
        <v>9.1271509669276024E-2</v>
      </c>
      <c r="DP21" s="3">
        <v>0.1092847336965351</v>
      </c>
      <c r="DQ21" s="3">
        <v>0.1153762863052351</v>
      </c>
      <c r="DR21" s="3">
        <v>3.7815930770526772E-2</v>
      </c>
      <c r="DS21" s="3">
        <v>-0.1117094927619277</v>
      </c>
      <c r="DT21" s="3">
        <v>1.2213702530206001E-2</v>
      </c>
      <c r="DU21" s="3">
        <v>0.16966916978907809</v>
      </c>
      <c r="DV21" s="3">
        <v>0.15424053415942221</v>
      </c>
      <c r="DW21" s="3">
        <v>-8.0034655869876029E-2</v>
      </c>
      <c r="DX21" s="3">
        <v>0.28882725094266359</v>
      </c>
      <c r="DY21" s="3">
        <v>8.5503997881876515E-2</v>
      </c>
      <c r="DZ21" s="3">
        <v>-2.7879929318399201E-2</v>
      </c>
      <c r="EA21" s="3">
        <v>-1.7261720520197268E-2</v>
      </c>
      <c r="EB21" s="3">
        <v>0.1134840422678718</v>
      </c>
      <c r="EC21" s="3">
        <v>0.1227551516037841</v>
      </c>
      <c r="ED21" s="3">
        <v>0.13007366078017049</v>
      </c>
      <c r="EE21" s="3">
        <v>7.677964030480533E-2</v>
      </c>
      <c r="EF21" s="3">
        <v>0.14207235742862129</v>
      </c>
      <c r="EG21" s="3">
        <v>0.64491058098618292</v>
      </c>
      <c r="EH21" s="3">
        <v>1.6722419404789239E-2</v>
      </c>
      <c r="EI21" s="3">
        <v>7.9567913572800006E-2</v>
      </c>
      <c r="EJ21" s="3">
        <v>0.1072847839781014</v>
      </c>
      <c r="EK21" s="3">
        <v>0.2307943970845171</v>
      </c>
      <c r="EL21" s="3">
        <v>1.235958723230245E-2</v>
      </c>
      <c r="EM21" s="3">
        <v>3.7927258210677758E-2</v>
      </c>
      <c r="EN21">
        <f t="shared" si="11"/>
        <v>0.13151541414450121</v>
      </c>
      <c r="EO21">
        <f t="shared" si="12"/>
        <v>0.28838641050094382</v>
      </c>
    </row>
    <row r="22" spans="1:145" x14ac:dyDescent="0.3">
      <c r="A22" s="11">
        <v>400</v>
      </c>
      <c r="B22" s="11">
        <f t="shared" si="10"/>
        <v>3</v>
      </c>
      <c r="C22" s="3">
        <v>0.25793566894295289</v>
      </c>
      <c r="D22" s="3">
        <v>9.7078635094302868E-2</v>
      </c>
      <c r="E22" s="3">
        <v>5.6483430217735449E-2</v>
      </c>
      <c r="F22" s="3">
        <v>-0.22627169996124141</v>
      </c>
      <c r="G22" s="3">
        <v>0.10152145574879071</v>
      </c>
      <c r="H22" s="3">
        <v>-6.3927272037016994E-2</v>
      </c>
      <c r="I22" s="3">
        <v>-0.1116926933374386</v>
      </c>
      <c r="J22" s="3">
        <v>0.18735200064396221</v>
      </c>
      <c r="K22" s="3">
        <v>0.10018877924110441</v>
      </c>
      <c r="L22" s="3">
        <v>-0.1031529513998304</v>
      </c>
      <c r="M22" s="3">
        <v>2.5864570330028629E-2</v>
      </c>
      <c r="N22" s="3">
        <v>0.14424475479179641</v>
      </c>
      <c r="O22" s="3">
        <v>7.9417048799701059E-2</v>
      </c>
      <c r="P22" s="3">
        <v>-3.9720683379051692E-2</v>
      </c>
      <c r="Q22" s="3">
        <v>-0.1071836608109504</v>
      </c>
      <c r="R22" s="3">
        <v>-0.12545623547788651</v>
      </c>
      <c r="S22" s="3">
        <v>0.15006294153887481</v>
      </c>
      <c r="T22" s="3">
        <v>-0.1288247849692781</v>
      </c>
      <c r="U22" s="3">
        <v>6.7923684590144418E-2</v>
      </c>
      <c r="V22" s="3">
        <v>1.4273754540455401E-2</v>
      </c>
      <c r="W22" s="3">
        <v>0.1717331193805739</v>
      </c>
      <c r="X22" s="3">
        <v>0.23305521180861891</v>
      </c>
      <c r="Y22" s="3">
        <v>0.15521448078446751</v>
      </c>
      <c r="Z22" s="3">
        <v>0.20076175005764799</v>
      </c>
      <c r="AA22" s="3">
        <v>0.13849649835626271</v>
      </c>
      <c r="AB22" s="3">
        <v>8.4826693271762246E-2</v>
      </c>
      <c r="AC22" s="3">
        <v>0.10577406535497751</v>
      </c>
      <c r="AD22" s="3">
        <v>-1.3727861721694881E-4</v>
      </c>
      <c r="AE22" s="3">
        <v>1.9176259936593359E-2</v>
      </c>
      <c r="AF22" s="3">
        <v>2.3036066913246708E-2</v>
      </c>
      <c r="AG22" s="3">
        <v>3.3350930895880843E-2</v>
      </c>
      <c r="AH22" s="3">
        <v>-3.8286373386914152E-2</v>
      </c>
      <c r="AI22" s="3">
        <v>5.3577235947012428E-2</v>
      </c>
      <c r="AJ22" s="3">
        <v>5.8810686997104317E-2</v>
      </c>
      <c r="AK22" s="3">
        <v>4.6956369973556379E-2</v>
      </c>
      <c r="AL22" s="3">
        <v>0.1228884813871879</v>
      </c>
      <c r="AM22" s="3">
        <v>-3.4772907086901492E-2</v>
      </c>
      <c r="AN22" s="3">
        <v>0.15865965102806801</v>
      </c>
      <c r="AO22" s="3">
        <v>0.16710653522227931</v>
      </c>
      <c r="AP22" s="3">
        <v>-3.5354030163475547E-2</v>
      </c>
      <c r="AQ22" s="3">
        <v>-3.5676191304804129E-2</v>
      </c>
      <c r="AR22" s="3">
        <v>0.1067062613571666</v>
      </c>
      <c r="AS22" s="3">
        <v>-3.447348983734401E-2</v>
      </c>
      <c r="AT22" s="3">
        <v>0.1136043448595091</v>
      </c>
      <c r="AU22" s="3">
        <v>0.25503276870562958</v>
      </c>
      <c r="AV22" s="3">
        <v>3.837441710996236E-2</v>
      </c>
      <c r="AW22" s="3">
        <v>8.1423912716970581E-2</v>
      </c>
      <c r="AX22" s="3">
        <v>-1.235267040282808E-2</v>
      </c>
      <c r="AY22" s="3">
        <v>-8.2053858463436088E-2</v>
      </c>
      <c r="AZ22" s="3">
        <v>6.8336956194319121E-2</v>
      </c>
      <c r="BA22" s="3">
        <v>0.17858892561027201</v>
      </c>
      <c r="BB22" s="3">
        <v>0.21997812087507329</v>
      </c>
      <c r="BC22" s="3">
        <v>6.5096776496837696E-3</v>
      </c>
      <c r="BD22" s="3">
        <v>3.8662233380213101E-2</v>
      </c>
      <c r="BE22" s="3">
        <v>0.12824701052839421</v>
      </c>
      <c r="BF22" s="3">
        <v>7.6185234312938943E-2</v>
      </c>
      <c r="BG22" s="3">
        <v>2.3319928357622661E-2</v>
      </c>
      <c r="BH22" s="3">
        <v>-7.7871912562969492E-2</v>
      </c>
      <c r="BI22" s="3">
        <v>0.16882666652876119</v>
      </c>
      <c r="BJ22" s="3">
        <v>-4.8174890421028467E-2</v>
      </c>
      <c r="BK22" s="3">
        <v>-3.5692234725260452E-2</v>
      </c>
      <c r="BL22" s="3">
        <v>0.11250208997374719</v>
      </c>
      <c r="BM22" s="3">
        <v>2.4304832455331882E-3</v>
      </c>
      <c r="BN22" s="3">
        <v>-6.2968883101377285E-2</v>
      </c>
      <c r="BO22" s="3">
        <v>-3.698398870890876E-2</v>
      </c>
      <c r="BP22" s="3">
        <v>7.6122194698309727E-4</v>
      </c>
      <c r="BQ22" s="3">
        <v>6.1648273742003212E-2</v>
      </c>
      <c r="BR22" s="3">
        <v>5.7307932744411719E-2</v>
      </c>
      <c r="BS22" s="3">
        <v>2.712016115108767E-2</v>
      </c>
      <c r="BT22" s="3">
        <v>5.1499813637057447E-2</v>
      </c>
      <c r="BU22" s="3">
        <v>0.1340820949706148</v>
      </c>
      <c r="BV22" s="3">
        <v>6.4800459041080186E-2</v>
      </c>
      <c r="BW22" s="3">
        <v>0.60853529702806652</v>
      </c>
      <c r="BX22" s="3">
        <v>1.040811265861807E-3</v>
      </c>
      <c r="BY22" s="3">
        <v>0.17136430836626079</v>
      </c>
      <c r="BZ22" s="3">
        <v>0.16064843263190581</v>
      </c>
      <c r="CA22" s="3">
        <v>-0.1144842604799325</v>
      </c>
      <c r="CB22" s="3">
        <v>5.3769024129674027E-2</v>
      </c>
      <c r="CC22" s="3">
        <v>-2.8985205074599091E-2</v>
      </c>
      <c r="CD22" s="3">
        <v>0.1891521398170625</v>
      </c>
      <c r="CE22" s="3">
        <v>-9.0459899189127037E-3</v>
      </c>
      <c r="CF22" s="3">
        <v>-4.0753583055146869E-2</v>
      </c>
      <c r="CG22" s="3">
        <v>0.19442034361166971</v>
      </c>
      <c r="CH22" s="3">
        <v>0.12379773452922389</v>
      </c>
      <c r="CI22" s="3">
        <v>2.0133375227995721E-2</v>
      </c>
      <c r="CJ22" s="3">
        <v>4.2959535774544012E-2</v>
      </c>
      <c r="CK22" s="3">
        <v>8.2938988475884046E-2</v>
      </c>
      <c r="CL22" s="3">
        <v>0.18984926971207791</v>
      </c>
      <c r="CM22" s="3">
        <v>2.7519732995376699E-2</v>
      </c>
      <c r="CN22" s="3">
        <v>0.41222839681601398</v>
      </c>
      <c r="CO22" s="3">
        <v>0.36972458169314543</v>
      </c>
      <c r="CP22" s="3">
        <v>0.22183307846910619</v>
      </c>
      <c r="CQ22" s="3">
        <v>0.19704090568156959</v>
      </c>
      <c r="CR22" s="3">
        <v>0.14607621751306549</v>
      </c>
      <c r="CS22" s="3">
        <v>3.0997208011254999E-2</v>
      </c>
      <c r="CT22" s="3">
        <v>-5.8910983828677141E-2</v>
      </c>
      <c r="CU22" s="3">
        <v>0.2264944028562732</v>
      </c>
      <c r="CV22" s="3">
        <v>0.13953565807150081</v>
      </c>
      <c r="CW22" s="3">
        <v>2.6170199538336769E-3</v>
      </c>
      <c r="CX22" s="3">
        <v>4.2111315056762799E-2</v>
      </c>
      <c r="CY22" s="3">
        <v>9.9882541990078899E-2</v>
      </c>
      <c r="CZ22" s="3">
        <v>0.31733636460954251</v>
      </c>
      <c r="DA22" s="3">
        <v>0.2495854312375464</v>
      </c>
      <c r="DB22" s="3">
        <v>0.43723678795445098</v>
      </c>
      <c r="DC22" s="3">
        <v>5.4667829256515962E-2</v>
      </c>
      <c r="DD22" s="3">
        <v>0.1976671147846025</v>
      </c>
      <c r="DE22" s="3">
        <v>0.160332584475844</v>
      </c>
      <c r="DF22" s="3">
        <v>0.13151151952511</v>
      </c>
      <c r="DG22" s="3">
        <v>0.1570725613484035</v>
      </c>
      <c r="DH22" s="3">
        <v>2.039644559814054E-2</v>
      </c>
      <c r="DI22" s="3">
        <v>-9.5001380455812662E-2</v>
      </c>
      <c r="DJ22" s="3">
        <v>5.9425847507543997E-2</v>
      </c>
      <c r="DK22" s="3">
        <v>8.7946004963479499E-2</v>
      </c>
      <c r="DL22" s="3">
        <v>3.0623323862361648E-2</v>
      </c>
      <c r="DM22" s="3">
        <v>3.0324279145753408E-2</v>
      </c>
      <c r="DN22" s="3">
        <v>-1.2094658780512239E-2</v>
      </c>
      <c r="DO22" s="3">
        <v>7.6583691851997371E-2</v>
      </c>
      <c r="DP22" s="3">
        <v>0.15195731422386319</v>
      </c>
      <c r="DQ22" s="3">
        <v>0.2063685940094511</v>
      </c>
      <c r="DR22" s="3">
        <v>3.2627798777847719E-3</v>
      </c>
      <c r="DS22" s="3">
        <v>-0.14565884588515521</v>
      </c>
      <c r="DT22" s="3">
        <v>-4.3066774161894944E-3</v>
      </c>
      <c r="DU22" s="3">
        <v>0.1019490995980573</v>
      </c>
      <c r="DV22" s="3">
        <v>0.18082540329146141</v>
      </c>
      <c r="DW22" s="3">
        <v>-8.2084746641231693E-2</v>
      </c>
      <c r="DX22" s="3">
        <v>0.17848219813376601</v>
      </c>
      <c r="DY22" s="3">
        <v>9.4431639814960361E-2</v>
      </c>
      <c r="DZ22" s="3">
        <v>-5.1262976494431678E-2</v>
      </c>
      <c r="EA22" s="3">
        <v>1.4226026800740759E-2</v>
      </c>
      <c r="EB22" s="3">
        <v>0.21772829521021331</v>
      </c>
      <c r="EC22" s="3">
        <v>0.160321725011072</v>
      </c>
      <c r="ED22" s="3">
        <v>0.1240664713943877</v>
      </c>
      <c r="EE22" s="3">
        <v>8.1918254460273884E-2</v>
      </c>
      <c r="EF22" s="3">
        <v>0.1106195998892776</v>
      </c>
      <c r="EG22" s="3">
        <v>0.78936046795498704</v>
      </c>
      <c r="EH22" s="3">
        <v>-1.045304778062933E-2</v>
      </c>
      <c r="EI22" s="3">
        <v>6.774151208266152E-2</v>
      </c>
      <c r="EJ22" s="3">
        <v>9.1156245401811359E-2</v>
      </c>
      <c r="EK22" s="3">
        <v>0.1796784165662417</v>
      </c>
      <c r="EL22" s="3">
        <v>1.8000364829209421E-2</v>
      </c>
      <c r="EM22" s="3">
        <v>3.7927258210677758E-2</v>
      </c>
      <c r="EN22">
        <f t="shared" si="11"/>
        <v>0.1333183185866646</v>
      </c>
      <c r="EO22">
        <f t="shared" si="12"/>
        <v>0.2844864727724784</v>
      </c>
    </row>
    <row r="23" spans="1:145" x14ac:dyDescent="0.3">
      <c r="A23" s="11">
        <v>512</v>
      </c>
      <c r="B23" s="11">
        <f t="shared" si="10"/>
        <v>2</v>
      </c>
      <c r="C23" s="3">
        <v>0.35777555713275849</v>
      </c>
      <c r="D23" s="3">
        <v>6.6867363258852119E-2</v>
      </c>
      <c r="E23" s="3">
        <v>0.25484954126765302</v>
      </c>
      <c r="F23" s="3">
        <v>-0.36864529508126409</v>
      </c>
      <c r="G23" s="3">
        <v>0.12802032650436501</v>
      </c>
      <c r="H23" s="3">
        <v>-0.1152062044195543</v>
      </c>
      <c r="I23" s="3">
        <v>-0.13649979235780349</v>
      </c>
      <c r="J23" s="3">
        <v>0.19083876555916091</v>
      </c>
      <c r="K23" s="3">
        <v>9.2504241420423738E-2</v>
      </c>
      <c r="L23" s="3">
        <v>-9.0586661732669396E-2</v>
      </c>
      <c r="M23" s="3">
        <v>-5.7690849800572208E-2</v>
      </c>
      <c r="N23" s="3">
        <v>1.203408112964913E-2</v>
      </c>
      <c r="O23" s="3">
        <v>0.13891835965938201</v>
      </c>
      <c r="P23" s="3">
        <v>-8.0741943225081964E-2</v>
      </c>
      <c r="Q23" s="3">
        <v>-7.3006725828608898E-2</v>
      </c>
      <c r="R23" s="3">
        <v>-3.8271193101257463E-2</v>
      </c>
      <c r="S23" s="3">
        <v>0.13285645102936561</v>
      </c>
      <c r="T23" s="3">
        <v>-0.10206201905089921</v>
      </c>
      <c r="U23" s="3">
        <v>7.5651700427983665E-2</v>
      </c>
      <c r="V23" s="3">
        <v>-3.693070547595817E-2</v>
      </c>
      <c r="W23" s="3">
        <v>4.8424023195706337E-2</v>
      </c>
      <c r="X23" s="3">
        <v>0.212353671116458</v>
      </c>
      <c r="Y23" s="3">
        <v>0.2345330748154523</v>
      </c>
      <c r="Z23" s="3">
        <v>0.1970298712427376</v>
      </c>
      <c r="AA23" s="3">
        <v>0.1765000947735397</v>
      </c>
      <c r="AB23" s="3">
        <v>0.140679347595037</v>
      </c>
      <c r="AC23" s="3">
        <v>0.15851297182785751</v>
      </c>
      <c r="AD23" s="3">
        <v>2.3541363645166239E-2</v>
      </c>
      <c r="AE23" s="3">
        <v>3.841361118099651E-2</v>
      </c>
      <c r="AF23" s="3">
        <v>6.0491107618263033E-2</v>
      </c>
      <c r="AG23" s="3">
        <v>-2.1189689121697549E-2</v>
      </c>
      <c r="AH23" s="3">
        <v>-3.7526630236578477E-2</v>
      </c>
      <c r="AI23" s="3">
        <v>5.8666621704646413E-2</v>
      </c>
      <c r="AJ23" s="3">
        <v>0.1002460872610403</v>
      </c>
      <c r="AK23" s="3">
        <v>3.3128259778250117E-2</v>
      </c>
      <c r="AL23" s="3">
        <v>0.18442573668434281</v>
      </c>
      <c r="AM23" s="3">
        <v>5.2149369651662281E-3</v>
      </c>
      <c r="AN23" s="3">
        <v>0.22337238347001481</v>
      </c>
      <c r="AO23" s="3">
        <v>0.11496483957010351</v>
      </c>
      <c r="AP23" s="3">
        <v>2.6416157469913319E-2</v>
      </c>
      <c r="AQ23" s="3">
        <v>-8.5420043329683143E-2</v>
      </c>
      <c r="AR23" s="3">
        <v>0.1461361643393671</v>
      </c>
      <c r="AS23" s="3">
        <v>-1.422554849226952E-2</v>
      </c>
      <c r="AT23" s="3">
        <v>0.1095059029649002</v>
      </c>
      <c r="AU23" s="3">
        <v>0.17887417960078111</v>
      </c>
      <c r="AV23" s="3">
        <v>8.6997805331056721E-2</v>
      </c>
      <c r="AW23" s="3">
        <v>0.10207256263203331</v>
      </c>
      <c r="AX23" s="3">
        <v>-2.1544253190261061E-3</v>
      </c>
      <c r="AY23" s="3">
        <v>1.063708464808095E-2</v>
      </c>
      <c r="AZ23" s="3">
        <v>7.0864960247728037E-2</v>
      </c>
      <c r="BA23" s="3">
        <v>0.24323520584439651</v>
      </c>
      <c r="BB23" s="3">
        <v>0.40452465500732382</v>
      </c>
      <c r="BC23" s="3">
        <v>-0.25811350311426828</v>
      </c>
      <c r="BD23" s="3">
        <v>2.1133172438465509E-2</v>
      </c>
      <c r="BE23" s="3">
        <v>0.1538802868208442</v>
      </c>
      <c r="BF23" s="3">
        <v>6.7477172248174663E-2</v>
      </c>
      <c r="BG23" s="3">
        <v>-0.14415796456241151</v>
      </c>
      <c r="BH23" s="3">
        <v>-0.14830812032192009</v>
      </c>
      <c r="BI23" s="3">
        <v>0.1280250613732235</v>
      </c>
      <c r="BJ23" s="3">
        <v>-6.0155615362434717E-2</v>
      </c>
      <c r="BK23" s="3">
        <v>-2.6258859962673489E-2</v>
      </c>
      <c r="BL23" s="3">
        <v>0.11436629014166901</v>
      </c>
      <c r="BM23" s="3">
        <v>0.14359569087316271</v>
      </c>
      <c r="BN23" s="3">
        <v>0.11468047386212001</v>
      </c>
      <c r="BO23" s="3">
        <v>-3.488153905128244E-3</v>
      </c>
      <c r="BP23" s="3">
        <v>3.9728950142013322E-4</v>
      </c>
      <c r="BQ23" s="3">
        <v>4.3546560638539143E-2</v>
      </c>
      <c r="BR23" s="3">
        <v>7.6250999939656228E-2</v>
      </c>
      <c r="BS23" s="3">
        <v>-3.8684301627145992E-2</v>
      </c>
      <c r="BT23" s="3">
        <v>0.28622956684937378</v>
      </c>
      <c r="BU23" s="3">
        <v>-3.1412806928151911E-2</v>
      </c>
      <c r="BV23" s="3">
        <v>7.9092535839270756E-2</v>
      </c>
      <c r="BW23" s="3">
        <v>0.71251304447883856</v>
      </c>
      <c r="BX23" s="3">
        <v>-5.1804709161942103E-3</v>
      </c>
      <c r="BY23" s="3">
        <v>0.21287416975223361</v>
      </c>
      <c r="BZ23" s="3">
        <v>0.1364593304960722</v>
      </c>
      <c r="CA23" s="3">
        <v>-7.3995832209295301E-2</v>
      </c>
      <c r="CB23" s="3">
        <v>6.7541938644959776E-2</v>
      </c>
      <c r="CC23" s="3">
        <v>-0.1054450055424908</v>
      </c>
      <c r="CD23" s="3">
        <v>0.18356528024842289</v>
      </c>
      <c r="CE23" s="3">
        <v>-5.5573735061856248E-2</v>
      </c>
      <c r="CF23" s="3">
        <v>-2.522073627663083E-2</v>
      </c>
      <c r="CG23" s="3">
        <v>0.14617513563366091</v>
      </c>
      <c r="CH23" s="3">
        <v>7.2004217241281324E-2</v>
      </c>
      <c r="CI23" s="3">
        <v>2.8542800404725791E-2</v>
      </c>
      <c r="CJ23" s="3">
        <v>7.8053598026479321E-2</v>
      </c>
      <c r="CK23" s="3">
        <v>9.454502736883634E-2</v>
      </c>
      <c r="CL23" s="3">
        <v>0.1073660634001144</v>
      </c>
      <c r="CM23" s="3">
        <v>-7.0339272031075858E-2</v>
      </c>
      <c r="CN23" s="3">
        <v>0.66624098196477832</v>
      </c>
      <c r="CO23" s="3">
        <v>0.3872716262480112</v>
      </c>
      <c r="CP23" s="3">
        <v>0.22023622306131069</v>
      </c>
      <c r="CQ23" s="3">
        <v>0.25737486913006741</v>
      </c>
      <c r="CR23" s="3">
        <v>0.13904514836509371</v>
      </c>
      <c r="CS23" s="3">
        <v>-1.237709388850932E-2</v>
      </c>
      <c r="CT23" s="3">
        <v>-2.683642936440209E-2</v>
      </c>
      <c r="CU23" s="3">
        <v>0.30847004046487708</v>
      </c>
      <c r="CV23" s="3">
        <v>0.14740456628928811</v>
      </c>
      <c r="CW23" s="3">
        <v>3.645730940098877E-2</v>
      </c>
      <c r="CX23" s="3">
        <v>-8.9449053368596265E-3</v>
      </c>
      <c r="CY23" s="3">
        <v>0.1412716404374729</v>
      </c>
      <c r="CZ23" s="3">
        <v>0.46750505569241352</v>
      </c>
      <c r="DA23" s="3">
        <v>0.33554656157618401</v>
      </c>
      <c r="DB23" s="3">
        <v>0.47244152423030122</v>
      </c>
      <c r="DC23" s="3">
        <v>6.7144389919610734E-2</v>
      </c>
      <c r="DD23" s="3">
        <v>0.19050390885092389</v>
      </c>
      <c r="DE23" s="3">
        <v>0.1078908499494108</v>
      </c>
      <c r="DF23" s="3">
        <v>0.1087060746636587</v>
      </c>
      <c r="DG23" s="3">
        <v>0.16317136944205371</v>
      </c>
      <c r="DH23" s="3">
        <v>-1.9454342306546791E-2</v>
      </c>
      <c r="DI23" s="3">
        <v>-5.6249034715429358E-2</v>
      </c>
      <c r="DJ23" s="3">
        <v>8.2931767020582692E-2</v>
      </c>
      <c r="DK23" s="3">
        <v>-6.4030548763938988E-2</v>
      </c>
      <c r="DL23" s="3">
        <v>5.7699722774266562E-2</v>
      </c>
      <c r="DM23" s="3">
        <v>3.8944085817089649E-2</v>
      </c>
      <c r="DN23" s="3">
        <v>-4.5555740236822809E-2</v>
      </c>
      <c r="DO23" s="3">
        <v>8.4263723421134737E-2</v>
      </c>
      <c r="DP23" s="3">
        <v>0.24395189631621161</v>
      </c>
      <c r="DQ23" s="3">
        <v>0.28621342352234758</v>
      </c>
      <c r="DR23" s="3">
        <v>5.966600978238111E-3</v>
      </c>
      <c r="DS23" s="3">
        <v>-8.7039496891453447E-2</v>
      </c>
      <c r="DT23" s="3">
        <v>-8.6836503313320823E-2</v>
      </c>
      <c r="DU23" s="3">
        <v>0.21992880752350721</v>
      </c>
      <c r="DV23" s="3">
        <v>0.1799177591820291</v>
      </c>
      <c r="DW23" s="3">
        <v>-9.4583692497325164E-2</v>
      </c>
      <c r="DX23" s="3">
        <v>0.1194623221597045</v>
      </c>
      <c r="DY23" s="3">
        <v>7.5473469639061597E-2</v>
      </c>
      <c r="DZ23" s="3">
        <v>2.8376090268752999E-2</v>
      </c>
      <c r="EA23" s="3">
        <v>-7.0873455144708136E-2</v>
      </c>
      <c r="EB23" s="3">
        <v>-8.4038686188414521E-3</v>
      </c>
      <c r="EC23" s="3">
        <v>0.1267087765096391</v>
      </c>
      <c r="ED23" s="3">
        <v>0.1955140035530368</v>
      </c>
      <c r="EE23" s="3">
        <v>7.5235554211824485E-2</v>
      </c>
      <c r="EF23" s="3">
        <v>0.1234889051919341</v>
      </c>
      <c r="EG23" s="3">
        <v>1.1514403975439409E-2</v>
      </c>
      <c r="EH23" s="3">
        <v>-4.3995712249703417E-2</v>
      </c>
      <c r="EI23" s="3">
        <v>7.8480770234645114E-2</v>
      </c>
      <c r="EJ23" s="3">
        <v>6.9258191702631616E-2</v>
      </c>
      <c r="EK23" s="3">
        <v>0.1022318833201917</v>
      </c>
      <c r="EL23" s="3">
        <v>5.6969142469088629E-2</v>
      </c>
      <c r="EM23" s="3">
        <v>3.7927258210677758E-2</v>
      </c>
      <c r="EN23">
        <f t="shared" si="11"/>
        <v>0.15012462871789242</v>
      </c>
      <c r="EO23">
        <f t="shared" si="12"/>
        <v>0.25263848133772232</v>
      </c>
    </row>
    <row r="24" spans="1:145" x14ac:dyDescent="0.3">
      <c r="A24" s="11">
        <v>1051</v>
      </c>
      <c r="B24" s="11">
        <f t="shared" si="10"/>
        <v>1</v>
      </c>
      <c r="C24" s="3">
        <v>0.1195719269206533</v>
      </c>
      <c r="D24" s="3">
        <v>1.4596789049646281E-2</v>
      </c>
      <c r="E24" s="3">
        <v>0.28451249769050191</v>
      </c>
      <c r="F24" s="3">
        <v>-0.1580892434061866</v>
      </c>
      <c r="G24" s="3">
        <v>-8.4034107963793792E-3</v>
      </c>
      <c r="H24" s="3">
        <v>-5.0115467793482728E-2</v>
      </c>
      <c r="I24" s="3">
        <v>-2.111933203143501E-3</v>
      </c>
      <c r="J24" s="3">
        <v>0.10566249361573039</v>
      </c>
      <c r="K24" s="3">
        <v>6.2731176803512284E-3</v>
      </c>
      <c r="L24" s="3">
        <v>-9.3799693256750388E-2</v>
      </c>
      <c r="M24" s="3">
        <v>-0.14681933889950849</v>
      </c>
      <c r="N24" s="3">
        <v>8.536984495275618E-2</v>
      </c>
      <c r="O24" s="3">
        <v>0.2198594761130199</v>
      </c>
      <c r="P24" s="3">
        <v>-7.6405112239405312E-2</v>
      </c>
      <c r="Q24" s="3">
        <v>-0.32105855191797139</v>
      </c>
      <c r="R24" s="3">
        <v>4.6083772939745117E-2</v>
      </c>
      <c r="S24" s="3">
        <v>3.6150089064900671E-2</v>
      </c>
      <c r="T24" s="3">
        <v>-8.8277039732943041E-2</v>
      </c>
      <c r="U24" s="3">
        <v>0.30919444069977681</v>
      </c>
      <c r="V24" s="3">
        <v>1.335017385605664E-2</v>
      </c>
      <c r="W24" s="3">
        <v>7.1742125260336478E-2</v>
      </c>
      <c r="X24" s="3">
        <v>2.107472283478257E-2</v>
      </c>
      <c r="Y24" s="3">
        <v>0.53575172154357498</v>
      </c>
      <c r="Z24" s="3">
        <v>0.1113961829616042</v>
      </c>
      <c r="AA24" s="3">
        <v>0.16469183248312519</v>
      </c>
      <c r="AB24" s="3">
        <v>5.6933527658945063E-2</v>
      </c>
      <c r="AC24" s="3">
        <v>0.127496461857486</v>
      </c>
      <c r="AD24" s="3">
        <v>1.107933645208954E-2</v>
      </c>
      <c r="AE24" s="3">
        <v>9.5238271723366297E-2</v>
      </c>
      <c r="AF24" s="3">
        <v>0.1079667421656179</v>
      </c>
      <c r="AG24" s="3">
        <v>-1.80465383010542E-2</v>
      </c>
      <c r="AH24" s="3">
        <v>-8.2887659805767649E-2</v>
      </c>
      <c r="AI24" s="3">
        <v>-1.112199618336919E-2</v>
      </c>
      <c r="AJ24" s="3">
        <v>-1.6284344455678199E-2</v>
      </c>
      <c r="AK24" s="3">
        <v>-6.4725145056174771E-3</v>
      </c>
      <c r="AL24" s="3">
        <v>5.8240919711176897E-2</v>
      </c>
      <c r="AM24" s="3">
        <v>-8.435424716874082E-2</v>
      </c>
      <c r="AN24" s="3">
        <v>0.13505605133774601</v>
      </c>
      <c r="AO24" s="3">
        <v>0.24763457132250549</v>
      </c>
      <c r="AP24" s="3">
        <v>0.21288030074375669</v>
      </c>
      <c r="AQ24" s="3">
        <v>-8.2275761585327012E-2</v>
      </c>
      <c r="AR24" s="3">
        <v>0.1708334061708256</v>
      </c>
      <c r="AS24" s="3">
        <v>-8.7884824661623284E-2</v>
      </c>
      <c r="AT24" s="3">
        <v>0.15076897992568081</v>
      </c>
      <c r="AU24" s="3">
        <v>6.6691374498672351E-2</v>
      </c>
      <c r="AV24" s="3">
        <v>0.1207272482979027</v>
      </c>
      <c r="AW24" s="3">
        <v>0.1266311396847648</v>
      </c>
      <c r="AX24" s="3">
        <v>5.7381631685547677E-2</v>
      </c>
      <c r="AY24" s="3">
        <v>7.7673038318218118E-2</v>
      </c>
      <c r="AZ24" s="3">
        <v>1.355060702992845E-2</v>
      </c>
      <c r="BA24" s="3">
        <v>5.0491305412012258E-2</v>
      </c>
      <c r="BB24" s="3">
        <v>0.71041054669505987</v>
      </c>
      <c r="BC24" s="3">
        <v>0.1068403462157004</v>
      </c>
      <c r="BD24" s="3">
        <v>1.8631034086863729E-2</v>
      </c>
      <c r="BE24" s="3">
        <v>0.18174521111933989</v>
      </c>
      <c r="BF24" s="3">
        <v>0.1131951927712625</v>
      </c>
      <c r="BG24" s="3">
        <v>-3.7453901348419881E-2</v>
      </c>
      <c r="BH24" s="3">
        <v>6.4637946129781687E-2</v>
      </c>
      <c r="BI24" s="3">
        <v>8.0134327232543934E-2</v>
      </c>
      <c r="BJ24" s="3">
        <v>-0.1073290202304986</v>
      </c>
      <c r="BK24" s="3">
        <v>-1.8101958242884169E-2</v>
      </c>
      <c r="BL24" s="3">
        <v>0.1061069201511666</v>
      </c>
      <c r="BM24" s="3">
        <v>8.4782939838988242E-2</v>
      </c>
      <c r="BN24" s="3">
        <v>0.10891326031654749</v>
      </c>
      <c r="BO24" s="3">
        <v>-1.246806243687207E-2</v>
      </c>
      <c r="BP24" s="3">
        <v>3.1794104329889807E-2</v>
      </c>
      <c r="BQ24" s="3">
        <v>-3.5225639816446698E-2</v>
      </c>
      <c r="BR24" s="3">
        <v>9.8920889185241626E-2</v>
      </c>
      <c r="BS24" s="3">
        <v>-6.077355152761453E-2</v>
      </c>
      <c r="BT24" s="3">
        <v>0.27671901614020838</v>
      </c>
      <c r="BU24" s="3">
        <v>8.7484923148454363E-3</v>
      </c>
      <c r="BV24" s="3">
        <v>1.5900700777943141E-2</v>
      </c>
      <c r="BW24" s="3">
        <v>1.109012070037362</v>
      </c>
      <c r="BX24" s="3">
        <v>-5.0460327704092367E-2</v>
      </c>
      <c r="BY24" s="3">
        <v>0.33244429270851772</v>
      </c>
      <c r="BZ24" s="3">
        <v>0.14650057624254059</v>
      </c>
      <c r="CA24" s="3">
        <v>-3.1201330839880019E-2</v>
      </c>
      <c r="CB24" s="3">
        <v>0.1195932691951605</v>
      </c>
      <c r="CC24" s="3">
        <v>-0.3113080483547267</v>
      </c>
      <c r="CD24" s="3">
        <v>0.17425983661221131</v>
      </c>
      <c r="CE24" s="3">
        <v>-5.5004727302352542E-2</v>
      </c>
      <c r="CF24" s="3">
        <v>2.1277398447285101E-2</v>
      </c>
      <c r="CG24" s="3">
        <v>0.2190780701609962</v>
      </c>
      <c r="CH24" s="3">
        <v>-0.10090284711822679</v>
      </c>
      <c r="CI24" s="3">
        <v>2.417374423222074E-2</v>
      </c>
      <c r="CJ24" s="3">
        <v>-0.2769300314259881</v>
      </c>
      <c r="CK24" s="3">
        <v>0.32305926532838408</v>
      </c>
      <c r="CL24" s="3">
        <v>-3.9863016708614751E-4</v>
      </c>
      <c r="CM24" s="3">
        <v>0.1942455245013085</v>
      </c>
      <c r="CN24" s="3">
        <v>0.60755967397716704</v>
      </c>
      <c r="CO24" s="3">
        <v>0.71572900872536049</v>
      </c>
      <c r="CP24" s="3">
        <v>0.36763512217035532</v>
      </c>
      <c r="CQ24" s="3">
        <v>0.25797282554074719</v>
      </c>
      <c r="CR24" s="3">
        <v>3.7598107081364518E-2</v>
      </c>
      <c r="CS24" s="3">
        <v>-0.14878022684368769</v>
      </c>
      <c r="CT24" s="3">
        <v>2.79181415401237E-2</v>
      </c>
      <c r="CU24" s="3">
        <v>0.18938056477442111</v>
      </c>
      <c r="CV24" s="3">
        <v>-2.8210625589951441E-2</v>
      </c>
      <c r="CW24" s="3">
        <v>0.25400561569247271</v>
      </c>
      <c r="CX24" s="3">
        <v>7.1268730407826664E-2</v>
      </c>
      <c r="CY24" s="3">
        <v>0.35937053635460819</v>
      </c>
      <c r="CZ24" s="3">
        <v>0.54338860202356432</v>
      </c>
      <c r="DA24" s="3">
        <v>0.63497970549868787</v>
      </c>
      <c r="DB24" s="3">
        <v>0.8122624029453327</v>
      </c>
      <c r="DC24" s="3">
        <v>0.17759040607149931</v>
      </c>
      <c r="DD24" s="3">
        <v>-9.4076052939118207E-2</v>
      </c>
      <c r="DE24" s="3">
        <v>0.24652399995827351</v>
      </c>
      <c r="DF24" s="3">
        <v>0.11490547157911871</v>
      </c>
      <c r="DG24" s="3">
        <v>0.17535472698047019</v>
      </c>
      <c r="DH24" s="3">
        <v>-5.7574982407724462E-2</v>
      </c>
      <c r="DI24" s="3">
        <v>-0.15633194545936091</v>
      </c>
      <c r="DJ24" s="3">
        <v>-0.2283287884416744</v>
      </c>
      <c r="DK24" s="3">
        <v>-0.16445858746947031</v>
      </c>
      <c r="DL24" s="3">
        <v>6.6461452331673526E-2</v>
      </c>
      <c r="DM24" s="3">
        <v>-4.2353050450762118E-2</v>
      </c>
      <c r="DN24" s="3">
        <v>1.669345007318675E-2</v>
      </c>
      <c r="DO24" s="3">
        <v>0.11414128427350791</v>
      </c>
      <c r="DP24" s="3">
        <v>0.24763118286460969</v>
      </c>
      <c r="DQ24" s="3">
        <v>0.21335554494804679</v>
      </c>
      <c r="DR24" s="3">
        <v>-2.0879617984008361E-2</v>
      </c>
      <c r="DS24" s="3">
        <v>-0.18338648836583829</v>
      </c>
      <c r="DT24" s="3">
        <v>-2.6132292723743459E-2</v>
      </c>
      <c r="DU24" s="3">
        <v>0.20726187808016791</v>
      </c>
      <c r="DV24" s="3">
        <v>0.3943185180150649</v>
      </c>
      <c r="DW24" s="3">
        <v>0.10118249665524411</v>
      </c>
      <c r="DX24" s="3">
        <v>3.2735606118811017E-2</v>
      </c>
      <c r="DY24" s="3">
        <v>1.5745448665567261E-3</v>
      </c>
      <c r="DZ24" s="3">
        <v>-0.1259358833744543</v>
      </c>
      <c r="EA24" s="3">
        <v>-0.1119216985739806</v>
      </c>
      <c r="EB24" s="3">
        <v>-1.3784960629814599E-4</v>
      </c>
      <c r="EC24" s="3">
        <v>1.0700236684894671E-2</v>
      </c>
      <c r="ED24" s="3">
        <v>0.1677164345665936</v>
      </c>
      <c r="EE24" s="3">
        <v>0.1472306648882005</v>
      </c>
      <c r="EF24" s="3">
        <v>0.23386286830604011</v>
      </c>
      <c r="EG24" s="3">
        <v>-3.1459377333190958E-2</v>
      </c>
      <c r="EH24" s="3">
        <v>-0.12906694178839229</v>
      </c>
      <c r="EI24" s="3">
        <v>0.1117442810214329</v>
      </c>
      <c r="EJ24" s="3">
        <v>0.1008145162212517</v>
      </c>
      <c r="EK24" s="3">
        <v>7.452577909121666E-2</v>
      </c>
      <c r="EL24" s="3">
        <v>-0.1634654900557225</v>
      </c>
      <c r="EM24" s="3">
        <v>3.7927258210677758E-2</v>
      </c>
      <c r="EN24">
        <f t="shared" si="11"/>
        <v>0.20767073505480796</v>
      </c>
      <c r="EO24">
        <f t="shared" si="12"/>
        <v>0.1826316943534104</v>
      </c>
    </row>
    <row r="25" spans="1:145" x14ac:dyDescent="0.3">
      <c r="A25" s="11" t="s">
        <v>154</v>
      </c>
      <c r="B25" s="11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1"/>
        <v>4.3085790719846702E-2</v>
      </c>
      <c r="EO25" s="7">
        <f t="shared" si="12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B27" s="12" t="s">
        <v>156</v>
      </c>
      <c r="C27" s="4" t="s">
        <v>157</v>
      </c>
      <c r="D27" s="4" t="s">
        <v>157</v>
      </c>
      <c r="E27" s="4" t="s">
        <v>157</v>
      </c>
      <c r="F27" s="4" t="s">
        <v>158</v>
      </c>
      <c r="G27" s="4" t="s">
        <v>159</v>
      </c>
      <c r="H27" s="4" t="s">
        <v>157</v>
      </c>
      <c r="I27" s="4" t="s">
        <v>160</v>
      </c>
      <c r="J27" s="4" t="s">
        <v>160</v>
      </c>
      <c r="K27" s="4" t="s">
        <v>161</v>
      </c>
      <c r="L27" s="4" t="s">
        <v>157</v>
      </c>
      <c r="M27" s="4" t="s">
        <v>162</v>
      </c>
      <c r="N27" s="4" t="s">
        <v>157</v>
      </c>
      <c r="O27" s="4" t="s">
        <v>162</v>
      </c>
      <c r="P27" s="4" t="s">
        <v>157</v>
      </c>
      <c r="Q27" s="4" t="s">
        <v>162</v>
      </c>
      <c r="R27" s="4" t="s">
        <v>157</v>
      </c>
      <c r="S27" s="4" t="s">
        <v>163</v>
      </c>
      <c r="T27" s="4" t="s">
        <v>163</v>
      </c>
      <c r="U27" s="4" t="s">
        <v>161</v>
      </c>
      <c r="V27" s="4" t="s">
        <v>164</v>
      </c>
      <c r="W27" s="4" t="s">
        <v>161</v>
      </c>
      <c r="X27" s="4" t="s">
        <v>165</v>
      </c>
      <c r="Y27" s="4" t="s">
        <v>166</v>
      </c>
      <c r="Z27" s="4" t="s">
        <v>167</v>
      </c>
      <c r="AA27" s="4" t="s">
        <v>168</v>
      </c>
      <c r="AB27" s="4" t="s">
        <v>164</v>
      </c>
      <c r="AC27" s="4" t="s">
        <v>167</v>
      </c>
      <c r="AD27" s="4" t="s">
        <v>161</v>
      </c>
      <c r="AE27" s="4" t="s">
        <v>169</v>
      </c>
      <c r="AF27" s="4" t="s">
        <v>170</v>
      </c>
      <c r="AG27" s="4" t="s">
        <v>164</v>
      </c>
      <c r="AH27" s="4" t="s">
        <v>164</v>
      </c>
      <c r="AI27" s="4" t="s">
        <v>170</v>
      </c>
      <c r="AJ27" s="4" t="s">
        <v>164</v>
      </c>
      <c r="AK27" s="4" t="s">
        <v>164</v>
      </c>
      <c r="AL27" s="4" t="s">
        <v>161</v>
      </c>
      <c r="AM27" s="4" t="s">
        <v>164</v>
      </c>
      <c r="AN27" s="4" t="s">
        <v>164</v>
      </c>
      <c r="AO27" s="4" t="s">
        <v>168</v>
      </c>
      <c r="AP27" s="4" t="s">
        <v>164</v>
      </c>
      <c r="AQ27" s="4" t="s">
        <v>167</v>
      </c>
      <c r="AR27" s="4" t="s">
        <v>161</v>
      </c>
      <c r="AS27" s="4" t="s">
        <v>167</v>
      </c>
      <c r="AT27" s="4" t="s">
        <v>171</v>
      </c>
      <c r="AU27" s="4" t="s">
        <v>161</v>
      </c>
      <c r="AV27" s="4" t="s">
        <v>171</v>
      </c>
      <c r="AW27" s="4" t="s">
        <v>166</v>
      </c>
      <c r="AX27" s="4" t="s">
        <v>171</v>
      </c>
      <c r="AY27" s="4" t="s">
        <v>164</v>
      </c>
      <c r="AZ27" s="4" t="s">
        <v>161</v>
      </c>
      <c r="BA27" s="4" t="s">
        <v>161</v>
      </c>
      <c r="BB27" s="4" t="s">
        <v>172</v>
      </c>
      <c r="BC27" s="4" t="s">
        <v>164</v>
      </c>
      <c r="BD27" s="4" t="s">
        <v>161</v>
      </c>
      <c r="BE27" s="4" t="s">
        <v>173</v>
      </c>
      <c r="BF27" s="4" t="s">
        <v>173</v>
      </c>
      <c r="BG27" s="4" t="s">
        <v>173</v>
      </c>
      <c r="BH27" s="4" t="s">
        <v>173</v>
      </c>
      <c r="BI27" s="4" t="s">
        <v>174</v>
      </c>
      <c r="BJ27" s="4" t="s">
        <v>175</v>
      </c>
      <c r="BK27" s="4" t="s">
        <v>175</v>
      </c>
      <c r="BL27" s="4" t="s">
        <v>174</v>
      </c>
      <c r="BM27" s="4" t="s">
        <v>174</v>
      </c>
      <c r="BN27" s="4" t="s">
        <v>175</v>
      </c>
      <c r="BO27" s="4" t="s">
        <v>164</v>
      </c>
      <c r="BP27" s="4" t="s">
        <v>175</v>
      </c>
      <c r="BQ27" s="4" t="s">
        <v>164</v>
      </c>
      <c r="BR27" s="4" t="s">
        <v>174</v>
      </c>
      <c r="BS27" s="4" t="s">
        <v>176</v>
      </c>
      <c r="BT27" s="4" t="s">
        <v>175</v>
      </c>
      <c r="BU27" s="4" t="s">
        <v>175</v>
      </c>
      <c r="BV27" s="4" t="s">
        <v>176</v>
      </c>
      <c r="BW27" s="4" t="s">
        <v>176</v>
      </c>
      <c r="BX27" s="4" t="s">
        <v>175</v>
      </c>
      <c r="BY27" s="4" t="s">
        <v>175</v>
      </c>
      <c r="BZ27" s="4" t="s">
        <v>164</v>
      </c>
      <c r="CA27" s="4" t="s">
        <v>164</v>
      </c>
      <c r="CB27" s="4" t="s">
        <v>177</v>
      </c>
      <c r="CC27" s="4" t="s">
        <v>178</v>
      </c>
      <c r="CD27" s="4" t="s">
        <v>164</v>
      </c>
      <c r="CE27" s="4" t="s">
        <v>179</v>
      </c>
      <c r="CF27" s="4" t="s">
        <v>164</v>
      </c>
      <c r="CG27" s="4" t="s">
        <v>180</v>
      </c>
      <c r="CH27" s="4" t="s">
        <v>181</v>
      </c>
      <c r="CI27" s="4" t="s">
        <v>181</v>
      </c>
      <c r="CJ27" s="4" t="s">
        <v>180</v>
      </c>
      <c r="CK27" s="4" t="s">
        <v>180</v>
      </c>
      <c r="CL27" s="4" t="s">
        <v>181</v>
      </c>
      <c r="CM27" s="4" t="s">
        <v>177</v>
      </c>
      <c r="CN27" s="4" t="s">
        <v>182</v>
      </c>
      <c r="CO27" s="4" t="s">
        <v>177</v>
      </c>
      <c r="CP27" s="4" t="s">
        <v>181</v>
      </c>
      <c r="CQ27" s="4" t="s">
        <v>182</v>
      </c>
      <c r="CR27" s="4" t="s">
        <v>179</v>
      </c>
      <c r="CS27" s="4" t="s">
        <v>182</v>
      </c>
      <c r="CT27" s="4" t="s">
        <v>179</v>
      </c>
      <c r="CU27" s="4" t="s">
        <v>171</v>
      </c>
      <c r="CV27" s="4" t="s">
        <v>183</v>
      </c>
      <c r="CW27" s="4" t="s">
        <v>184</v>
      </c>
      <c r="CX27" s="4" t="s">
        <v>181</v>
      </c>
      <c r="CY27" s="4" t="s">
        <v>185</v>
      </c>
      <c r="CZ27" s="4" t="s">
        <v>164</v>
      </c>
      <c r="DA27" s="4" t="s">
        <v>186</v>
      </c>
      <c r="DB27" s="4" t="s">
        <v>187</v>
      </c>
      <c r="DC27" s="4" t="s">
        <v>164</v>
      </c>
      <c r="DD27" s="4" t="s">
        <v>188</v>
      </c>
      <c r="DE27" s="4" t="s">
        <v>189</v>
      </c>
      <c r="DF27" s="4" t="s">
        <v>164</v>
      </c>
      <c r="DG27" s="4" t="s">
        <v>187</v>
      </c>
      <c r="DH27" s="4" t="s">
        <v>186</v>
      </c>
      <c r="DI27" s="4" t="s">
        <v>190</v>
      </c>
      <c r="DJ27" s="4" t="s">
        <v>191</v>
      </c>
      <c r="DK27" s="4" t="s">
        <v>170</v>
      </c>
      <c r="DL27" s="4" t="s">
        <v>192</v>
      </c>
      <c r="DM27" s="4" t="s">
        <v>170</v>
      </c>
      <c r="DN27" s="4" t="s">
        <v>193</v>
      </c>
      <c r="DO27" s="4" t="s">
        <v>192</v>
      </c>
      <c r="DP27" s="4" t="s">
        <v>181</v>
      </c>
      <c r="DQ27" s="4" t="s">
        <v>192</v>
      </c>
      <c r="DR27" s="4" t="s">
        <v>193</v>
      </c>
      <c r="DS27" s="4" t="s">
        <v>190</v>
      </c>
      <c r="DT27" s="4" t="s">
        <v>194</v>
      </c>
      <c r="DU27" s="4" t="s">
        <v>195</v>
      </c>
      <c r="DV27" s="4" t="s">
        <v>181</v>
      </c>
      <c r="DW27" s="4" t="s">
        <v>179</v>
      </c>
      <c r="DX27" s="4" t="s">
        <v>181</v>
      </c>
      <c r="DY27" s="4" t="s">
        <v>196</v>
      </c>
      <c r="DZ27" s="4" t="s">
        <v>196</v>
      </c>
      <c r="EA27" s="4" t="s">
        <v>197</v>
      </c>
      <c r="EB27" s="4" t="s">
        <v>197</v>
      </c>
      <c r="EC27" s="4" t="s">
        <v>196</v>
      </c>
      <c r="ED27" s="4" t="s">
        <v>196</v>
      </c>
      <c r="EE27" s="4" t="s">
        <v>190</v>
      </c>
      <c r="EF27" s="4" t="s">
        <v>190</v>
      </c>
      <c r="EG27" s="4" t="s">
        <v>187</v>
      </c>
      <c r="EH27" s="4" t="s">
        <v>187</v>
      </c>
      <c r="EI27" s="4" t="s">
        <v>190</v>
      </c>
      <c r="EJ27" s="4" t="s">
        <v>187</v>
      </c>
      <c r="EK27" s="4" t="s">
        <v>190</v>
      </c>
      <c r="EL27" s="4" t="s">
        <v>187</v>
      </c>
      <c r="EM27" t="s">
        <v>198</v>
      </c>
    </row>
    <row r="28" spans="1:145" x14ac:dyDescent="0.3">
      <c r="B28" s="12" t="s">
        <v>199</v>
      </c>
      <c r="C28" s="4" t="s">
        <v>200</v>
      </c>
      <c r="D28" s="4" t="s">
        <v>200</v>
      </c>
      <c r="E28" s="4" t="s">
        <v>200</v>
      </c>
      <c r="F28" s="4" t="s">
        <v>201</v>
      </c>
      <c r="G28" s="4" t="s">
        <v>202</v>
      </c>
      <c r="H28" s="4" t="s">
        <v>200</v>
      </c>
      <c r="I28" s="4" t="s">
        <v>203</v>
      </c>
      <c r="J28" s="4" t="s">
        <v>203</v>
      </c>
      <c r="K28" s="4" t="s">
        <v>204</v>
      </c>
      <c r="L28" s="4" t="s">
        <v>200</v>
      </c>
      <c r="M28" s="4" t="s">
        <v>205</v>
      </c>
      <c r="N28" s="4" t="s">
        <v>200</v>
      </c>
      <c r="O28" s="4" t="s">
        <v>205</v>
      </c>
      <c r="P28" s="4" t="s">
        <v>200</v>
      </c>
      <c r="Q28" s="4" t="s">
        <v>205</v>
      </c>
      <c r="R28" s="4" t="s">
        <v>200</v>
      </c>
      <c r="S28" s="4" t="s">
        <v>206</v>
      </c>
      <c r="T28" s="4" t="s">
        <v>206</v>
      </c>
      <c r="U28" s="4" t="s">
        <v>204</v>
      </c>
      <c r="V28" s="4" t="s">
        <v>207</v>
      </c>
      <c r="W28" s="4" t="s">
        <v>204</v>
      </c>
      <c r="X28" s="4" t="s">
        <v>208</v>
      </c>
      <c r="Y28" s="4" t="s">
        <v>209</v>
      </c>
      <c r="Z28" s="4" t="s">
        <v>210</v>
      </c>
      <c r="AA28" s="4" t="s">
        <v>211</v>
      </c>
      <c r="AB28" s="4" t="s">
        <v>207</v>
      </c>
      <c r="AC28" s="4" t="s">
        <v>210</v>
      </c>
      <c r="AD28" s="4" t="s">
        <v>204</v>
      </c>
      <c r="AE28" s="4" t="s">
        <v>212</v>
      </c>
      <c r="AF28" s="4" t="s">
        <v>213</v>
      </c>
      <c r="AG28" s="4" t="s">
        <v>207</v>
      </c>
      <c r="AH28" s="4" t="s">
        <v>207</v>
      </c>
      <c r="AI28" s="4" t="s">
        <v>213</v>
      </c>
      <c r="AJ28" s="4" t="s">
        <v>207</v>
      </c>
      <c r="AK28" s="4" t="s">
        <v>207</v>
      </c>
      <c r="AL28" s="4" t="s">
        <v>204</v>
      </c>
      <c r="AM28" s="4" t="s">
        <v>207</v>
      </c>
      <c r="AN28" s="4" t="s">
        <v>207</v>
      </c>
      <c r="AO28" s="4" t="s">
        <v>211</v>
      </c>
      <c r="AP28" s="4" t="s">
        <v>207</v>
      </c>
      <c r="AQ28" s="4" t="s">
        <v>210</v>
      </c>
      <c r="AR28" s="4" t="s">
        <v>204</v>
      </c>
      <c r="AS28" s="4" t="s">
        <v>210</v>
      </c>
      <c r="AT28" s="4" t="s">
        <v>214</v>
      </c>
      <c r="AU28" s="4" t="s">
        <v>204</v>
      </c>
      <c r="AV28" s="4" t="s">
        <v>214</v>
      </c>
      <c r="AW28" s="4" t="s">
        <v>209</v>
      </c>
      <c r="AX28" s="4" t="s">
        <v>214</v>
      </c>
      <c r="AY28" s="4" t="s">
        <v>207</v>
      </c>
      <c r="AZ28" s="4" t="s">
        <v>204</v>
      </c>
      <c r="BA28" s="4" t="s">
        <v>204</v>
      </c>
      <c r="BB28" s="4" t="s">
        <v>215</v>
      </c>
      <c r="BC28" s="4" t="s">
        <v>207</v>
      </c>
      <c r="BD28" s="4" t="s">
        <v>204</v>
      </c>
      <c r="BE28" s="4" t="s">
        <v>216</v>
      </c>
      <c r="BF28" s="4" t="s">
        <v>216</v>
      </c>
      <c r="BG28" s="4" t="s">
        <v>216</v>
      </c>
      <c r="BH28" s="4" t="s">
        <v>216</v>
      </c>
      <c r="BI28" s="4" t="s">
        <v>217</v>
      </c>
      <c r="BJ28" s="4" t="s">
        <v>218</v>
      </c>
      <c r="BK28" s="4" t="s">
        <v>218</v>
      </c>
      <c r="BL28" s="4" t="s">
        <v>217</v>
      </c>
      <c r="BM28" s="4" t="s">
        <v>217</v>
      </c>
      <c r="BN28" s="4" t="s">
        <v>218</v>
      </c>
      <c r="BO28" s="4" t="s">
        <v>207</v>
      </c>
      <c r="BP28" s="4" t="s">
        <v>218</v>
      </c>
      <c r="BQ28" s="4" t="s">
        <v>207</v>
      </c>
      <c r="BR28" s="4" t="s">
        <v>217</v>
      </c>
      <c r="BS28" s="4" t="s">
        <v>219</v>
      </c>
      <c r="BT28" s="4" t="s">
        <v>218</v>
      </c>
      <c r="BU28" s="4" t="s">
        <v>218</v>
      </c>
      <c r="BV28" s="4" t="s">
        <v>219</v>
      </c>
      <c r="BW28" s="4" t="s">
        <v>219</v>
      </c>
      <c r="BX28" s="4" t="s">
        <v>218</v>
      </c>
      <c r="BY28" s="4" t="s">
        <v>218</v>
      </c>
      <c r="BZ28" s="4" t="s">
        <v>207</v>
      </c>
      <c r="CA28" s="4" t="s">
        <v>207</v>
      </c>
      <c r="CB28" s="4" t="s">
        <v>220</v>
      </c>
      <c r="CC28" s="4" t="s">
        <v>221</v>
      </c>
      <c r="CD28" s="4" t="s">
        <v>207</v>
      </c>
      <c r="CE28" s="4" t="s">
        <v>222</v>
      </c>
      <c r="CF28" s="4" t="s">
        <v>207</v>
      </c>
      <c r="CG28" s="4" t="s">
        <v>223</v>
      </c>
      <c r="CH28" s="4" t="s">
        <v>224</v>
      </c>
      <c r="CI28" s="4" t="s">
        <v>224</v>
      </c>
      <c r="CJ28" s="4" t="s">
        <v>223</v>
      </c>
      <c r="CK28" s="4" t="s">
        <v>223</v>
      </c>
      <c r="CL28" s="4" t="s">
        <v>224</v>
      </c>
      <c r="CM28" s="4" t="s">
        <v>220</v>
      </c>
      <c r="CN28" s="4" t="s">
        <v>225</v>
      </c>
      <c r="CO28" s="4" t="s">
        <v>220</v>
      </c>
      <c r="CP28" s="4" t="s">
        <v>224</v>
      </c>
      <c r="CQ28" s="4" t="s">
        <v>225</v>
      </c>
      <c r="CR28" s="4" t="s">
        <v>222</v>
      </c>
      <c r="CS28" s="4" t="s">
        <v>225</v>
      </c>
      <c r="CT28" s="4" t="s">
        <v>222</v>
      </c>
      <c r="CU28" s="4" t="s">
        <v>214</v>
      </c>
      <c r="CV28" s="4" t="s">
        <v>226</v>
      </c>
      <c r="CW28" s="4" t="s">
        <v>227</v>
      </c>
      <c r="CX28" s="4" t="s">
        <v>224</v>
      </c>
      <c r="CY28" s="4" t="s">
        <v>228</v>
      </c>
      <c r="CZ28" s="4" t="s">
        <v>207</v>
      </c>
      <c r="DA28" s="4" t="s">
        <v>229</v>
      </c>
      <c r="DB28" s="4" t="s">
        <v>230</v>
      </c>
      <c r="DC28" s="4" t="s">
        <v>207</v>
      </c>
      <c r="DD28" s="4" t="s">
        <v>231</v>
      </c>
      <c r="DE28" s="4" t="s">
        <v>232</v>
      </c>
      <c r="DF28" s="4" t="s">
        <v>207</v>
      </c>
      <c r="DG28" s="4" t="s">
        <v>230</v>
      </c>
      <c r="DH28" s="4" t="s">
        <v>229</v>
      </c>
      <c r="DI28" s="4" t="s">
        <v>233</v>
      </c>
      <c r="DJ28" s="4" t="s">
        <v>234</v>
      </c>
      <c r="DK28" s="4" t="s">
        <v>213</v>
      </c>
      <c r="DL28" s="4" t="s">
        <v>235</v>
      </c>
      <c r="DM28" s="4" t="s">
        <v>213</v>
      </c>
      <c r="DN28" s="4" t="s">
        <v>236</v>
      </c>
      <c r="DO28" s="4" t="s">
        <v>235</v>
      </c>
      <c r="DP28" s="4" t="s">
        <v>224</v>
      </c>
      <c r="DQ28" s="4" t="s">
        <v>235</v>
      </c>
      <c r="DR28" s="4" t="s">
        <v>236</v>
      </c>
      <c r="DS28" s="4" t="s">
        <v>233</v>
      </c>
      <c r="DT28" s="4" t="s">
        <v>237</v>
      </c>
      <c r="DU28" s="4" t="s">
        <v>238</v>
      </c>
      <c r="DV28" s="4" t="s">
        <v>224</v>
      </c>
      <c r="DW28" s="4" t="s">
        <v>222</v>
      </c>
      <c r="DX28" s="4" t="s">
        <v>224</v>
      </c>
      <c r="DY28" s="4" t="s">
        <v>239</v>
      </c>
      <c r="DZ28" s="4" t="s">
        <v>239</v>
      </c>
      <c r="EA28" s="4" t="s">
        <v>240</v>
      </c>
      <c r="EB28" s="4" t="s">
        <v>240</v>
      </c>
      <c r="EC28" s="4" t="s">
        <v>239</v>
      </c>
      <c r="ED28" s="4" t="s">
        <v>239</v>
      </c>
      <c r="EE28" s="4" t="s">
        <v>233</v>
      </c>
      <c r="EF28" s="4" t="s">
        <v>233</v>
      </c>
      <c r="EG28" s="4" t="s">
        <v>230</v>
      </c>
      <c r="EH28" s="4" t="s">
        <v>230</v>
      </c>
      <c r="EI28" s="4" t="s">
        <v>233</v>
      </c>
      <c r="EJ28" s="4" t="s">
        <v>230</v>
      </c>
      <c r="EK28" s="4" t="s">
        <v>233</v>
      </c>
      <c r="EL28" s="4" t="s">
        <v>230</v>
      </c>
      <c r="EM28" t="s">
        <v>241</v>
      </c>
    </row>
    <row r="29" spans="1:145" x14ac:dyDescent="0.3">
      <c r="B29" s="12" t="s">
        <v>242</v>
      </c>
      <c r="C29" s="4" t="s">
        <v>243</v>
      </c>
      <c r="D29" s="4" t="s">
        <v>243</v>
      </c>
      <c r="E29" s="4" t="s">
        <v>243</v>
      </c>
      <c r="F29" s="4" t="s">
        <v>243</v>
      </c>
      <c r="G29" s="4" t="s">
        <v>244</v>
      </c>
      <c r="H29" s="4" t="s">
        <v>243</v>
      </c>
      <c r="I29" s="4" t="s">
        <v>245</v>
      </c>
      <c r="J29" s="4" t="s">
        <v>245</v>
      </c>
      <c r="K29" s="4" t="s">
        <v>243</v>
      </c>
      <c r="L29" s="4" t="s">
        <v>243</v>
      </c>
      <c r="M29" s="4" t="s">
        <v>244</v>
      </c>
      <c r="N29" s="4" t="s">
        <v>243</v>
      </c>
      <c r="O29" s="4" t="s">
        <v>246</v>
      </c>
      <c r="P29" s="4" t="s">
        <v>245</v>
      </c>
      <c r="Q29" s="4" t="s">
        <v>246</v>
      </c>
      <c r="R29" s="4" t="s">
        <v>245</v>
      </c>
      <c r="S29" s="4" t="s">
        <v>246</v>
      </c>
      <c r="T29" s="4" t="s">
        <v>246</v>
      </c>
      <c r="U29" s="4" t="s">
        <v>243</v>
      </c>
      <c r="V29" s="4" t="s">
        <v>245</v>
      </c>
      <c r="W29" s="4" t="s">
        <v>243</v>
      </c>
      <c r="X29" s="4" t="s">
        <v>157</v>
      </c>
      <c r="Y29" s="4" t="s">
        <v>245</v>
      </c>
      <c r="Z29" s="4" t="s">
        <v>245</v>
      </c>
      <c r="AA29" s="4" t="s">
        <v>167</v>
      </c>
      <c r="AB29" s="4" t="s">
        <v>245</v>
      </c>
      <c r="AC29" s="4" t="s">
        <v>245</v>
      </c>
      <c r="AD29" s="4" t="s">
        <v>243</v>
      </c>
      <c r="AE29" s="4" t="s">
        <v>167</v>
      </c>
      <c r="AF29" s="4" t="s">
        <v>247</v>
      </c>
      <c r="AG29" s="4" t="s">
        <v>245</v>
      </c>
      <c r="AH29" s="4" t="s">
        <v>245</v>
      </c>
      <c r="AI29" s="4" t="s">
        <v>247</v>
      </c>
      <c r="AJ29" s="4" t="s">
        <v>245</v>
      </c>
      <c r="AK29" s="4" t="s">
        <v>245</v>
      </c>
      <c r="AL29" s="4" t="s">
        <v>243</v>
      </c>
      <c r="AM29" s="4" t="s">
        <v>245</v>
      </c>
      <c r="AN29" s="4" t="s">
        <v>245</v>
      </c>
      <c r="AO29" s="4" t="s">
        <v>248</v>
      </c>
      <c r="AP29" s="4" t="s">
        <v>245</v>
      </c>
      <c r="AQ29" s="4" t="s">
        <v>249</v>
      </c>
      <c r="AR29" s="4" t="s">
        <v>243</v>
      </c>
      <c r="AS29" s="4" t="s">
        <v>250</v>
      </c>
      <c r="AT29" s="4" t="s">
        <v>250</v>
      </c>
      <c r="AU29" s="4" t="s">
        <v>243</v>
      </c>
      <c r="AV29" s="4" t="s">
        <v>251</v>
      </c>
      <c r="AW29" s="4" t="s">
        <v>251</v>
      </c>
      <c r="AX29" s="4" t="s">
        <v>251</v>
      </c>
      <c r="AY29" s="4" t="s">
        <v>252</v>
      </c>
      <c r="AZ29" s="4" t="s">
        <v>243</v>
      </c>
      <c r="BA29" s="4" t="s">
        <v>243</v>
      </c>
      <c r="BB29" s="4" t="s">
        <v>253</v>
      </c>
      <c r="BC29" s="4" t="s">
        <v>254</v>
      </c>
      <c r="BD29" s="4" t="s">
        <v>243</v>
      </c>
      <c r="BE29" s="4" t="s">
        <v>255</v>
      </c>
      <c r="BF29" s="4" t="s">
        <v>255</v>
      </c>
      <c r="BG29" s="4" t="s">
        <v>255</v>
      </c>
      <c r="BH29" s="4" t="s">
        <v>255</v>
      </c>
      <c r="BI29" s="4" t="s">
        <v>256</v>
      </c>
      <c r="BJ29" s="4" t="s">
        <v>243</v>
      </c>
      <c r="BK29" s="4" t="s">
        <v>243</v>
      </c>
      <c r="BL29" s="4" t="s">
        <v>257</v>
      </c>
      <c r="BM29" s="4" t="s">
        <v>257</v>
      </c>
      <c r="BN29" s="4" t="s">
        <v>243</v>
      </c>
      <c r="BO29" s="4" t="s">
        <v>258</v>
      </c>
      <c r="BP29" s="4" t="s">
        <v>243</v>
      </c>
      <c r="BQ29" s="4" t="s">
        <v>252</v>
      </c>
      <c r="BR29" s="4" t="s">
        <v>257</v>
      </c>
      <c r="BS29" s="4" t="s">
        <v>257</v>
      </c>
      <c r="BT29" s="4" t="s">
        <v>243</v>
      </c>
      <c r="BU29" s="4" t="s">
        <v>243</v>
      </c>
      <c r="BV29" s="4" t="s">
        <v>257</v>
      </c>
      <c r="BW29" s="4" t="s">
        <v>259</v>
      </c>
      <c r="BX29" s="4" t="s">
        <v>243</v>
      </c>
      <c r="BY29" s="4" t="s">
        <v>243</v>
      </c>
      <c r="BZ29" s="4" t="s">
        <v>260</v>
      </c>
      <c r="CA29" s="4" t="s">
        <v>260</v>
      </c>
      <c r="CB29" s="4" t="s">
        <v>243</v>
      </c>
      <c r="CC29" s="4" t="s">
        <v>261</v>
      </c>
      <c r="CD29" s="4" t="s">
        <v>262</v>
      </c>
      <c r="CE29" s="4" t="s">
        <v>243</v>
      </c>
      <c r="CF29" s="4" t="s">
        <v>262</v>
      </c>
      <c r="CG29" s="4" t="s">
        <v>183</v>
      </c>
      <c r="CH29" s="4" t="s">
        <v>262</v>
      </c>
      <c r="CI29" s="4" t="s">
        <v>252</v>
      </c>
      <c r="CJ29" s="4" t="s">
        <v>183</v>
      </c>
      <c r="CK29" s="4" t="s">
        <v>184</v>
      </c>
      <c r="CL29" s="4" t="s">
        <v>252</v>
      </c>
      <c r="CM29" s="4" t="s">
        <v>243</v>
      </c>
      <c r="CN29" s="4" t="s">
        <v>263</v>
      </c>
      <c r="CO29" s="4" t="s">
        <v>243</v>
      </c>
      <c r="CP29" s="4" t="s">
        <v>254</v>
      </c>
      <c r="CQ29" s="4" t="s">
        <v>178</v>
      </c>
      <c r="CR29" s="4" t="s">
        <v>243</v>
      </c>
      <c r="CS29" s="4" t="s">
        <v>263</v>
      </c>
      <c r="CT29" s="4" t="s">
        <v>243</v>
      </c>
      <c r="CU29" s="4" t="s">
        <v>178</v>
      </c>
      <c r="CV29" s="4" t="s">
        <v>178</v>
      </c>
      <c r="CW29" s="4" t="s">
        <v>178</v>
      </c>
      <c r="CX29" s="4" t="s">
        <v>254</v>
      </c>
      <c r="CY29" s="4" t="s">
        <v>264</v>
      </c>
      <c r="CZ29" s="4" t="s">
        <v>254</v>
      </c>
      <c r="DA29" s="4" t="s">
        <v>243</v>
      </c>
      <c r="DB29" s="4" t="s">
        <v>243</v>
      </c>
      <c r="DC29" s="4" t="s">
        <v>265</v>
      </c>
      <c r="DD29" s="4" t="s">
        <v>264</v>
      </c>
      <c r="DE29" s="4" t="s">
        <v>264</v>
      </c>
      <c r="DF29" s="4" t="s">
        <v>243</v>
      </c>
      <c r="DG29" s="4" t="s">
        <v>243</v>
      </c>
      <c r="DH29" s="4" t="s">
        <v>243</v>
      </c>
      <c r="DI29" s="4" t="s">
        <v>243</v>
      </c>
      <c r="DJ29" s="4" t="s">
        <v>243</v>
      </c>
      <c r="DK29" s="4" t="s">
        <v>243</v>
      </c>
      <c r="DL29" s="4" t="s">
        <v>266</v>
      </c>
      <c r="DM29" s="4" t="s">
        <v>243</v>
      </c>
      <c r="DN29" s="4" t="s">
        <v>267</v>
      </c>
      <c r="DO29" s="4" t="s">
        <v>170</v>
      </c>
      <c r="DP29" s="4" t="s">
        <v>266</v>
      </c>
      <c r="DQ29" s="4" t="s">
        <v>187</v>
      </c>
      <c r="DR29" s="4" t="s">
        <v>254</v>
      </c>
      <c r="DS29" s="4" t="s">
        <v>243</v>
      </c>
      <c r="DT29" s="4" t="s">
        <v>268</v>
      </c>
      <c r="DU29" s="4" t="s">
        <v>243</v>
      </c>
      <c r="DV29" s="4" t="s">
        <v>262</v>
      </c>
      <c r="DW29" s="4" t="s">
        <v>243</v>
      </c>
      <c r="DX29" s="4" t="s">
        <v>262</v>
      </c>
      <c r="DY29" s="4" t="s">
        <v>265</v>
      </c>
      <c r="DZ29" s="4" t="s">
        <v>265</v>
      </c>
      <c r="EA29" s="4" t="s">
        <v>269</v>
      </c>
      <c r="EB29" s="4" t="s">
        <v>270</v>
      </c>
      <c r="EC29" s="4" t="s">
        <v>262</v>
      </c>
      <c r="ED29" s="4" t="s">
        <v>265</v>
      </c>
      <c r="EE29" s="4" t="s">
        <v>243</v>
      </c>
      <c r="EF29" s="4" t="s">
        <v>243</v>
      </c>
      <c r="EG29" s="4" t="s">
        <v>265</v>
      </c>
      <c r="EH29" s="4" t="s">
        <v>265</v>
      </c>
      <c r="EI29" s="4" t="s">
        <v>243</v>
      </c>
      <c r="EJ29" s="4" t="s">
        <v>262</v>
      </c>
      <c r="EK29" s="4" t="s">
        <v>243</v>
      </c>
      <c r="EL29" s="4" t="s">
        <v>265</v>
      </c>
      <c r="EM29" t="s">
        <v>271</v>
      </c>
    </row>
    <row r="30" spans="1:145" x14ac:dyDescent="0.3">
      <c r="B30" s="12" t="s">
        <v>199</v>
      </c>
      <c r="C30" s="4" t="s">
        <v>272</v>
      </c>
      <c r="D30" s="4" t="s">
        <v>272</v>
      </c>
      <c r="E30" s="4" t="s">
        <v>272</v>
      </c>
      <c r="F30" s="4" t="s">
        <v>272</v>
      </c>
      <c r="G30" s="4" t="s">
        <v>273</v>
      </c>
      <c r="H30" s="4" t="s">
        <v>272</v>
      </c>
      <c r="I30" s="4" t="s">
        <v>274</v>
      </c>
      <c r="J30" s="4" t="s">
        <v>274</v>
      </c>
      <c r="K30" s="4" t="s">
        <v>272</v>
      </c>
      <c r="L30" s="4" t="s">
        <v>272</v>
      </c>
      <c r="M30" s="4" t="s">
        <v>273</v>
      </c>
      <c r="N30" s="4" t="s">
        <v>272</v>
      </c>
      <c r="O30" s="4" t="s">
        <v>275</v>
      </c>
      <c r="P30" s="4" t="s">
        <v>274</v>
      </c>
      <c r="Q30" s="4" t="s">
        <v>275</v>
      </c>
      <c r="R30" s="4" t="s">
        <v>274</v>
      </c>
      <c r="S30" s="4" t="s">
        <v>275</v>
      </c>
      <c r="T30" s="4" t="s">
        <v>275</v>
      </c>
      <c r="U30" s="4" t="s">
        <v>272</v>
      </c>
      <c r="V30" s="4" t="s">
        <v>274</v>
      </c>
      <c r="W30" s="4" t="s">
        <v>272</v>
      </c>
      <c r="X30" s="4" t="s">
        <v>200</v>
      </c>
      <c r="Y30" s="4" t="s">
        <v>274</v>
      </c>
      <c r="Z30" s="4" t="s">
        <v>274</v>
      </c>
      <c r="AA30" s="4" t="s">
        <v>210</v>
      </c>
      <c r="AB30" s="4" t="s">
        <v>274</v>
      </c>
      <c r="AC30" s="4" t="s">
        <v>274</v>
      </c>
      <c r="AD30" s="4" t="s">
        <v>272</v>
      </c>
      <c r="AE30" s="4" t="s">
        <v>210</v>
      </c>
      <c r="AF30" s="4" t="s">
        <v>276</v>
      </c>
      <c r="AG30" s="4" t="s">
        <v>274</v>
      </c>
      <c r="AH30" s="4" t="s">
        <v>274</v>
      </c>
      <c r="AI30" s="4" t="s">
        <v>276</v>
      </c>
      <c r="AJ30" s="4" t="s">
        <v>274</v>
      </c>
      <c r="AK30" s="4" t="s">
        <v>274</v>
      </c>
      <c r="AL30" s="4" t="s">
        <v>272</v>
      </c>
      <c r="AM30" s="4" t="s">
        <v>274</v>
      </c>
      <c r="AN30" s="4" t="s">
        <v>274</v>
      </c>
      <c r="AO30" s="4" t="s">
        <v>277</v>
      </c>
      <c r="AP30" s="4" t="s">
        <v>274</v>
      </c>
      <c r="AQ30" s="4" t="s">
        <v>278</v>
      </c>
      <c r="AR30" s="4" t="s">
        <v>272</v>
      </c>
      <c r="AS30" s="4" t="s">
        <v>279</v>
      </c>
      <c r="AT30" s="4" t="s">
        <v>279</v>
      </c>
      <c r="AU30" s="4" t="s">
        <v>272</v>
      </c>
      <c r="AV30" s="4" t="s">
        <v>280</v>
      </c>
      <c r="AW30" s="4" t="s">
        <v>280</v>
      </c>
      <c r="AX30" s="4" t="s">
        <v>280</v>
      </c>
      <c r="AY30" s="4" t="s">
        <v>281</v>
      </c>
      <c r="AZ30" s="4" t="s">
        <v>272</v>
      </c>
      <c r="BA30" s="4" t="s">
        <v>272</v>
      </c>
      <c r="BB30" s="4" t="s">
        <v>282</v>
      </c>
      <c r="BC30" s="4" t="s">
        <v>283</v>
      </c>
      <c r="BD30" s="4" t="s">
        <v>272</v>
      </c>
      <c r="BE30" s="4" t="s">
        <v>284</v>
      </c>
      <c r="BF30" s="4" t="s">
        <v>284</v>
      </c>
      <c r="BG30" s="4" t="s">
        <v>284</v>
      </c>
      <c r="BH30" s="4" t="s">
        <v>284</v>
      </c>
      <c r="BI30" s="4" t="s">
        <v>285</v>
      </c>
      <c r="BJ30" s="4" t="s">
        <v>272</v>
      </c>
      <c r="BK30" s="4" t="s">
        <v>272</v>
      </c>
      <c r="BL30" s="4" t="s">
        <v>286</v>
      </c>
      <c r="BM30" s="4" t="s">
        <v>286</v>
      </c>
      <c r="BN30" s="4" t="s">
        <v>272</v>
      </c>
      <c r="BO30" s="4" t="s">
        <v>287</v>
      </c>
      <c r="BP30" s="4" t="s">
        <v>272</v>
      </c>
      <c r="BQ30" s="4" t="s">
        <v>281</v>
      </c>
      <c r="BR30" s="4" t="s">
        <v>286</v>
      </c>
      <c r="BS30" s="4" t="s">
        <v>286</v>
      </c>
      <c r="BT30" s="4" t="s">
        <v>272</v>
      </c>
      <c r="BU30" s="4" t="s">
        <v>272</v>
      </c>
      <c r="BV30" s="4" t="s">
        <v>286</v>
      </c>
      <c r="BW30" s="4" t="s">
        <v>288</v>
      </c>
      <c r="BX30" s="4" t="s">
        <v>272</v>
      </c>
      <c r="BY30" s="4" t="s">
        <v>272</v>
      </c>
      <c r="BZ30" s="4" t="s">
        <v>289</v>
      </c>
      <c r="CA30" s="4" t="s">
        <v>289</v>
      </c>
      <c r="CB30" s="4" t="s">
        <v>272</v>
      </c>
      <c r="CC30" s="4" t="s">
        <v>290</v>
      </c>
      <c r="CD30" s="4" t="s">
        <v>291</v>
      </c>
      <c r="CE30" s="4" t="s">
        <v>272</v>
      </c>
      <c r="CF30" s="4" t="s">
        <v>291</v>
      </c>
      <c r="CG30" s="4" t="s">
        <v>226</v>
      </c>
      <c r="CH30" s="4" t="s">
        <v>291</v>
      </c>
      <c r="CI30" s="4" t="s">
        <v>281</v>
      </c>
      <c r="CJ30" s="4" t="s">
        <v>226</v>
      </c>
      <c r="CK30" s="4" t="s">
        <v>227</v>
      </c>
      <c r="CL30" s="4" t="s">
        <v>281</v>
      </c>
      <c r="CM30" s="4" t="s">
        <v>272</v>
      </c>
      <c r="CN30" s="4" t="s">
        <v>292</v>
      </c>
      <c r="CO30" s="4" t="s">
        <v>272</v>
      </c>
      <c r="CP30" s="4" t="s">
        <v>283</v>
      </c>
      <c r="CQ30" s="4" t="s">
        <v>221</v>
      </c>
      <c r="CR30" s="4" t="s">
        <v>272</v>
      </c>
      <c r="CS30" s="4" t="s">
        <v>292</v>
      </c>
      <c r="CT30" s="4" t="s">
        <v>272</v>
      </c>
      <c r="CU30" s="4" t="s">
        <v>221</v>
      </c>
      <c r="CV30" s="4" t="s">
        <v>221</v>
      </c>
      <c r="CW30" s="4" t="s">
        <v>221</v>
      </c>
      <c r="CX30" s="4" t="s">
        <v>283</v>
      </c>
      <c r="CY30" s="4" t="s">
        <v>293</v>
      </c>
      <c r="CZ30" s="4" t="s">
        <v>283</v>
      </c>
      <c r="DA30" s="4" t="s">
        <v>272</v>
      </c>
      <c r="DB30" s="4" t="s">
        <v>272</v>
      </c>
      <c r="DC30" s="4" t="s">
        <v>294</v>
      </c>
      <c r="DD30" s="4" t="s">
        <v>293</v>
      </c>
      <c r="DE30" s="4" t="s">
        <v>293</v>
      </c>
      <c r="DF30" s="4" t="s">
        <v>272</v>
      </c>
      <c r="DG30" s="4" t="s">
        <v>272</v>
      </c>
      <c r="DH30" s="4" t="s">
        <v>272</v>
      </c>
      <c r="DI30" s="4" t="s">
        <v>272</v>
      </c>
      <c r="DJ30" s="4" t="s">
        <v>272</v>
      </c>
      <c r="DK30" s="4" t="s">
        <v>272</v>
      </c>
      <c r="DL30" s="4" t="s">
        <v>295</v>
      </c>
      <c r="DM30" s="4" t="s">
        <v>272</v>
      </c>
      <c r="DN30" s="4" t="s">
        <v>296</v>
      </c>
      <c r="DO30" s="4" t="s">
        <v>213</v>
      </c>
      <c r="DP30" s="4" t="s">
        <v>295</v>
      </c>
      <c r="DQ30" s="4" t="s">
        <v>230</v>
      </c>
      <c r="DR30" s="4" t="s">
        <v>283</v>
      </c>
      <c r="DS30" s="4" t="s">
        <v>272</v>
      </c>
      <c r="DT30" s="4" t="s">
        <v>297</v>
      </c>
      <c r="DU30" s="4" t="s">
        <v>272</v>
      </c>
      <c r="DV30" s="4" t="s">
        <v>291</v>
      </c>
      <c r="DW30" s="4" t="s">
        <v>272</v>
      </c>
      <c r="DX30" s="4" t="s">
        <v>291</v>
      </c>
      <c r="DY30" s="4" t="s">
        <v>294</v>
      </c>
      <c r="DZ30" s="4" t="s">
        <v>294</v>
      </c>
      <c r="EA30" s="4" t="s">
        <v>298</v>
      </c>
      <c r="EB30" s="4" t="s">
        <v>299</v>
      </c>
      <c r="EC30" s="4" t="s">
        <v>291</v>
      </c>
      <c r="ED30" s="4" t="s">
        <v>294</v>
      </c>
      <c r="EE30" s="4" t="s">
        <v>272</v>
      </c>
      <c r="EF30" s="4" t="s">
        <v>272</v>
      </c>
      <c r="EG30" s="4" t="s">
        <v>294</v>
      </c>
      <c r="EH30" s="4" t="s">
        <v>294</v>
      </c>
      <c r="EI30" s="4" t="s">
        <v>272</v>
      </c>
      <c r="EJ30" s="4" t="s">
        <v>291</v>
      </c>
      <c r="EK30" s="4" t="s">
        <v>272</v>
      </c>
      <c r="EL30" s="4" t="s">
        <v>294</v>
      </c>
      <c r="EM30" t="s">
        <v>300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3" priority="2">
      <formula>EN12&lt;$EN$25</formula>
    </cfRule>
  </conditionalFormatting>
  <conditionalFormatting sqref="EO12:EO24">
    <cfRule type="expression" dxfId="2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N163"/>
  <sheetViews>
    <sheetView topLeftCell="ED1" zoomScale="130" zoomScaleNormal="130" workbookViewId="0">
      <selection activeCell="EP19" sqref="EP19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14" t="s">
        <v>146</v>
      </c>
      <c r="B6" s="15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14" t="s">
        <v>147</v>
      </c>
      <c r="B10" s="15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301</v>
      </c>
      <c r="EN11" s="6" t="s">
        <v>302</v>
      </c>
    </row>
    <row r="12" spans="1:144" x14ac:dyDescent="0.3">
      <c r="A12" s="11">
        <v>10</v>
      </c>
      <c r="B12" s="11">
        <f t="shared" ref="B12:B24" si="10">ROUND($D$10/A12,0)</f>
        <v>105</v>
      </c>
      <c r="C12" s="10">
        <f>IF(真實IC!C12&gt;真實IC!C$25,1,0)</f>
        <v>1</v>
      </c>
      <c r="D12" s="10">
        <f>IF(真實IC!D12&gt;真實IC!D$25,1,0)</f>
        <v>1</v>
      </c>
      <c r="E12" s="10">
        <f>IF(真實IC!E12&gt;真實IC!E$25,1,0)</f>
        <v>1</v>
      </c>
      <c r="F12" s="10">
        <f>IF(真實IC!F12&gt;真實IC!F$25,1,0)</f>
        <v>1</v>
      </c>
      <c r="G12" s="10">
        <f>IF(真實IC!G12&gt;真實IC!G$25,1,0)</f>
        <v>0</v>
      </c>
      <c r="H12" s="10">
        <f>IF(真實IC!H12&gt;真實IC!H$25,1,0)</f>
        <v>1</v>
      </c>
      <c r="I12" s="10">
        <f>IF(真實IC!I12&gt;真實IC!I$25,1,0)</f>
        <v>1</v>
      </c>
      <c r="J12" s="10">
        <f>IF(真實IC!J12&gt;真實IC!J$25,1,0)</f>
        <v>1</v>
      </c>
      <c r="K12" s="10">
        <f>IF(真實IC!K12&gt;真實IC!K$25,1,0)</f>
        <v>1</v>
      </c>
      <c r="L12" s="10">
        <f>IF(真實IC!L12&gt;真實IC!L$25,1,0)</f>
        <v>1</v>
      </c>
      <c r="M12" s="10">
        <f>IF(真實IC!M12&gt;真實IC!M$25,1,0)</f>
        <v>0</v>
      </c>
      <c r="N12" s="10">
        <f>IF(真實IC!N12&gt;真實IC!N$25,1,0)</f>
        <v>1</v>
      </c>
      <c r="O12" s="10">
        <f>IF(真實IC!O12&gt;真實IC!O$25,1,0)</f>
        <v>1</v>
      </c>
      <c r="P12" s="10">
        <f>IF(真實IC!P12&gt;真實IC!P$25,1,0)</f>
        <v>0</v>
      </c>
      <c r="Q12" s="10">
        <f>IF(真實IC!Q12&gt;真實IC!Q$25,1,0)</f>
        <v>1</v>
      </c>
      <c r="R12" s="10">
        <f>IF(真實IC!R12&gt;真實IC!R$25,1,0)</f>
        <v>0</v>
      </c>
      <c r="S12" s="10">
        <f>IF(真實IC!S12&gt;真實IC!S$25,1,0)</f>
        <v>1</v>
      </c>
      <c r="T12" s="10">
        <f>IF(真實IC!T12&gt;真實IC!T$25,1,0)</f>
        <v>1</v>
      </c>
      <c r="U12" s="10">
        <f>IF(真實IC!U12&gt;真實IC!U$25,1,0)</f>
        <v>1</v>
      </c>
      <c r="V12" s="10">
        <f>IF(真實IC!V12&gt;真實IC!V$25,1,0)</f>
        <v>1</v>
      </c>
      <c r="W12" s="10">
        <f>IF(真實IC!W12&gt;真實IC!W$25,1,0)</f>
        <v>1</v>
      </c>
      <c r="X12" s="10">
        <f>IF(真實IC!X12&gt;真實IC!X$25,1,0)</f>
        <v>1</v>
      </c>
      <c r="Y12" s="10">
        <f>IF(真實IC!Y12&gt;真實IC!Y$25,1,0)</f>
        <v>1</v>
      </c>
      <c r="Z12" s="10">
        <f>IF(真實IC!Z12&gt;真實IC!Z$25,1,0)</f>
        <v>1</v>
      </c>
      <c r="AA12" s="10">
        <f>IF(真實IC!AA12&gt;真實IC!AA$25,1,0)</f>
        <v>1</v>
      </c>
      <c r="AB12" s="10">
        <f>IF(真實IC!AB12&gt;真實IC!AB$25,1,0)</f>
        <v>0</v>
      </c>
      <c r="AC12" s="10">
        <f>IF(真實IC!AC12&gt;真實IC!AC$25,1,0)</f>
        <v>0</v>
      </c>
      <c r="AD12" s="10">
        <f>IF(真實IC!AD12&gt;真實IC!AD$25,1,0)</f>
        <v>1</v>
      </c>
      <c r="AE12" s="10">
        <f>IF(真實IC!AE12&gt;真實IC!AE$25,1,0)</f>
        <v>1</v>
      </c>
      <c r="AF12" s="10">
        <f>IF(真實IC!AF12&gt;真實IC!AF$25,1,0)</f>
        <v>1</v>
      </c>
      <c r="AG12" s="10">
        <f>IF(真實IC!AG12&gt;真實IC!AG$25,1,0)</f>
        <v>1</v>
      </c>
      <c r="AH12" s="10">
        <f>IF(真實IC!AH12&gt;真實IC!AH$25,1,0)</f>
        <v>1</v>
      </c>
      <c r="AI12" s="10">
        <f>IF(真實IC!AI12&gt;真實IC!AI$25,1,0)</f>
        <v>1</v>
      </c>
      <c r="AJ12" s="10">
        <f>IF(真實IC!AJ12&gt;真實IC!AJ$25,1,0)</f>
        <v>0</v>
      </c>
      <c r="AK12" s="10">
        <f>IF(真實IC!AK12&gt;真實IC!AK$25,1,0)</f>
        <v>1</v>
      </c>
      <c r="AL12" s="10">
        <f>IF(真實IC!AL12&gt;真實IC!AL$25,1,0)</f>
        <v>1</v>
      </c>
      <c r="AM12" s="10">
        <f>IF(真實IC!AM12&gt;真實IC!AM$25,1,0)</f>
        <v>1</v>
      </c>
      <c r="AN12" s="10">
        <f>IF(真實IC!AN12&gt;真實IC!AN$25,1,0)</f>
        <v>1</v>
      </c>
      <c r="AO12" s="10">
        <f>IF(真實IC!AO12&gt;真實IC!AO$25,1,0)</f>
        <v>1</v>
      </c>
      <c r="AP12" s="10">
        <f>IF(真實IC!AP12&gt;真實IC!AP$25,1,0)</f>
        <v>1</v>
      </c>
      <c r="AQ12" s="10">
        <f>IF(真實IC!AQ12&gt;真實IC!AQ$25,1,0)</f>
        <v>0</v>
      </c>
      <c r="AR12" s="10">
        <f>IF(真實IC!AR12&gt;真實IC!AR$25,1,0)</f>
        <v>0</v>
      </c>
      <c r="AS12" s="10">
        <f>IF(真實IC!AS12&gt;真實IC!AS$25,1,0)</f>
        <v>1</v>
      </c>
      <c r="AT12" s="10">
        <f>IF(真實IC!AT12&gt;真實IC!AT$25,1,0)</f>
        <v>1</v>
      </c>
      <c r="AU12" s="10">
        <f>IF(真實IC!AU12&gt;真實IC!AU$25,1,0)</f>
        <v>1</v>
      </c>
      <c r="AV12" s="10">
        <f>IF(真實IC!AV12&gt;真實IC!AV$25,1,0)</f>
        <v>1</v>
      </c>
      <c r="AW12" s="10">
        <f>IF(真實IC!AW12&gt;真實IC!AW$25,1,0)</f>
        <v>1</v>
      </c>
      <c r="AX12" s="10">
        <f>IF(真實IC!AX12&gt;真實IC!AX$25,1,0)</f>
        <v>1</v>
      </c>
      <c r="AY12" s="10">
        <f>IF(真實IC!AY12&gt;真實IC!AY$25,1,0)</f>
        <v>0</v>
      </c>
      <c r="AZ12" s="10">
        <f>IF(真實IC!AZ12&gt;真實IC!AZ$25,1,0)</f>
        <v>1</v>
      </c>
      <c r="BA12" s="10">
        <f>IF(真實IC!BA12&gt;真實IC!BA$25,1,0)</f>
        <v>1</v>
      </c>
      <c r="BB12" s="10">
        <f>IF(真實IC!BB12&gt;真實IC!BB$25,1,0)</f>
        <v>1</v>
      </c>
      <c r="BC12" s="10">
        <f>IF(真實IC!BC12&gt;真實IC!BC$25,1,0)</f>
        <v>0</v>
      </c>
      <c r="BD12" s="10">
        <f>IF(真實IC!BD12&gt;真實IC!BD$25,1,0)</f>
        <v>1</v>
      </c>
      <c r="BE12" s="10">
        <f>IF(真實IC!BE12&gt;真實IC!BE$25,1,0)</f>
        <v>1</v>
      </c>
      <c r="BF12" s="10">
        <f>IF(真實IC!BF12&gt;真實IC!BF$25,1,0)</f>
        <v>1</v>
      </c>
      <c r="BG12" s="10">
        <f>IF(真實IC!BG12&gt;真實IC!BG$25,1,0)</f>
        <v>1</v>
      </c>
      <c r="BH12" s="10">
        <f>IF(真實IC!BH12&gt;真實IC!BH$25,1,0)</f>
        <v>1</v>
      </c>
      <c r="BI12" s="10">
        <f>IF(真實IC!BI12&gt;真實IC!BI$25,1,0)</f>
        <v>1</v>
      </c>
      <c r="BJ12" s="10">
        <f>IF(真實IC!BJ12&gt;真實IC!BJ$25,1,0)</f>
        <v>1</v>
      </c>
      <c r="BK12" s="10">
        <f>IF(真實IC!BK12&gt;真實IC!BK$25,1,0)</f>
        <v>1</v>
      </c>
      <c r="BL12" s="10">
        <f>IF(真實IC!BL12&gt;真實IC!BL$25,1,0)</f>
        <v>0</v>
      </c>
      <c r="BM12" s="10">
        <f>IF(真實IC!BM12&gt;真實IC!BM$25,1,0)</f>
        <v>1</v>
      </c>
      <c r="BN12" s="10">
        <f>IF(真實IC!BN12&gt;真實IC!BN$25,1,0)</f>
        <v>1</v>
      </c>
      <c r="BO12" s="10">
        <f>IF(真實IC!BO12&gt;真實IC!BO$25,1,0)</f>
        <v>1</v>
      </c>
      <c r="BP12" s="10">
        <f>IF(真實IC!BP12&gt;真實IC!BP$25,1,0)</f>
        <v>1</v>
      </c>
      <c r="BQ12" s="10">
        <f>IF(真實IC!BQ12&gt;真實IC!BQ$25,1,0)</f>
        <v>1</v>
      </c>
      <c r="BR12" s="10">
        <f>IF(真實IC!BR12&gt;真實IC!BR$25,1,0)</f>
        <v>1</v>
      </c>
      <c r="BS12" s="10">
        <f>IF(真實IC!BS12&gt;真實IC!BS$25,1,0)</f>
        <v>1</v>
      </c>
      <c r="BT12" s="10">
        <f>IF(真實IC!BT12&gt;真實IC!BT$25,1,0)</f>
        <v>0</v>
      </c>
      <c r="BU12" s="10">
        <f>IF(真實IC!BU12&gt;真實IC!BU$25,1,0)</f>
        <v>1</v>
      </c>
      <c r="BV12" s="10">
        <f>IF(真實IC!BV12&gt;真實IC!BV$25,1,0)</f>
        <v>0</v>
      </c>
      <c r="BW12" s="10">
        <f>IF(真實IC!BW12&gt;真實IC!BW$25,1,0)</f>
        <v>1</v>
      </c>
      <c r="BX12" s="10">
        <f>IF(真實IC!BX12&gt;真實IC!BX$25,1,0)</f>
        <v>1</v>
      </c>
      <c r="BY12" s="10">
        <f>IF(真實IC!BY12&gt;真實IC!BY$25,1,0)</f>
        <v>1</v>
      </c>
      <c r="BZ12" s="10">
        <f>IF(真實IC!BZ12&gt;真實IC!BZ$25,1,0)</f>
        <v>0</v>
      </c>
      <c r="CA12" s="10">
        <f>IF(真實IC!CA12&gt;真實IC!CA$25,1,0)</f>
        <v>1</v>
      </c>
      <c r="CB12" s="10">
        <f>IF(真實IC!CB12&gt;真實IC!CB$25,1,0)</f>
        <v>1</v>
      </c>
      <c r="CC12" s="10">
        <f>IF(真實IC!CC12&gt;真實IC!CC$25,1,0)</f>
        <v>0</v>
      </c>
      <c r="CD12" s="10">
        <f>IF(真實IC!CD12&gt;真實IC!CD$25,1,0)</f>
        <v>1</v>
      </c>
      <c r="CE12" s="10">
        <f>IF(真實IC!CE12&gt;真實IC!CE$25,1,0)</f>
        <v>1</v>
      </c>
      <c r="CF12" s="10">
        <f>IF(真實IC!CF12&gt;真實IC!CF$25,1,0)</f>
        <v>1</v>
      </c>
      <c r="CG12" s="10">
        <f>IF(真實IC!CG12&gt;真實IC!CG$25,1,0)</f>
        <v>0</v>
      </c>
      <c r="CH12" s="10">
        <f>IF(真實IC!CH12&gt;真實IC!CH$25,1,0)</f>
        <v>1</v>
      </c>
      <c r="CI12" s="10">
        <f>IF(真實IC!CI12&gt;真實IC!CI$25,1,0)</f>
        <v>0</v>
      </c>
      <c r="CJ12" s="10">
        <f>IF(真實IC!CJ12&gt;真實IC!CJ$25,1,0)</f>
        <v>1</v>
      </c>
      <c r="CK12" s="10">
        <f>IF(真實IC!CK12&gt;真實IC!CK$25,1,0)</f>
        <v>1</v>
      </c>
      <c r="CL12" s="10">
        <f>IF(真實IC!CL12&gt;真實IC!CL$25,1,0)</f>
        <v>1</v>
      </c>
      <c r="CM12" s="10">
        <f>IF(真實IC!CM12&gt;真實IC!CM$25,1,0)</f>
        <v>1</v>
      </c>
      <c r="CN12" s="10">
        <f>IF(真實IC!CN12&gt;真實IC!CN$25,1,0)</f>
        <v>1</v>
      </c>
      <c r="CO12" s="10">
        <f>IF(真實IC!CO12&gt;真實IC!CO$25,1,0)</f>
        <v>1</v>
      </c>
      <c r="CP12" s="10">
        <f>IF(真實IC!CP12&gt;真實IC!CP$25,1,0)</f>
        <v>1</v>
      </c>
      <c r="CQ12" s="10">
        <f>IF(真實IC!CQ12&gt;真實IC!CQ$25,1,0)</f>
        <v>1</v>
      </c>
      <c r="CR12" s="10">
        <f>IF(真實IC!CR12&gt;真實IC!CR$25,1,0)</f>
        <v>1</v>
      </c>
      <c r="CS12" s="10">
        <f>IF(真實IC!CS12&gt;真實IC!CS$25,1,0)</f>
        <v>1</v>
      </c>
      <c r="CT12" s="10">
        <f>IF(真實IC!CT12&gt;真實IC!CT$25,1,0)</f>
        <v>0</v>
      </c>
      <c r="CU12" s="10">
        <f>IF(真實IC!CU12&gt;真實IC!CU$25,1,0)</f>
        <v>1</v>
      </c>
      <c r="CV12" s="10">
        <f>IF(真實IC!CV12&gt;真實IC!CV$25,1,0)</f>
        <v>1</v>
      </c>
      <c r="CW12" s="10">
        <f>IF(真實IC!CW12&gt;真實IC!CW$25,1,0)</f>
        <v>1</v>
      </c>
      <c r="CX12" s="10">
        <f>IF(真實IC!CX12&gt;真實IC!CX$25,1,0)</f>
        <v>1</v>
      </c>
      <c r="CY12" s="10">
        <f>IF(真實IC!CY12&gt;真實IC!CY$25,1,0)</f>
        <v>1</v>
      </c>
      <c r="CZ12" s="10">
        <f>IF(真實IC!CZ12&gt;真實IC!CZ$25,1,0)</f>
        <v>1</v>
      </c>
      <c r="DA12" s="10">
        <f>IF(真實IC!DA12&gt;真實IC!DA$25,1,0)</f>
        <v>1</v>
      </c>
      <c r="DB12" s="10">
        <f>IF(真實IC!DB12&gt;真實IC!DB$25,1,0)</f>
        <v>1</v>
      </c>
      <c r="DC12" s="10">
        <f>IF(真實IC!DC12&gt;真實IC!DC$25,1,0)</f>
        <v>1</v>
      </c>
      <c r="DD12" s="10">
        <f>IF(真實IC!DD12&gt;真實IC!DD$25,1,0)</f>
        <v>1</v>
      </c>
      <c r="DE12" s="10">
        <f>IF(真實IC!DE12&gt;真實IC!DE$25,1,0)</f>
        <v>0</v>
      </c>
      <c r="DF12" s="10">
        <f>IF(真實IC!DF12&gt;真實IC!DF$25,1,0)</f>
        <v>1</v>
      </c>
      <c r="DG12" s="10">
        <f>IF(真實IC!DG12&gt;真實IC!DG$25,1,0)</f>
        <v>0</v>
      </c>
      <c r="DH12" s="10">
        <f>IF(真實IC!DH12&gt;真實IC!DH$25,1,0)</f>
        <v>1</v>
      </c>
      <c r="DI12" s="10">
        <f>IF(真實IC!DI12&gt;真實IC!DI$25,1,0)</f>
        <v>1</v>
      </c>
      <c r="DJ12" s="10">
        <f>IF(真實IC!DJ12&gt;真實IC!DJ$25,1,0)</f>
        <v>1</v>
      </c>
      <c r="DK12" s="10">
        <f>IF(真實IC!DK12&gt;真實IC!DK$25,1,0)</f>
        <v>0</v>
      </c>
      <c r="DL12" s="10">
        <f>IF(真實IC!DL12&gt;真實IC!DL$25,1,0)</f>
        <v>1</v>
      </c>
      <c r="DM12" s="10">
        <f>IF(真實IC!DM12&gt;真實IC!DM$25,1,0)</f>
        <v>1</v>
      </c>
      <c r="DN12" s="10">
        <f>IF(真實IC!DN12&gt;真實IC!DN$25,1,0)</f>
        <v>1</v>
      </c>
      <c r="DO12" s="10">
        <f>IF(真實IC!DO12&gt;真實IC!DO$25,1,0)</f>
        <v>1</v>
      </c>
      <c r="DP12" s="10">
        <f>IF(真實IC!DP12&gt;真實IC!DP$25,1,0)</f>
        <v>1</v>
      </c>
      <c r="DQ12" s="10">
        <f>IF(真實IC!DQ12&gt;真實IC!DQ$25,1,0)</f>
        <v>0</v>
      </c>
      <c r="DR12" s="10">
        <f>IF(真實IC!DR12&gt;真實IC!DR$25,1,0)</f>
        <v>0</v>
      </c>
      <c r="DS12" s="10">
        <f>IF(真實IC!DS12&gt;真實IC!DS$25,1,0)</f>
        <v>1</v>
      </c>
      <c r="DT12" s="10">
        <f>IF(真實IC!DT12&gt;真實IC!DT$25,1,0)</f>
        <v>0</v>
      </c>
      <c r="DU12" s="10">
        <f>IF(真實IC!DU12&gt;真實IC!DU$25,1,0)</f>
        <v>0</v>
      </c>
      <c r="DV12" s="10">
        <f>IF(真實IC!DV12&gt;真實IC!DV$25,1,0)</f>
        <v>1</v>
      </c>
      <c r="DW12" s="10">
        <f>IF(真實IC!DW12&gt;真實IC!DW$25,1,0)</f>
        <v>1</v>
      </c>
      <c r="DX12" s="10">
        <f>IF(真實IC!DX12&gt;真實IC!DX$25,1,0)</f>
        <v>0</v>
      </c>
      <c r="DY12" s="10">
        <f>IF(真實IC!DY12&gt;真實IC!DY$25,1,0)</f>
        <v>1</v>
      </c>
      <c r="DZ12" s="10">
        <f>IF(真實IC!DZ12&gt;真實IC!DZ$25,1,0)</f>
        <v>1</v>
      </c>
      <c r="EA12" s="10">
        <f>IF(真實IC!EA12&gt;真實IC!EA$25,1,0)</f>
        <v>1</v>
      </c>
      <c r="EB12" s="10">
        <f>IF(真實IC!EB12&gt;真實IC!EB$25,1,0)</f>
        <v>1</v>
      </c>
      <c r="EC12" s="10">
        <f>IF(真實IC!EC12&gt;真實IC!EC$25,1,0)</f>
        <v>1</v>
      </c>
      <c r="ED12" s="10">
        <f>IF(真實IC!ED12&gt;真實IC!ED$25,1,0)</f>
        <v>1</v>
      </c>
      <c r="EE12" s="10">
        <f>IF(真實IC!EE12&gt;真實IC!EE$25,1,0)</f>
        <v>1</v>
      </c>
      <c r="EF12" s="10">
        <f>IF(真實IC!EF12&gt;真實IC!EF$25,1,0)</f>
        <v>1</v>
      </c>
      <c r="EG12" s="10">
        <f>IF(真實IC!EG12&gt;真實IC!EG$25,1,0)</f>
        <v>1</v>
      </c>
      <c r="EH12" s="10">
        <f>IF(真實IC!EH12&gt;真實IC!EH$25,1,0)</f>
        <v>1</v>
      </c>
      <c r="EI12" s="10">
        <f>IF(真實IC!EI12&gt;真實IC!EI$25,1,0)</f>
        <v>0</v>
      </c>
      <c r="EJ12" s="10">
        <f>IF(真實IC!EJ12&gt;真實IC!EJ$25,1,0)</f>
        <v>1</v>
      </c>
      <c r="EK12" s="10">
        <f>IF(真實IC!EK12&gt;真實IC!EK$25,1,0)</f>
        <v>0</v>
      </c>
      <c r="EL12" s="10">
        <f>IF(真實IC!EL12&gt;真實IC!EL$25,1,0)</f>
        <v>1</v>
      </c>
      <c r="EM12" s="6">
        <f t="shared" ref="EM12:EM24" si="11">SUM(C12:EL12)</f>
        <v>111</v>
      </c>
      <c r="EN12" s="13">
        <f t="shared" ref="EN12:EN24" si="12">EM12/140</f>
        <v>0.79285714285714282</v>
      </c>
    </row>
    <row r="13" spans="1:144" x14ac:dyDescent="0.3">
      <c r="A13" s="11">
        <v>20</v>
      </c>
      <c r="B13" s="11">
        <f t="shared" si="10"/>
        <v>53</v>
      </c>
      <c r="C13" s="10">
        <f>IF(真實IC!C13&gt;真實IC!C$25,1,0)</f>
        <v>1</v>
      </c>
      <c r="D13" s="10">
        <f>IF(真實IC!D13&gt;真實IC!D$25,1,0)</f>
        <v>1</v>
      </c>
      <c r="E13" s="10">
        <f>IF(真實IC!E13&gt;真實IC!E$25,1,0)</f>
        <v>1</v>
      </c>
      <c r="F13" s="10">
        <f>IF(真實IC!F13&gt;真實IC!F$25,1,0)</f>
        <v>1</v>
      </c>
      <c r="G13" s="10">
        <f>IF(真實IC!G13&gt;真實IC!G$25,1,0)</f>
        <v>0</v>
      </c>
      <c r="H13" s="10">
        <f>IF(真實IC!H13&gt;真實IC!H$25,1,0)</f>
        <v>1</v>
      </c>
      <c r="I13" s="10">
        <f>IF(真實IC!I13&gt;真實IC!I$25,1,0)</f>
        <v>1</v>
      </c>
      <c r="J13" s="10">
        <f>IF(真實IC!J13&gt;真實IC!J$25,1,0)</f>
        <v>1</v>
      </c>
      <c r="K13" s="10">
        <f>IF(真實IC!K13&gt;真實IC!K$25,1,0)</f>
        <v>1</v>
      </c>
      <c r="L13" s="10">
        <f>IF(真實IC!L13&gt;真實IC!L$25,1,0)</f>
        <v>1</v>
      </c>
      <c r="M13" s="10">
        <f>IF(真實IC!M13&gt;真實IC!M$25,1,0)</f>
        <v>0</v>
      </c>
      <c r="N13" s="10">
        <f>IF(真實IC!N13&gt;真實IC!N$25,1,0)</f>
        <v>1</v>
      </c>
      <c r="O13" s="10">
        <f>IF(真實IC!O13&gt;真實IC!O$25,1,0)</f>
        <v>1</v>
      </c>
      <c r="P13" s="10">
        <f>IF(真實IC!P13&gt;真實IC!P$25,1,0)</f>
        <v>0</v>
      </c>
      <c r="Q13" s="10">
        <f>IF(真實IC!Q13&gt;真實IC!Q$25,1,0)</f>
        <v>1</v>
      </c>
      <c r="R13" s="10">
        <f>IF(真實IC!R13&gt;真實IC!R$25,1,0)</f>
        <v>0</v>
      </c>
      <c r="S13" s="10">
        <f>IF(真實IC!S13&gt;真實IC!S$25,1,0)</f>
        <v>1</v>
      </c>
      <c r="T13" s="10">
        <f>IF(真實IC!T13&gt;真實IC!T$25,1,0)</f>
        <v>1</v>
      </c>
      <c r="U13" s="10">
        <f>IF(真實IC!U13&gt;真實IC!U$25,1,0)</f>
        <v>1</v>
      </c>
      <c r="V13" s="10">
        <f>IF(真實IC!V13&gt;真實IC!V$25,1,0)</f>
        <v>1</v>
      </c>
      <c r="W13" s="10">
        <f>IF(真實IC!W13&gt;真實IC!W$25,1,0)</f>
        <v>1</v>
      </c>
      <c r="X13" s="10">
        <f>IF(真實IC!X13&gt;真實IC!X$25,1,0)</f>
        <v>1</v>
      </c>
      <c r="Y13" s="10">
        <f>IF(真實IC!Y13&gt;真實IC!Y$25,1,0)</f>
        <v>1</v>
      </c>
      <c r="Z13" s="10">
        <f>IF(真實IC!Z13&gt;真實IC!Z$25,1,0)</f>
        <v>1</v>
      </c>
      <c r="AA13" s="10">
        <f>IF(真實IC!AA13&gt;真實IC!AA$25,1,0)</f>
        <v>1</v>
      </c>
      <c r="AB13" s="10">
        <f>IF(真實IC!AB13&gt;真實IC!AB$25,1,0)</f>
        <v>1</v>
      </c>
      <c r="AC13" s="10">
        <f>IF(真實IC!AC13&gt;真實IC!AC$25,1,0)</f>
        <v>0</v>
      </c>
      <c r="AD13" s="10">
        <f>IF(真實IC!AD13&gt;真實IC!AD$25,1,0)</f>
        <v>1</v>
      </c>
      <c r="AE13" s="10">
        <f>IF(真實IC!AE13&gt;真實IC!AE$25,1,0)</f>
        <v>1</v>
      </c>
      <c r="AF13" s="10">
        <f>IF(真實IC!AF13&gt;真實IC!AF$25,1,0)</f>
        <v>1</v>
      </c>
      <c r="AG13" s="10">
        <f>IF(真實IC!AG13&gt;真實IC!AG$25,1,0)</f>
        <v>0</v>
      </c>
      <c r="AH13" s="10">
        <f>IF(真實IC!AH13&gt;真實IC!AH$25,1,0)</f>
        <v>1</v>
      </c>
      <c r="AI13" s="10">
        <f>IF(真實IC!AI13&gt;真實IC!AI$25,1,0)</f>
        <v>1</v>
      </c>
      <c r="AJ13" s="10">
        <f>IF(真實IC!AJ13&gt;真實IC!AJ$25,1,0)</f>
        <v>1</v>
      </c>
      <c r="AK13" s="10">
        <f>IF(真實IC!AK13&gt;真實IC!AK$25,1,0)</f>
        <v>1</v>
      </c>
      <c r="AL13" s="10">
        <f>IF(真實IC!AL13&gt;真實IC!AL$25,1,0)</f>
        <v>1</v>
      </c>
      <c r="AM13" s="10">
        <f>IF(真實IC!AM13&gt;真實IC!AM$25,1,0)</f>
        <v>1</v>
      </c>
      <c r="AN13" s="10">
        <f>IF(真實IC!AN13&gt;真實IC!AN$25,1,0)</f>
        <v>1</v>
      </c>
      <c r="AO13" s="10">
        <f>IF(真實IC!AO13&gt;真實IC!AO$25,1,0)</f>
        <v>0</v>
      </c>
      <c r="AP13" s="10">
        <f>IF(真實IC!AP13&gt;真實IC!AP$25,1,0)</f>
        <v>1</v>
      </c>
      <c r="AQ13" s="10">
        <f>IF(真實IC!AQ13&gt;真實IC!AQ$25,1,0)</f>
        <v>0</v>
      </c>
      <c r="AR13" s="10">
        <f>IF(真實IC!AR13&gt;真實IC!AR$25,1,0)</f>
        <v>0</v>
      </c>
      <c r="AS13" s="10">
        <f>IF(真實IC!AS13&gt;真實IC!AS$25,1,0)</f>
        <v>1</v>
      </c>
      <c r="AT13" s="10">
        <f>IF(真實IC!AT13&gt;真實IC!AT$25,1,0)</f>
        <v>1</v>
      </c>
      <c r="AU13" s="10">
        <f>IF(真實IC!AU13&gt;真實IC!AU$25,1,0)</f>
        <v>1</v>
      </c>
      <c r="AV13" s="10">
        <f>IF(真實IC!AV13&gt;真實IC!AV$25,1,0)</f>
        <v>1</v>
      </c>
      <c r="AW13" s="10">
        <f>IF(真實IC!AW13&gt;真實IC!AW$25,1,0)</f>
        <v>1</v>
      </c>
      <c r="AX13" s="10">
        <f>IF(真實IC!AX13&gt;真實IC!AX$25,1,0)</f>
        <v>1</v>
      </c>
      <c r="AY13" s="10">
        <f>IF(真實IC!AY13&gt;真實IC!AY$25,1,0)</f>
        <v>0</v>
      </c>
      <c r="AZ13" s="10">
        <f>IF(真實IC!AZ13&gt;真實IC!AZ$25,1,0)</f>
        <v>1</v>
      </c>
      <c r="BA13" s="10">
        <f>IF(真實IC!BA13&gt;真實IC!BA$25,1,0)</f>
        <v>1</v>
      </c>
      <c r="BB13" s="10">
        <f>IF(真實IC!BB13&gt;真實IC!BB$25,1,0)</f>
        <v>1</v>
      </c>
      <c r="BC13" s="10">
        <f>IF(真實IC!BC13&gt;真實IC!BC$25,1,0)</f>
        <v>0</v>
      </c>
      <c r="BD13" s="10">
        <f>IF(真實IC!BD13&gt;真實IC!BD$25,1,0)</f>
        <v>1</v>
      </c>
      <c r="BE13" s="10">
        <f>IF(真實IC!BE13&gt;真實IC!BE$25,1,0)</f>
        <v>1</v>
      </c>
      <c r="BF13" s="10">
        <f>IF(真實IC!BF13&gt;真實IC!BF$25,1,0)</f>
        <v>1</v>
      </c>
      <c r="BG13" s="10">
        <f>IF(真實IC!BG13&gt;真實IC!BG$25,1,0)</f>
        <v>1</v>
      </c>
      <c r="BH13" s="10">
        <f>IF(真實IC!BH13&gt;真實IC!BH$25,1,0)</f>
        <v>1</v>
      </c>
      <c r="BI13" s="10">
        <f>IF(真實IC!BI13&gt;真實IC!BI$25,1,0)</f>
        <v>1</v>
      </c>
      <c r="BJ13" s="10">
        <f>IF(真實IC!BJ13&gt;真實IC!BJ$25,1,0)</f>
        <v>1</v>
      </c>
      <c r="BK13" s="10">
        <f>IF(真實IC!BK13&gt;真實IC!BK$25,1,0)</f>
        <v>0</v>
      </c>
      <c r="BL13" s="10">
        <f>IF(真實IC!BL13&gt;真實IC!BL$25,1,0)</f>
        <v>0</v>
      </c>
      <c r="BM13" s="10">
        <f>IF(真實IC!BM13&gt;真實IC!BM$25,1,0)</f>
        <v>1</v>
      </c>
      <c r="BN13" s="10">
        <f>IF(真實IC!BN13&gt;真實IC!BN$25,1,0)</f>
        <v>1</v>
      </c>
      <c r="BO13" s="10">
        <f>IF(真實IC!BO13&gt;真實IC!BO$25,1,0)</f>
        <v>1</v>
      </c>
      <c r="BP13" s="10">
        <f>IF(真實IC!BP13&gt;真實IC!BP$25,1,0)</f>
        <v>0</v>
      </c>
      <c r="BQ13" s="10">
        <f>IF(真實IC!BQ13&gt;真實IC!BQ$25,1,0)</f>
        <v>0</v>
      </c>
      <c r="BR13" s="10">
        <f>IF(真實IC!BR13&gt;真實IC!BR$25,1,0)</f>
        <v>1</v>
      </c>
      <c r="BS13" s="10">
        <f>IF(真實IC!BS13&gt;真實IC!BS$25,1,0)</f>
        <v>1</v>
      </c>
      <c r="BT13" s="10">
        <f>IF(真實IC!BT13&gt;真實IC!BT$25,1,0)</f>
        <v>0</v>
      </c>
      <c r="BU13" s="10">
        <f>IF(真實IC!BU13&gt;真實IC!BU$25,1,0)</f>
        <v>1</v>
      </c>
      <c r="BV13" s="10">
        <f>IF(真實IC!BV13&gt;真實IC!BV$25,1,0)</f>
        <v>1</v>
      </c>
      <c r="BW13" s="10">
        <f>IF(真實IC!BW13&gt;真實IC!BW$25,1,0)</f>
        <v>1</v>
      </c>
      <c r="BX13" s="10">
        <f>IF(真實IC!BX13&gt;真實IC!BX$25,1,0)</f>
        <v>1</v>
      </c>
      <c r="BY13" s="10">
        <f>IF(真實IC!BY13&gt;真實IC!BY$25,1,0)</f>
        <v>1</v>
      </c>
      <c r="BZ13" s="10">
        <f>IF(真實IC!BZ13&gt;真實IC!BZ$25,1,0)</f>
        <v>0</v>
      </c>
      <c r="CA13" s="10">
        <f>IF(真實IC!CA13&gt;真實IC!CA$25,1,0)</f>
        <v>1</v>
      </c>
      <c r="CB13" s="10">
        <f>IF(真實IC!CB13&gt;真實IC!CB$25,1,0)</f>
        <v>1</v>
      </c>
      <c r="CC13" s="10">
        <f>IF(真實IC!CC13&gt;真實IC!CC$25,1,0)</f>
        <v>0</v>
      </c>
      <c r="CD13" s="10">
        <f>IF(真實IC!CD13&gt;真實IC!CD$25,1,0)</f>
        <v>1</v>
      </c>
      <c r="CE13" s="10">
        <f>IF(真實IC!CE13&gt;真實IC!CE$25,1,0)</f>
        <v>1</v>
      </c>
      <c r="CF13" s="10">
        <f>IF(真實IC!CF13&gt;真實IC!CF$25,1,0)</f>
        <v>1</v>
      </c>
      <c r="CG13" s="10">
        <f>IF(真實IC!CG13&gt;真實IC!CG$25,1,0)</f>
        <v>0</v>
      </c>
      <c r="CH13" s="10">
        <f>IF(真實IC!CH13&gt;真實IC!CH$25,1,0)</f>
        <v>1</v>
      </c>
      <c r="CI13" s="10">
        <f>IF(真實IC!CI13&gt;真實IC!CI$25,1,0)</f>
        <v>1</v>
      </c>
      <c r="CJ13" s="10">
        <f>IF(真實IC!CJ13&gt;真實IC!CJ$25,1,0)</f>
        <v>1</v>
      </c>
      <c r="CK13" s="10">
        <f>IF(真實IC!CK13&gt;真實IC!CK$25,1,0)</f>
        <v>1</v>
      </c>
      <c r="CL13" s="10">
        <f>IF(真實IC!CL13&gt;真實IC!CL$25,1,0)</f>
        <v>1</v>
      </c>
      <c r="CM13" s="10">
        <f>IF(真實IC!CM13&gt;真實IC!CM$25,1,0)</f>
        <v>1</v>
      </c>
      <c r="CN13" s="10">
        <f>IF(真實IC!CN13&gt;真實IC!CN$25,1,0)</f>
        <v>1</v>
      </c>
      <c r="CO13" s="10">
        <f>IF(真實IC!CO13&gt;真實IC!CO$25,1,0)</f>
        <v>1</v>
      </c>
      <c r="CP13" s="10">
        <f>IF(真實IC!CP13&gt;真實IC!CP$25,1,0)</f>
        <v>1</v>
      </c>
      <c r="CQ13" s="10">
        <f>IF(真實IC!CQ13&gt;真實IC!CQ$25,1,0)</f>
        <v>1</v>
      </c>
      <c r="CR13" s="10">
        <f>IF(真實IC!CR13&gt;真實IC!CR$25,1,0)</f>
        <v>1</v>
      </c>
      <c r="CS13" s="10">
        <f>IF(真實IC!CS13&gt;真實IC!CS$25,1,0)</f>
        <v>1</v>
      </c>
      <c r="CT13" s="10">
        <f>IF(真實IC!CT13&gt;真實IC!CT$25,1,0)</f>
        <v>1</v>
      </c>
      <c r="CU13" s="10">
        <f>IF(真實IC!CU13&gt;真實IC!CU$25,1,0)</f>
        <v>1</v>
      </c>
      <c r="CV13" s="10">
        <f>IF(真實IC!CV13&gt;真實IC!CV$25,1,0)</f>
        <v>1</v>
      </c>
      <c r="CW13" s="10">
        <f>IF(真實IC!CW13&gt;真實IC!CW$25,1,0)</f>
        <v>1</v>
      </c>
      <c r="CX13" s="10">
        <f>IF(真實IC!CX13&gt;真實IC!CX$25,1,0)</f>
        <v>1</v>
      </c>
      <c r="CY13" s="10">
        <f>IF(真實IC!CY13&gt;真實IC!CY$25,1,0)</f>
        <v>1</v>
      </c>
      <c r="CZ13" s="10">
        <f>IF(真實IC!CZ13&gt;真實IC!CZ$25,1,0)</f>
        <v>1</v>
      </c>
      <c r="DA13" s="10">
        <f>IF(真實IC!DA13&gt;真實IC!DA$25,1,0)</f>
        <v>1</v>
      </c>
      <c r="DB13" s="10">
        <f>IF(真實IC!DB13&gt;真實IC!DB$25,1,0)</f>
        <v>1</v>
      </c>
      <c r="DC13" s="10">
        <f>IF(真實IC!DC13&gt;真實IC!DC$25,1,0)</f>
        <v>1</v>
      </c>
      <c r="DD13" s="10">
        <f>IF(真實IC!DD13&gt;真實IC!DD$25,1,0)</f>
        <v>1</v>
      </c>
      <c r="DE13" s="10">
        <f>IF(真實IC!DE13&gt;真實IC!DE$25,1,0)</f>
        <v>0</v>
      </c>
      <c r="DF13" s="10">
        <f>IF(真實IC!DF13&gt;真實IC!DF$25,1,0)</f>
        <v>1</v>
      </c>
      <c r="DG13" s="10">
        <f>IF(真實IC!DG13&gt;真實IC!DG$25,1,0)</f>
        <v>0</v>
      </c>
      <c r="DH13" s="10">
        <f>IF(真實IC!DH13&gt;真實IC!DH$25,1,0)</f>
        <v>1</v>
      </c>
      <c r="DI13" s="10">
        <f>IF(真實IC!DI13&gt;真實IC!DI$25,1,0)</f>
        <v>1</v>
      </c>
      <c r="DJ13" s="10">
        <f>IF(真實IC!DJ13&gt;真實IC!DJ$25,1,0)</f>
        <v>1</v>
      </c>
      <c r="DK13" s="10">
        <f>IF(真實IC!DK13&gt;真實IC!DK$25,1,0)</f>
        <v>0</v>
      </c>
      <c r="DL13" s="10">
        <f>IF(真實IC!DL13&gt;真實IC!DL$25,1,0)</f>
        <v>1</v>
      </c>
      <c r="DM13" s="10">
        <f>IF(真實IC!DM13&gt;真實IC!DM$25,1,0)</f>
        <v>1</v>
      </c>
      <c r="DN13" s="10">
        <f>IF(真實IC!DN13&gt;真實IC!DN$25,1,0)</f>
        <v>1</v>
      </c>
      <c r="DO13" s="10">
        <f>IF(真實IC!DO13&gt;真實IC!DO$25,1,0)</f>
        <v>1</v>
      </c>
      <c r="DP13" s="10">
        <f>IF(真實IC!DP13&gt;真實IC!DP$25,1,0)</f>
        <v>1</v>
      </c>
      <c r="DQ13" s="10">
        <f>IF(真實IC!DQ13&gt;真實IC!DQ$25,1,0)</f>
        <v>1</v>
      </c>
      <c r="DR13" s="10">
        <f>IF(真實IC!DR13&gt;真實IC!DR$25,1,0)</f>
        <v>0</v>
      </c>
      <c r="DS13" s="10">
        <f>IF(真實IC!DS13&gt;真實IC!DS$25,1,0)</f>
        <v>1</v>
      </c>
      <c r="DT13" s="10">
        <f>IF(真實IC!DT13&gt;真實IC!DT$25,1,0)</f>
        <v>0</v>
      </c>
      <c r="DU13" s="10">
        <f>IF(真實IC!DU13&gt;真實IC!DU$25,1,0)</f>
        <v>0</v>
      </c>
      <c r="DV13" s="10">
        <f>IF(真實IC!DV13&gt;真實IC!DV$25,1,0)</f>
        <v>1</v>
      </c>
      <c r="DW13" s="10">
        <f>IF(真實IC!DW13&gt;真實IC!DW$25,1,0)</f>
        <v>1</v>
      </c>
      <c r="DX13" s="10">
        <f>IF(真實IC!DX13&gt;真實IC!DX$25,1,0)</f>
        <v>0</v>
      </c>
      <c r="DY13" s="10">
        <f>IF(真實IC!DY13&gt;真實IC!DY$25,1,0)</f>
        <v>1</v>
      </c>
      <c r="DZ13" s="10">
        <f>IF(真實IC!DZ13&gt;真實IC!DZ$25,1,0)</f>
        <v>0</v>
      </c>
      <c r="EA13" s="10">
        <f>IF(真實IC!EA13&gt;真實IC!EA$25,1,0)</f>
        <v>1</v>
      </c>
      <c r="EB13" s="10">
        <f>IF(真實IC!EB13&gt;真實IC!EB$25,1,0)</f>
        <v>1</v>
      </c>
      <c r="EC13" s="10">
        <f>IF(真實IC!EC13&gt;真實IC!EC$25,1,0)</f>
        <v>1</v>
      </c>
      <c r="ED13" s="10">
        <f>IF(真實IC!ED13&gt;真實IC!ED$25,1,0)</f>
        <v>1</v>
      </c>
      <c r="EE13" s="10">
        <f>IF(真實IC!EE13&gt;真實IC!EE$25,1,0)</f>
        <v>1</v>
      </c>
      <c r="EF13" s="10">
        <f>IF(真實IC!EF13&gt;真實IC!EF$25,1,0)</f>
        <v>1</v>
      </c>
      <c r="EG13" s="10">
        <f>IF(真實IC!EG13&gt;真實IC!EG$25,1,0)</f>
        <v>1</v>
      </c>
      <c r="EH13" s="10">
        <f>IF(真實IC!EH13&gt;真實IC!EH$25,1,0)</f>
        <v>1</v>
      </c>
      <c r="EI13" s="10">
        <f>IF(真實IC!EI13&gt;真實IC!EI$25,1,0)</f>
        <v>0</v>
      </c>
      <c r="EJ13" s="10">
        <f>IF(真實IC!EJ13&gt;真實IC!EJ$25,1,0)</f>
        <v>1</v>
      </c>
      <c r="EK13" s="10">
        <f>IF(真實IC!EK13&gt;真實IC!EK$25,1,0)</f>
        <v>1</v>
      </c>
      <c r="EL13" s="10">
        <f>IF(真實IC!EL13&gt;真實IC!EL$25,1,0)</f>
        <v>1</v>
      </c>
      <c r="EM13" s="6">
        <f t="shared" si="11"/>
        <v>112</v>
      </c>
      <c r="EN13" s="13">
        <f t="shared" si="12"/>
        <v>0.8</v>
      </c>
    </row>
    <row r="14" spans="1:144" x14ac:dyDescent="0.3">
      <c r="A14" s="11">
        <v>50</v>
      </c>
      <c r="B14" s="11">
        <f t="shared" si="10"/>
        <v>21</v>
      </c>
      <c r="C14" s="10">
        <f>IF(真實IC!C14&gt;真實IC!C$25,1,0)</f>
        <v>1</v>
      </c>
      <c r="D14" s="10">
        <f>IF(真實IC!D14&gt;真實IC!D$25,1,0)</f>
        <v>1</v>
      </c>
      <c r="E14" s="10">
        <f>IF(真實IC!E14&gt;真實IC!E$25,1,0)</f>
        <v>1</v>
      </c>
      <c r="F14" s="10">
        <f>IF(真實IC!F14&gt;真實IC!F$25,1,0)</f>
        <v>1</v>
      </c>
      <c r="G14" s="10">
        <f>IF(真實IC!G14&gt;真實IC!G$25,1,0)</f>
        <v>1</v>
      </c>
      <c r="H14" s="10">
        <f>IF(真實IC!H14&gt;真實IC!H$25,1,0)</f>
        <v>0</v>
      </c>
      <c r="I14" s="10">
        <f>IF(真實IC!I14&gt;真實IC!I$25,1,0)</f>
        <v>1</v>
      </c>
      <c r="J14" s="10">
        <f>IF(真實IC!J14&gt;真實IC!J$25,1,0)</f>
        <v>1</v>
      </c>
      <c r="K14" s="10">
        <f>IF(真實IC!K14&gt;真實IC!K$25,1,0)</f>
        <v>1</v>
      </c>
      <c r="L14" s="10">
        <f>IF(真實IC!L14&gt;真實IC!L$25,1,0)</f>
        <v>0</v>
      </c>
      <c r="M14" s="10">
        <f>IF(真實IC!M14&gt;真實IC!M$25,1,0)</f>
        <v>1</v>
      </c>
      <c r="N14" s="10">
        <f>IF(真實IC!N14&gt;真實IC!N$25,1,0)</f>
        <v>1</v>
      </c>
      <c r="O14" s="10">
        <f>IF(真實IC!O14&gt;真實IC!O$25,1,0)</f>
        <v>0</v>
      </c>
      <c r="P14" s="10">
        <f>IF(真實IC!P14&gt;真實IC!P$25,1,0)</f>
        <v>0</v>
      </c>
      <c r="Q14" s="10">
        <f>IF(真實IC!Q14&gt;真實IC!Q$25,1,0)</f>
        <v>1</v>
      </c>
      <c r="R14" s="10">
        <f>IF(真實IC!R14&gt;真實IC!R$25,1,0)</f>
        <v>0</v>
      </c>
      <c r="S14" s="10">
        <f>IF(真實IC!S14&gt;真實IC!S$25,1,0)</f>
        <v>1</v>
      </c>
      <c r="T14" s="10">
        <f>IF(真實IC!T14&gt;真實IC!T$25,1,0)</f>
        <v>1</v>
      </c>
      <c r="U14" s="10">
        <f>IF(真實IC!U14&gt;真實IC!U$25,1,0)</f>
        <v>1</v>
      </c>
      <c r="V14" s="10">
        <f>IF(真實IC!V14&gt;真實IC!V$25,1,0)</f>
        <v>1</v>
      </c>
      <c r="W14" s="10">
        <f>IF(真實IC!W14&gt;真實IC!W$25,1,0)</f>
        <v>1</v>
      </c>
      <c r="X14" s="10">
        <f>IF(真實IC!X14&gt;真實IC!X$25,1,0)</f>
        <v>1</v>
      </c>
      <c r="Y14" s="10">
        <f>IF(真實IC!Y14&gt;真實IC!Y$25,1,0)</f>
        <v>1</v>
      </c>
      <c r="Z14" s="10">
        <f>IF(真實IC!Z14&gt;真實IC!Z$25,1,0)</f>
        <v>1</v>
      </c>
      <c r="AA14" s="10">
        <f>IF(真實IC!AA14&gt;真實IC!AA$25,1,0)</f>
        <v>1</v>
      </c>
      <c r="AB14" s="10">
        <f>IF(真實IC!AB14&gt;真實IC!AB$25,1,0)</f>
        <v>1</v>
      </c>
      <c r="AC14" s="10">
        <f>IF(真實IC!AC14&gt;真實IC!AC$25,1,0)</f>
        <v>0</v>
      </c>
      <c r="AD14" s="10">
        <f>IF(真實IC!AD14&gt;真實IC!AD$25,1,0)</f>
        <v>1</v>
      </c>
      <c r="AE14" s="10">
        <f>IF(真實IC!AE14&gt;真實IC!AE$25,1,0)</f>
        <v>1</v>
      </c>
      <c r="AF14" s="10">
        <f>IF(真實IC!AF14&gt;真實IC!AF$25,1,0)</f>
        <v>1</v>
      </c>
      <c r="AG14" s="10">
        <f>IF(真實IC!AG14&gt;真實IC!AG$25,1,0)</f>
        <v>1</v>
      </c>
      <c r="AH14" s="10">
        <f>IF(真實IC!AH14&gt;真實IC!AH$25,1,0)</f>
        <v>0</v>
      </c>
      <c r="AI14" s="10">
        <f>IF(真實IC!AI14&gt;真實IC!AI$25,1,0)</f>
        <v>1</v>
      </c>
      <c r="AJ14" s="10">
        <f>IF(真實IC!AJ14&gt;真實IC!AJ$25,1,0)</f>
        <v>1</v>
      </c>
      <c r="AK14" s="10">
        <f>IF(真實IC!AK14&gt;真實IC!AK$25,1,0)</f>
        <v>1</v>
      </c>
      <c r="AL14" s="10">
        <f>IF(真實IC!AL14&gt;真實IC!AL$25,1,0)</f>
        <v>1</v>
      </c>
      <c r="AM14" s="10">
        <f>IF(真實IC!AM14&gt;真實IC!AM$25,1,0)</f>
        <v>1</v>
      </c>
      <c r="AN14" s="10">
        <f>IF(真實IC!AN14&gt;真實IC!AN$25,1,0)</f>
        <v>1</v>
      </c>
      <c r="AO14" s="10">
        <f>IF(真實IC!AO14&gt;真實IC!AO$25,1,0)</f>
        <v>1</v>
      </c>
      <c r="AP14" s="10">
        <f>IF(真實IC!AP14&gt;真實IC!AP$25,1,0)</f>
        <v>1</v>
      </c>
      <c r="AQ14" s="10">
        <f>IF(真實IC!AQ14&gt;真實IC!AQ$25,1,0)</f>
        <v>0</v>
      </c>
      <c r="AR14" s="10">
        <f>IF(真實IC!AR14&gt;真實IC!AR$25,1,0)</f>
        <v>1</v>
      </c>
      <c r="AS14" s="10">
        <f>IF(真實IC!AS14&gt;真實IC!AS$25,1,0)</f>
        <v>1</v>
      </c>
      <c r="AT14" s="10">
        <f>IF(真實IC!AT14&gt;真實IC!AT$25,1,0)</f>
        <v>1</v>
      </c>
      <c r="AU14" s="10">
        <f>IF(真實IC!AU14&gt;真實IC!AU$25,1,0)</f>
        <v>1</v>
      </c>
      <c r="AV14" s="10">
        <f>IF(真實IC!AV14&gt;真實IC!AV$25,1,0)</f>
        <v>1</v>
      </c>
      <c r="AW14" s="10">
        <f>IF(真實IC!AW14&gt;真實IC!AW$25,1,0)</f>
        <v>1</v>
      </c>
      <c r="AX14" s="10">
        <f>IF(真實IC!AX14&gt;真實IC!AX$25,1,0)</f>
        <v>1</v>
      </c>
      <c r="AY14" s="10">
        <f>IF(真實IC!AY14&gt;真實IC!AY$25,1,0)</f>
        <v>0</v>
      </c>
      <c r="AZ14" s="10">
        <f>IF(真實IC!AZ14&gt;真實IC!AZ$25,1,0)</f>
        <v>1</v>
      </c>
      <c r="BA14" s="10">
        <f>IF(真實IC!BA14&gt;真實IC!BA$25,1,0)</f>
        <v>1</v>
      </c>
      <c r="BB14" s="10">
        <f>IF(真實IC!BB14&gt;真實IC!BB$25,1,0)</f>
        <v>1</v>
      </c>
      <c r="BC14" s="10">
        <f>IF(真實IC!BC14&gt;真實IC!BC$25,1,0)</f>
        <v>0</v>
      </c>
      <c r="BD14" s="10">
        <f>IF(真實IC!BD14&gt;真實IC!BD$25,1,0)</f>
        <v>1</v>
      </c>
      <c r="BE14" s="10">
        <f>IF(真實IC!BE14&gt;真實IC!BE$25,1,0)</f>
        <v>1</v>
      </c>
      <c r="BF14" s="10">
        <f>IF(真實IC!BF14&gt;真實IC!BF$25,1,0)</f>
        <v>1</v>
      </c>
      <c r="BG14" s="10">
        <f>IF(真實IC!BG14&gt;真實IC!BG$25,1,0)</f>
        <v>1</v>
      </c>
      <c r="BH14" s="10">
        <f>IF(真實IC!BH14&gt;真實IC!BH$25,1,0)</f>
        <v>1</v>
      </c>
      <c r="BI14" s="10">
        <f>IF(真實IC!BI14&gt;真實IC!BI$25,1,0)</f>
        <v>1</v>
      </c>
      <c r="BJ14" s="10">
        <f>IF(真實IC!BJ14&gt;真實IC!BJ$25,1,0)</f>
        <v>1</v>
      </c>
      <c r="BK14" s="10">
        <f>IF(真實IC!BK14&gt;真實IC!BK$25,1,0)</f>
        <v>0</v>
      </c>
      <c r="BL14" s="10">
        <f>IF(真實IC!BL14&gt;真實IC!BL$25,1,0)</f>
        <v>1</v>
      </c>
      <c r="BM14" s="10">
        <f>IF(真實IC!BM14&gt;真實IC!BM$25,1,0)</f>
        <v>1</v>
      </c>
      <c r="BN14" s="10">
        <f>IF(真實IC!BN14&gt;真實IC!BN$25,1,0)</f>
        <v>1</v>
      </c>
      <c r="BO14" s="10">
        <f>IF(真實IC!BO14&gt;真實IC!BO$25,1,0)</f>
        <v>1</v>
      </c>
      <c r="BP14" s="10">
        <f>IF(真實IC!BP14&gt;真實IC!BP$25,1,0)</f>
        <v>0</v>
      </c>
      <c r="BQ14" s="10">
        <f>IF(真實IC!BQ14&gt;真實IC!BQ$25,1,0)</f>
        <v>1</v>
      </c>
      <c r="BR14" s="10">
        <f>IF(真實IC!BR14&gt;真實IC!BR$25,1,0)</f>
        <v>1</v>
      </c>
      <c r="BS14" s="10">
        <f>IF(真實IC!BS14&gt;真實IC!BS$25,1,0)</f>
        <v>1</v>
      </c>
      <c r="BT14" s="10">
        <f>IF(真實IC!BT14&gt;真實IC!BT$25,1,0)</f>
        <v>0</v>
      </c>
      <c r="BU14" s="10">
        <f>IF(真實IC!BU14&gt;真實IC!BU$25,1,0)</f>
        <v>1</v>
      </c>
      <c r="BV14" s="10">
        <f>IF(真實IC!BV14&gt;真實IC!BV$25,1,0)</f>
        <v>0</v>
      </c>
      <c r="BW14" s="10">
        <f>IF(真實IC!BW14&gt;真實IC!BW$25,1,0)</f>
        <v>1</v>
      </c>
      <c r="BX14" s="10">
        <f>IF(真實IC!BX14&gt;真實IC!BX$25,1,0)</f>
        <v>1</v>
      </c>
      <c r="BY14" s="10">
        <f>IF(真實IC!BY14&gt;真實IC!BY$25,1,0)</f>
        <v>1</v>
      </c>
      <c r="BZ14" s="10">
        <f>IF(真實IC!BZ14&gt;真實IC!BZ$25,1,0)</f>
        <v>0</v>
      </c>
      <c r="CA14" s="10">
        <f>IF(真實IC!CA14&gt;真實IC!CA$25,1,0)</f>
        <v>1</v>
      </c>
      <c r="CB14" s="10">
        <f>IF(真實IC!CB14&gt;真實IC!CB$25,1,0)</f>
        <v>1</v>
      </c>
      <c r="CC14" s="10">
        <f>IF(真實IC!CC14&gt;真實IC!CC$25,1,0)</f>
        <v>0</v>
      </c>
      <c r="CD14" s="10">
        <f>IF(真實IC!CD14&gt;真實IC!CD$25,1,0)</f>
        <v>1</v>
      </c>
      <c r="CE14" s="10">
        <f>IF(真實IC!CE14&gt;真實IC!CE$25,1,0)</f>
        <v>1</v>
      </c>
      <c r="CF14" s="10">
        <f>IF(真實IC!CF14&gt;真實IC!CF$25,1,0)</f>
        <v>1</v>
      </c>
      <c r="CG14" s="10">
        <f>IF(真實IC!CG14&gt;真實IC!CG$25,1,0)</f>
        <v>0</v>
      </c>
      <c r="CH14" s="10">
        <f>IF(真實IC!CH14&gt;真實IC!CH$25,1,0)</f>
        <v>1</v>
      </c>
      <c r="CI14" s="10">
        <f>IF(真實IC!CI14&gt;真實IC!CI$25,1,0)</f>
        <v>0</v>
      </c>
      <c r="CJ14" s="10">
        <f>IF(真實IC!CJ14&gt;真實IC!CJ$25,1,0)</f>
        <v>0</v>
      </c>
      <c r="CK14" s="10">
        <f>IF(真實IC!CK14&gt;真實IC!CK$25,1,0)</f>
        <v>1</v>
      </c>
      <c r="CL14" s="10">
        <f>IF(真實IC!CL14&gt;真實IC!CL$25,1,0)</f>
        <v>1</v>
      </c>
      <c r="CM14" s="10">
        <f>IF(真實IC!CM14&gt;真實IC!CM$25,1,0)</f>
        <v>1</v>
      </c>
      <c r="CN14" s="10">
        <f>IF(真實IC!CN14&gt;真實IC!CN$25,1,0)</f>
        <v>1</v>
      </c>
      <c r="CO14" s="10">
        <f>IF(真實IC!CO14&gt;真實IC!CO$25,1,0)</f>
        <v>1</v>
      </c>
      <c r="CP14" s="10">
        <f>IF(真實IC!CP14&gt;真實IC!CP$25,1,0)</f>
        <v>1</v>
      </c>
      <c r="CQ14" s="10">
        <f>IF(真實IC!CQ14&gt;真實IC!CQ$25,1,0)</f>
        <v>1</v>
      </c>
      <c r="CR14" s="10">
        <f>IF(真實IC!CR14&gt;真實IC!CR$25,1,0)</f>
        <v>1</v>
      </c>
      <c r="CS14" s="10">
        <f>IF(真實IC!CS14&gt;真實IC!CS$25,1,0)</f>
        <v>1</v>
      </c>
      <c r="CT14" s="10">
        <f>IF(真實IC!CT14&gt;真實IC!CT$25,1,0)</f>
        <v>1</v>
      </c>
      <c r="CU14" s="10">
        <f>IF(真實IC!CU14&gt;真實IC!CU$25,1,0)</f>
        <v>1</v>
      </c>
      <c r="CV14" s="10">
        <f>IF(真實IC!CV14&gt;真實IC!CV$25,1,0)</f>
        <v>1</v>
      </c>
      <c r="CW14" s="10">
        <f>IF(真實IC!CW14&gt;真實IC!CW$25,1,0)</f>
        <v>1</v>
      </c>
      <c r="CX14" s="10">
        <f>IF(真實IC!CX14&gt;真實IC!CX$25,1,0)</f>
        <v>1</v>
      </c>
      <c r="CY14" s="10">
        <f>IF(真實IC!CY14&gt;真實IC!CY$25,1,0)</f>
        <v>1</v>
      </c>
      <c r="CZ14" s="10">
        <f>IF(真實IC!CZ14&gt;真實IC!CZ$25,1,0)</f>
        <v>1</v>
      </c>
      <c r="DA14" s="10">
        <f>IF(真實IC!DA14&gt;真實IC!DA$25,1,0)</f>
        <v>1</v>
      </c>
      <c r="DB14" s="10">
        <f>IF(真實IC!DB14&gt;真實IC!DB$25,1,0)</f>
        <v>1</v>
      </c>
      <c r="DC14" s="10">
        <f>IF(真實IC!DC14&gt;真實IC!DC$25,1,0)</f>
        <v>1</v>
      </c>
      <c r="DD14" s="10">
        <f>IF(真實IC!DD14&gt;真實IC!DD$25,1,0)</f>
        <v>1</v>
      </c>
      <c r="DE14" s="10">
        <f>IF(真實IC!DE14&gt;真實IC!DE$25,1,0)</f>
        <v>0</v>
      </c>
      <c r="DF14" s="10">
        <f>IF(真實IC!DF14&gt;真實IC!DF$25,1,0)</f>
        <v>1</v>
      </c>
      <c r="DG14" s="10">
        <f>IF(真實IC!DG14&gt;真實IC!DG$25,1,0)</f>
        <v>0</v>
      </c>
      <c r="DH14" s="10">
        <f>IF(真實IC!DH14&gt;真實IC!DH$25,1,0)</f>
        <v>1</v>
      </c>
      <c r="DI14" s="10">
        <f>IF(真實IC!DI14&gt;真實IC!DI$25,1,0)</f>
        <v>1</v>
      </c>
      <c r="DJ14" s="10">
        <f>IF(真實IC!DJ14&gt;真實IC!DJ$25,1,0)</f>
        <v>1</v>
      </c>
      <c r="DK14" s="10">
        <f>IF(真實IC!DK14&gt;真實IC!DK$25,1,0)</f>
        <v>0</v>
      </c>
      <c r="DL14" s="10">
        <f>IF(真實IC!DL14&gt;真實IC!DL$25,1,0)</f>
        <v>1</v>
      </c>
      <c r="DM14" s="10">
        <f>IF(真實IC!DM14&gt;真實IC!DM$25,1,0)</f>
        <v>1</v>
      </c>
      <c r="DN14" s="10">
        <f>IF(真實IC!DN14&gt;真實IC!DN$25,1,0)</f>
        <v>1</v>
      </c>
      <c r="DO14" s="10">
        <f>IF(真實IC!DO14&gt;真實IC!DO$25,1,0)</f>
        <v>1</v>
      </c>
      <c r="DP14" s="10">
        <f>IF(真實IC!DP14&gt;真實IC!DP$25,1,0)</f>
        <v>1</v>
      </c>
      <c r="DQ14" s="10">
        <f>IF(真實IC!DQ14&gt;真實IC!DQ$25,1,0)</f>
        <v>0</v>
      </c>
      <c r="DR14" s="10">
        <f>IF(真實IC!DR14&gt;真實IC!DR$25,1,0)</f>
        <v>0</v>
      </c>
      <c r="DS14" s="10">
        <f>IF(真實IC!DS14&gt;真實IC!DS$25,1,0)</f>
        <v>1</v>
      </c>
      <c r="DT14" s="10">
        <f>IF(真實IC!DT14&gt;真實IC!DT$25,1,0)</f>
        <v>0</v>
      </c>
      <c r="DU14" s="10">
        <f>IF(真實IC!DU14&gt;真實IC!DU$25,1,0)</f>
        <v>0</v>
      </c>
      <c r="DV14" s="10">
        <f>IF(真實IC!DV14&gt;真實IC!DV$25,1,0)</f>
        <v>1</v>
      </c>
      <c r="DW14" s="10">
        <f>IF(真實IC!DW14&gt;真實IC!DW$25,1,0)</f>
        <v>1</v>
      </c>
      <c r="DX14" s="10">
        <f>IF(真實IC!DX14&gt;真實IC!DX$25,1,0)</f>
        <v>0</v>
      </c>
      <c r="DY14" s="10">
        <f>IF(真實IC!DY14&gt;真實IC!DY$25,1,0)</f>
        <v>1</v>
      </c>
      <c r="DZ14" s="10">
        <f>IF(真實IC!DZ14&gt;真實IC!DZ$25,1,0)</f>
        <v>0</v>
      </c>
      <c r="EA14" s="10">
        <f>IF(真實IC!EA14&gt;真實IC!EA$25,1,0)</f>
        <v>1</v>
      </c>
      <c r="EB14" s="10">
        <f>IF(真實IC!EB14&gt;真實IC!EB$25,1,0)</f>
        <v>1</v>
      </c>
      <c r="EC14" s="10">
        <f>IF(真實IC!EC14&gt;真實IC!EC$25,1,0)</f>
        <v>1</v>
      </c>
      <c r="ED14" s="10">
        <f>IF(真實IC!ED14&gt;真實IC!ED$25,1,0)</f>
        <v>1</v>
      </c>
      <c r="EE14" s="10">
        <f>IF(真實IC!EE14&gt;真實IC!EE$25,1,0)</f>
        <v>1</v>
      </c>
      <c r="EF14" s="10">
        <f>IF(真實IC!EF14&gt;真實IC!EF$25,1,0)</f>
        <v>1</v>
      </c>
      <c r="EG14" s="10">
        <f>IF(真實IC!EG14&gt;真實IC!EG$25,1,0)</f>
        <v>1</v>
      </c>
      <c r="EH14" s="10">
        <f>IF(真實IC!EH14&gt;真實IC!EH$25,1,0)</f>
        <v>1</v>
      </c>
      <c r="EI14" s="10">
        <f>IF(真實IC!EI14&gt;真實IC!EI$25,1,0)</f>
        <v>0</v>
      </c>
      <c r="EJ14" s="10">
        <f>IF(真實IC!EJ14&gt;真實IC!EJ$25,1,0)</f>
        <v>1</v>
      </c>
      <c r="EK14" s="10">
        <f>IF(真實IC!EK14&gt;真實IC!EK$25,1,0)</f>
        <v>1</v>
      </c>
      <c r="EL14" s="10">
        <f>IF(真實IC!EL14&gt;真實IC!EL$25,1,0)</f>
        <v>1</v>
      </c>
      <c r="EM14" s="6">
        <f t="shared" si="11"/>
        <v>111</v>
      </c>
      <c r="EN14" s="13">
        <f t="shared" si="12"/>
        <v>0.79285714285714282</v>
      </c>
    </row>
    <row r="15" spans="1:144" x14ac:dyDescent="0.3">
      <c r="A15" s="11">
        <v>110</v>
      </c>
      <c r="B15" s="11">
        <f t="shared" si="10"/>
        <v>10</v>
      </c>
      <c r="C15" s="10">
        <f>IF(真實IC!C15&gt;真實IC!C$25,1,0)</f>
        <v>1</v>
      </c>
      <c r="D15" s="10">
        <f>IF(真實IC!D15&gt;真實IC!D$25,1,0)</f>
        <v>1</v>
      </c>
      <c r="E15" s="10">
        <f>IF(真實IC!E15&gt;真實IC!E$25,1,0)</f>
        <v>1</v>
      </c>
      <c r="F15" s="10">
        <f>IF(真實IC!F15&gt;真實IC!F$25,1,0)</f>
        <v>1</v>
      </c>
      <c r="G15" s="10">
        <f>IF(真實IC!G15&gt;真實IC!G$25,1,0)</f>
        <v>1</v>
      </c>
      <c r="H15" s="10">
        <f>IF(真實IC!H15&gt;真實IC!H$25,1,0)</f>
        <v>1</v>
      </c>
      <c r="I15" s="10">
        <f>IF(真實IC!I15&gt;真實IC!I$25,1,0)</f>
        <v>1</v>
      </c>
      <c r="J15" s="10">
        <f>IF(真實IC!J15&gt;真實IC!J$25,1,0)</f>
        <v>1</v>
      </c>
      <c r="K15" s="10">
        <f>IF(真實IC!K15&gt;真實IC!K$25,1,0)</f>
        <v>1</v>
      </c>
      <c r="L15" s="10">
        <f>IF(真實IC!L15&gt;真實IC!L$25,1,0)</f>
        <v>0</v>
      </c>
      <c r="M15" s="10">
        <f>IF(真實IC!M15&gt;真實IC!M$25,1,0)</f>
        <v>0</v>
      </c>
      <c r="N15" s="10">
        <f>IF(真實IC!N15&gt;真實IC!N$25,1,0)</f>
        <v>1</v>
      </c>
      <c r="O15" s="10">
        <f>IF(真實IC!O15&gt;真實IC!O$25,1,0)</f>
        <v>0</v>
      </c>
      <c r="P15" s="10">
        <f>IF(真實IC!P15&gt;真實IC!P$25,1,0)</f>
        <v>0</v>
      </c>
      <c r="Q15" s="10">
        <f>IF(真實IC!Q15&gt;真實IC!Q$25,1,0)</f>
        <v>0</v>
      </c>
      <c r="R15" s="10">
        <f>IF(真實IC!R15&gt;真實IC!R$25,1,0)</f>
        <v>0</v>
      </c>
      <c r="S15" s="10">
        <f>IF(真實IC!S15&gt;真實IC!S$25,1,0)</f>
        <v>1</v>
      </c>
      <c r="T15" s="10">
        <f>IF(真實IC!T15&gt;真實IC!T$25,1,0)</f>
        <v>1</v>
      </c>
      <c r="U15" s="10">
        <f>IF(真實IC!U15&gt;真實IC!U$25,1,0)</f>
        <v>1</v>
      </c>
      <c r="V15" s="10">
        <f>IF(真實IC!V15&gt;真實IC!V$25,1,0)</f>
        <v>1</v>
      </c>
      <c r="W15" s="10">
        <f>IF(真實IC!W15&gt;真實IC!W$25,1,0)</f>
        <v>1</v>
      </c>
      <c r="X15" s="10">
        <f>IF(真實IC!X15&gt;真實IC!X$25,1,0)</f>
        <v>1</v>
      </c>
      <c r="Y15" s="10">
        <f>IF(真實IC!Y15&gt;真實IC!Y$25,1,0)</f>
        <v>1</v>
      </c>
      <c r="Z15" s="10">
        <f>IF(真實IC!Z15&gt;真實IC!Z$25,1,0)</f>
        <v>1</v>
      </c>
      <c r="AA15" s="10">
        <f>IF(真實IC!AA15&gt;真實IC!AA$25,1,0)</f>
        <v>1</v>
      </c>
      <c r="AB15" s="10">
        <f>IF(真實IC!AB15&gt;真實IC!AB$25,1,0)</f>
        <v>1</v>
      </c>
      <c r="AC15" s="10">
        <f>IF(真實IC!AC15&gt;真實IC!AC$25,1,0)</f>
        <v>0</v>
      </c>
      <c r="AD15" s="10">
        <f>IF(真實IC!AD15&gt;真實IC!AD$25,1,0)</f>
        <v>1</v>
      </c>
      <c r="AE15" s="10">
        <f>IF(真實IC!AE15&gt;真實IC!AE$25,1,0)</f>
        <v>1</v>
      </c>
      <c r="AF15" s="10">
        <f>IF(真實IC!AF15&gt;真實IC!AF$25,1,0)</f>
        <v>1</v>
      </c>
      <c r="AG15" s="10">
        <f>IF(真實IC!AG15&gt;真實IC!AG$25,1,0)</f>
        <v>1</v>
      </c>
      <c r="AH15" s="10">
        <f>IF(真實IC!AH15&gt;真實IC!AH$25,1,0)</f>
        <v>0</v>
      </c>
      <c r="AI15" s="10">
        <f>IF(真實IC!AI15&gt;真實IC!AI$25,1,0)</f>
        <v>1</v>
      </c>
      <c r="AJ15" s="10">
        <f>IF(真實IC!AJ15&gt;真實IC!AJ$25,1,0)</f>
        <v>1</v>
      </c>
      <c r="AK15" s="10">
        <f>IF(真實IC!AK15&gt;真實IC!AK$25,1,0)</f>
        <v>1</v>
      </c>
      <c r="AL15" s="10">
        <f>IF(真實IC!AL15&gt;真實IC!AL$25,1,0)</f>
        <v>1</v>
      </c>
      <c r="AM15" s="10">
        <f>IF(真實IC!AM15&gt;真實IC!AM$25,1,0)</f>
        <v>1</v>
      </c>
      <c r="AN15" s="10">
        <f>IF(真實IC!AN15&gt;真實IC!AN$25,1,0)</f>
        <v>1</v>
      </c>
      <c r="AO15" s="10">
        <f>IF(真實IC!AO15&gt;真實IC!AO$25,1,0)</f>
        <v>1</v>
      </c>
      <c r="AP15" s="10">
        <f>IF(真實IC!AP15&gt;真實IC!AP$25,1,0)</f>
        <v>0</v>
      </c>
      <c r="AQ15" s="10">
        <f>IF(真實IC!AQ15&gt;真實IC!AQ$25,1,0)</f>
        <v>0</v>
      </c>
      <c r="AR15" s="10">
        <f>IF(真實IC!AR15&gt;真實IC!AR$25,1,0)</f>
        <v>1</v>
      </c>
      <c r="AS15" s="10">
        <f>IF(真實IC!AS15&gt;真實IC!AS$25,1,0)</f>
        <v>0</v>
      </c>
      <c r="AT15" s="10">
        <f>IF(真實IC!AT15&gt;真實IC!AT$25,1,0)</f>
        <v>1</v>
      </c>
      <c r="AU15" s="10">
        <f>IF(真實IC!AU15&gt;真實IC!AU$25,1,0)</f>
        <v>1</v>
      </c>
      <c r="AV15" s="10">
        <f>IF(真實IC!AV15&gt;真實IC!AV$25,1,0)</f>
        <v>1</v>
      </c>
      <c r="AW15" s="10">
        <f>IF(真實IC!AW15&gt;真實IC!AW$25,1,0)</f>
        <v>1</v>
      </c>
      <c r="AX15" s="10">
        <f>IF(真實IC!AX15&gt;真實IC!AX$25,1,0)</f>
        <v>1</v>
      </c>
      <c r="AY15" s="10">
        <f>IF(真實IC!AY15&gt;真實IC!AY$25,1,0)</f>
        <v>1</v>
      </c>
      <c r="AZ15" s="10">
        <f>IF(真實IC!AZ15&gt;真實IC!AZ$25,1,0)</f>
        <v>1</v>
      </c>
      <c r="BA15" s="10">
        <f>IF(真實IC!BA15&gt;真實IC!BA$25,1,0)</f>
        <v>1</v>
      </c>
      <c r="BB15" s="10">
        <f>IF(真實IC!BB15&gt;真實IC!BB$25,1,0)</f>
        <v>1</v>
      </c>
      <c r="BC15" s="10">
        <f>IF(真實IC!BC15&gt;真實IC!BC$25,1,0)</f>
        <v>0</v>
      </c>
      <c r="BD15" s="10">
        <f>IF(真實IC!BD15&gt;真實IC!BD$25,1,0)</f>
        <v>0</v>
      </c>
      <c r="BE15" s="10">
        <f>IF(真實IC!BE15&gt;真實IC!BE$25,1,0)</f>
        <v>1</v>
      </c>
      <c r="BF15" s="10">
        <f>IF(真實IC!BF15&gt;真實IC!BF$25,1,0)</f>
        <v>1</v>
      </c>
      <c r="BG15" s="10">
        <f>IF(真實IC!BG15&gt;真實IC!BG$25,1,0)</f>
        <v>1</v>
      </c>
      <c r="BH15" s="10">
        <f>IF(真實IC!BH15&gt;真實IC!BH$25,1,0)</f>
        <v>1</v>
      </c>
      <c r="BI15" s="10">
        <f>IF(真實IC!BI15&gt;真實IC!BI$25,1,0)</f>
        <v>1</v>
      </c>
      <c r="BJ15" s="10">
        <f>IF(真實IC!BJ15&gt;真實IC!BJ$25,1,0)</f>
        <v>1</v>
      </c>
      <c r="BK15" s="10">
        <f>IF(真實IC!BK15&gt;真實IC!BK$25,1,0)</f>
        <v>0</v>
      </c>
      <c r="BL15" s="10">
        <f>IF(真實IC!BL15&gt;真實IC!BL$25,1,0)</f>
        <v>1</v>
      </c>
      <c r="BM15" s="10">
        <f>IF(真實IC!BM15&gt;真實IC!BM$25,1,0)</f>
        <v>1</v>
      </c>
      <c r="BN15" s="10">
        <f>IF(真實IC!BN15&gt;真實IC!BN$25,1,0)</f>
        <v>0</v>
      </c>
      <c r="BO15" s="10">
        <f>IF(真實IC!BO15&gt;真實IC!BO$25,1,0)</f>
        <v>1</v>
      </c>
      <c r="BP15" s="10">
        <f>IF(真實IC!BP15&gt;真實IC!BP$25,1,0)</f>
        <v>0</v>
      </c>
      <c r="BQ15" s="10">
        <f>IF(真實IC!BQ15&gt;真實IC!BQ$25,1,0)</f>
        <v>1</v>
      </c>
      <c r="BR15" s="10">
        <f>IF(真實IC!BR15&gt;真實IC!BR$25,1,0)</f>
        <v>1</v>
      </c>
      <c r="BS15" s="10">
        <f>IF(真實IC!BS15&gt;真實IC!BS$25,1,0)</f>
        <v>1</v>
      </c>
      <c r="BT15" s="10">
        <f>IF(真實IC!BT15&gt;真實IC!BT$25,1,0)</f>
        <v>0</v>
      </c>
      <c r="BU15" s="10">
        <f>IF(真實IC!BU15&gt;真實IC!BU$25,1,0)</f>
        <v>1</v>
      </c>
      <c r="BV15" s="10">
        <f>IF(真實IC!BV15&gt;真實IC!BV$25,1,0)</f>
        <v>1</v>
      </c>
      <c r="BW15" s="10">
        <f>IF(真實IC!BW15&gt;真實IC!BW$25,1,0)</f>
        <v>1</v>
      </c>
      <c r="BX15" s="10">
        <f>IF(真實IC!BX15&gt;真實IC!BX$25,1,0)</f>
        <v>1</v>
      </c>
      <c r="BY15" s="10">
        <f>IF(真實IC!BY15&gt;真實IC!BY$25,1,0)</f>
        <v>1</v>
      </c>
      <c r="BZ15" s="10">
        <f>IF(真實IC!BZ15&gt;真實IC!BZ$25,1,0)</f>
        <v>0</v>
      </c>
      <c r="CA15" s="10">
        <f>IF(真實IC!CA15&gt;真實IC!CA$25,1,0)</f>
        <v>1</v>
      </c>
      <c r="CB15" s="10">
        <f>IF(真實IC!CB15&gt;真實IC!CB$25,1,0)</f>
        <v>0</v>
      </c>
      <c r="CC15" s="10">
        <f>IF(真實IC!CC15&gt;真實IC!CC$25,1,0)</f>
        <v>0</v>
      </c>
      <c r="CD15" s="10">
        <f>IF(真實IC!CD15&gt;真實IC!CD$25,1,0)</f>
        <v>1</v>
      </c>
      <c r="CE15" s="10">
        <f>IF(真實IC!CE15&gt;真實IC!CE$25,1,0)</f>
        <v>1</v>
      </c>
      <c r="CF15" s="10">
        <f>IF(真實IC!CF15&gt;真實IC!CF$25,1,0)</f>
        <v>1</v>
      </c>
      <c r="CG15" s="10">
        <f>IF(真實IC!CG15&gt;真實IC!CG$25,1,0)</f>
        <v>1</v>
      </c>
      <c r="CH15" s="10">
        <f>IF(真實IC!CH15&gt;真實IC!CH$25,1,0)</f>
        <v>1</v>
      </c>
      <c r="CI15" s="10">
        <f>IF(真實IC!CI15&gt;真實IC!CI$25,1,0)</f>
        <v>1</v>
      </c>
      <c r="CJ15" s="10">
        <f>IF(真實IC!CJ15&gt;真實IC!CJ$25,1,0)</f>
        <v>1</v>
      </c>
      <c r="CK15" s="10">
        <f>IF(真實IC!CK15&gt;真實IC!CK$25,1,0)</f>
        <v>0</v>
      </c>
      <c r="CL15" s="10">
        <f>IF(真實IC!CL15&gt;真實IC!CL$25,1,0)</f>
        <v>1</v>
      </c>
      <c r="CM15" s="10">
        <f>IF(真實IC!CM15&gt;真實IC!CM$25,1,0)</f>
        <v>1</v>
      </c>
      <c r="CN15" s="10">
        <f>IF(真實IC!CN15&gt;真實IC!CN$25,1,0)</f>
        <v>1</v>
      </c>
      <c r="CO15" s="10">
        <f>IF(真實IC!CO15&gt;真實IC!CO$25,1,0)</f>
        <v>1</v>
      </c>
      <c r="CP15" s="10">
        <f>IF(真實IC!CP15&gt;真實IC!CP$25,1,0)</f>
        <v>1</v>
      </c>
      <c r="CQ15" s="10">
        <f>IF(真實IC!CQ15&gt;真實IC!CQ$25,1,0)</f>
        <v>1</v>
      </c>
      <c r="CR15" s="10">
        <f>IF(真實IC!CR15&gt;真實IC!CR$25,1,0)</f>
        <v>1</v>
      </c>
      <c r="CS15" s="10">
        <f>IF(真實IC!CS15&gt;真實IC!CS$25,1,0)</f>
        <v>1</v>
      </c>
      <c r="CT15" s="10">
        <f>IF(真實IC!CT15&gt;真實IC!CT$25,1,0)</f>
        <v>1</v>
      </c>
      <c r="CU15" s="10">
        <f>IF(真實IC!CU15&gt;真實IC!CU$25,1,0)</f>
        <v>1</v>
      </c>
      <c r="CV15" s="10">
        <f>IF(真實IC!CV15&gt;真實IC!CV$25,1,0)</f>
        <v>1</v>
      </c>
      <c r="CW15" s="10">
        <f>IF(真實IC!CW15&gt;真實IC!CW$25,1,0)</f>
        <v>1</v>
      </c>
      <c r="CX15" s="10">
        <f>IF(真實IC!CX15&gt;真實IC!CX$25,1,0)</f>
        <v>1</v>
      </c>
      <c r="CY15" s="10">
        <f>IF(真實IC!CY15&gt;真實IC!CY$25,1,0)</f>
        <v>1</v>
      </c>
      <c r="CZ15" s="10">
        <f>IF(真實IC!CZ15&gt;真實IC!CZ$25,1,0)</f>
        <v>1</v>
      </c>
      <c r="DA15" s="10">
        <f>IF(真實IC!DA15&gt;真實IC!DA$25,1,0)</f>
        <v>1</v>
      </c>
      <c r="DB15" s="10">
        <f>IF(真實IC!DB15&gt;真實IC!DB$25,1,0)</f>
        <v>1</v>
      </c>
      <c r="DC15" s="10">
        <f>IF(真實IC!DC15&gt;真實IC!DC$25,1,0)</f>
        <v>1</v>
      </c>
      <c r="DD15" s="10">
        <f>IF(真實IC!DD15&gt;真實IC!DD$25,1,0)</f>
        <v>1</v>
      </c>
      <c r="DE15" s="10">
        <f>IF(真實IC!DE15&gt;真實IC!DE$25,1,0)</f>
        <v>0</v>
      </c>
      <c r="DF15" s="10">
        <f>IF(真實IC!DF15&gt;真實IC!DF$25,1,0)</f>
        <v>1</v>
      </c>
      <c r="DG15" s="10">
        <f>IF(真實IC!DG15&gt;真實IC!DG$25,1,0)</f>
        <v>0</v>
      </c>
      <c r="DH15" s="10">
        <f>IF(真實IC!DH15&gt;真實IC!DH$25,1,0)</f>
        <v>1</v>
      </c>
      <c r="DI15" s="10">
        <f>IF(真實IC!DI15&gt;真實IC!DI$25,1,0)</f>
        <v>0</v>
      </c>
      <c r="DJ15" s="10">
        <f>IF(真實IC!DJ15&gt;真實IC!DJ$25,1,0)</f>
        <v>1</v>
      </c>
      <c r="DK15" s="10">
        <f>IF(真實IC!DK15&gt;真實IC!DK$25,1,0)</f>
        <v>0</v>
      </c>
      <c r="DL15" s="10">
        <f>IF(真實IC!DL15&gt;真實IC!DL$25,1,0)</f>
        <v>1</v>
      </c>
      <c r="DM15" s="10">
        <f>IF(真實IC!DM15&gt;真實IC!DM$25,1,0)</f>
        <v>1</v>
      </c>
      <c r="DN15" s="10">
        <f>IF(真實IC!DN15&gt;真實IC!DN$25,1,0)</f>
        <v>1</v>
      </c>
      <c r="DO15" s="10">
        <f>IF(真實IC!DO15&gt;真實IC!DO$25,1,0)</f>
        <v>1</v>
      </c>
      <c r="DP15" s="10">
        <f>IF(真實IC!DP15&gt;真實IC!DP$25,1,0)</f>
        <v>1</v>
      </c>
      <c r="DQ15" s="10">
        <f>IF(真實IC!DQ15&gt;真實IC!DQ$25,1,0)</f>
        <v>1</v>
      </c>
      <c r="DR15" s="10">
        <f>IF(真實IC!DR15&gt;真實IC!DR$25,1,0)</f>
        <v>0</v>
      </c>
      <c r="DS15" s="10">
        <f>IF(真實IC!DS15&gt;真實IC!DS$25,1,0)</f>
        <v>1</v>
      </c>
      <c r="DT15" s="10">
        <f>IF(真實IC!DT15&gt;真實IC!DT$25,1,0)</f>
        <v>0</v>
      </c>
      <c r="DU15" s="10">
        <f>IF(真實IC!DU15&gt;真實IC!DU$25,1,0)</f>
        <v>1</v>
      </c>
      <c r="DV15" s="10">
        <f>IF(真實IC!DV15&gt;真實IC!DV$25,1,0)</f>
        <v>1</v>
      </c>
      <c r="DW15" s="10">
        <f>IF(真實IC!DW15&gt;真實IC!DW$25,1,0)</f>
        <v>1</v>
      </c>
      <c r="DX15" s="10">
        <f>IF(真實IC!DX15&gt;真實IC!DX$25,1,0)</f>
        <v>1</v>
      </c>
      <c r="DY15" s="10">
        <f>IF(真實IC!DY15&gt;真實IC!DY$25,1,0)</f>
        <v>1</v>
      </c>
      <c r="DZ15" s="10">
        <f>IF(真實IC!DZ15&gt;真實IC!DZ$25,1,0)</f>
        <v>0</v>
      </c>
      <c r="EA15" s="10">
        <f>IF(真實IC!EA15&gt;真實IC!EA$25,1,0)</f>
        <v>1</v>
      </c>
      <c r="EB15" s="10">
        <f>IF(真實IC!EB15&gt;真實IC!EB$25,1,0)</f>
        <v>1</v>
      </c>
      <c r="EC15" s="10">
        <f>IF(真實IC!EC15&gt;真實IC!EC$25,1,0)</f>
        <v>0</v>
      </c>
      <c r="ED15" s="10">
        <f>IF(真實IC!ED15&gt;真實IC!ED$25,1,0)</f>
        <v>1</v>
      </c>
      <c r="EE15" s="10">
        <f>IF(真實IC!EE15&gt;真實IC!EE$25,1,0)</f>
        <v>1</v>
      </c>
      <c r="EF15" s="10">
        <f>IF(真實IC!EF15&gt;真實IC!EF$25,1,0)</f>
        <v>1</v>
      </c>
      <c r="EG15" s="10">
        <f>IF(真實IC!EG15&gt;真實IC!EG$25,1,0)</f>
        <v>1</v>
      </c>
      <c r="EH15" s="10">
        <f>IF(真實IC!EH15&gt;真實IC!EH$25,1,0)</f>
        <v>1</v>
      </c>
      <c r="EI15" s="10">
        <f>IF(真實IC!EI15&gt;真實IC!EI$25,1,0)</f>
        <v>0</v>
      </c>
      <c r="EJ15" s="10">
        <f>IF(真實IC!EJ15&gt;真實IC!EJ$25,1,0)</f>
        <v>1</v>
      </c>
      <c r="EK15" s="10">
        <f>IF(真實IC!EK15&gt;真實IC!EK$25,1,0)</f>
        <v>1</v>
      </c>
      <c r="EL15" s="10">
        <f>IF(真實IC!EL15&gt;真實IC!EL$25,1,0)</f>
        <v>0</v>
      </c>
      <c r="EM15" s="6">
        <f t="shared" si="11"/>
        <v>109</v>
      </c>
      <c r="EN15" s="13">
        <f t="shared" si="12"/>
        <v>0.77857142857142858</v>
      </c>
    </row>
    <row r="16" spans="1:144" x14ac:dyDescent="0.3">
      <c r="A16" s="11">
        <v>120</v>
      </c>
      <c r="B16" s="11">
        <f t="shared" si="10"/>
        <v>9</v>
      </c>
      <c r="C16" s="10">
        <f>IF(真實IC!C16&gt;真實IC!C$25,1,0)</f>
        <v>1</v>
      </c>
      <c r="D16" s="10">
        <f>IF(真實IC!D16&gt;真實IC!D$25,1,0)</f>
        <v>1</v>
      </c>
      <c r="E16" s="10">
        <f>IF(真實IC!E16&gt;真實IC!E$25,1,0)</f>
        <v>1</v>
      </c>
      <c r="F16" s="10">
        <f>IF(真實IC!F16&gt;真實IC!F$25,1,0)</f>
        <v>0</v>
      </c>
      <c r="G16" s="10">
        <f>IF(真實IC!G16&gt;真實IC!G$25,1,0)</f>
        <v>1</v>
      </c>
      <c r="H16" s="10">
        <f>IF(真實IC!H16&gt;真實IC!H$25,1,0)</f>
        <v>1</v>
      </c>
      <c r="I16" s="10">
        <f>IF(真實IC!I16&gt;真實IC!I$25,1,0)</f>
        <v>1</v>
      </c>
      <c r="J16" s="10">
        <f>IF(真實IC!J16&gt;真實IC!J$25,1,0)</f>
        <v>1</v>
      </c>
      <c r="K16" s="10">
        <f>IF(真實IC!K16&gt;真實IC!K$25,1,0)</f>
        <v>1</v>
      </c>
      <c r="L16" s="10">
        <f>IF(真實IC!L16&gt;真實IC!L$25,1,0)</f>
        <v>0</v>
      </c>
      <c r="M16" s="10">
        <f>IF(真實IC!M16&gt;真實IC!M$25,1,0)</f>
        <v>0</v>
      </c>
      <c r="N16" s="10">
        <f>IF(真實IC!N16&gt;真實IC!N$25,1,0)</f>
        <v>1</v>
      </c>
      <c r="O16" s="10">
        <f>IF(真實IC!O16&gt;真實IC!O$25,1,0)</f>
        <v>0</v>
      </c>
      <c r="P16" s="10">
        <f>IF(真實IC!P16&gt;真實IC!P$25,1,0)</f>
        <v>0</v>
      </c>
      <c r="Q16" s="10">
        <f>IF(真實IC!Q16&gt;真實IC!Q$25,1,0)</f>
        <v>1</v>
      </c>
      <c r="R16" s="10">
        <f>IF(真實IC!R16&gt;真實IC!R$25,1,0)</f>
        <v>0</v>
      </c>
      <c r="S16" s="10">
        <f>IF(真實IC!S16&gt;真實IC!S$25,1,0)</f>
        <v>1</v>
      </c>
      <c r="T16" s="10">
        <f>IF(真實IC!T16&gt;真實IC!T$25,1,0)</f>
        <v>1</v>
      </c>
      <c r="U16" s="10">
        <f>IF(真實IC!U16&gt;真實IC!U$25,1,0)</f>
        <v>1</v>
      </c>
      <c r="V16" s="10">
        <f>IF(真實IC!V16&gt;真實IC!V$25,1,0)</f>
        <v>1</v>
      </c>
      <c r="W16" s="10">
        <f>IF(真實IC!W16&gt;真實IC!W$25,1,0)</f>
        <v>1</v>
      </c>
      <c r="X16" s="10">
        <f>IF(真實IC!X16&gt;真實IC!X$25,1,0)</f>
        <v>1</v>
      </c>
      <c r="Y16" s="10">
        <f>IF(真實IC!Y16&gt;真實IC!Y$25,1,0)</f>
        <v>1</v>
      </c>
      <c r="Z16" s="10">
        <f>IF(真實IC!Z16&gt;真實IC!Z$25,1,0)</f>
        <v>1</v>
      </c>
      <c r="AA16" s="10">
        <f>IF(真實IC!AA16&gt;真實IC!AA$25,1,0)</f>
        <v>1</v>
      </c>
      <c r="AB16" s="10">
        <f>IF(真實IC!AB16&gt;真實IC!AB$25,1,0)</f>
        <v>1</v>
      </c>
      <c r="AC16" s="10">
        <f>IF(真實IC!AC16&gt;真實IC!AC$25,1,0)</f>
        <v>0</v>
      </c>
      <c r="AD16" s="10">
        <f>IF(真實IC!AD16&gt;真實IC!AD$25,1,0)</f>
        <v>1</v>
      </c>
      <c r="AE16" s="10">
        <f>IF(真實IC!AE16&gt;真實IC!AE$25,1,0)</f>
        <v>1</v>
      </c>
      <c r="AF16" s="10">
        <f>IF(真實IC!AF16&gt;真實IC!AF$25,1,0)</f>
        <v>1</v>
      </c>
      <c r="AG16" s="10">
        <f>IF(真實IC!AG16&gt;真實IC!AG$25,1,0)</f>
        <v>1</v>
      </c>
      <c r="AH16" s="10">
        <f>IF(真實IC!AH16&gt;真實IC!AH$25,1,0)</f>
        <v>0</v>
      </c>
      <c r="AI16" s="10">
        <f>IF(真實IC!AI16&gt;真實IC!AI$25,1,0)</f>
        <v>1</v>
      </c>
      <c r="AJ16" s="10">
        <f>IF(真實IC!AJ16&gt;真實IC!AJ$25,1,0)</f>
        <v>1</v>
      </c>
      <c r="AK16" s="10">
        <f>IF(真實IC!AK16&gt;真實IC!AK$25,1,0)</f>
        <v>1</v>
      </c>
      <c r="AL16" s="10">
        <f>IF(真實IC!AL16&gt;真實IC!AL$25,1,0)</f>
        <v>1</v>
      </c>
      <c r="AM16" s="10">
        <f>IF(真實IC!AM16&gt;真實IC!AM$25,1,0)</f>
        <v>1</v>
      </c>
      <c r="AN16" s="10">
        <f>IF(真實IC!AN16&gt;真實IC!AN$25,1,0)</f>
        <v>1</v>
      </c>
      <c r="AO16" s="10">
        <f>IF(真實IC!AO16&gt;真實IC!AO$25,1,0)</f>
        <v>1</v>
      </c>
      <c r="AP16" s="10">
        <f>IF(真實IC!AP16&gt;真實IC!AP$25,1,0)</f>
        <v>0</v>
      </c>
      <c r="AQ16" s="10">
        <f>IF(真實IC!AQ16&gt;真實IC!AQ$25,1,0)</f>
        <v>0</v>
      </c>
      <c r="AR16" s="10">
        <f>IF(真實IC!AR16&gt;真實IC!AR$25,1,0)</f>
        <v>1</v>
      </c>
      <c r="AS16" s="10">
        <f>IF(真實IC!AS16&gt;真實IC!AS$25,1,0)</f>
        <v>1</v>
      </c>
      <c r="AT16" s="10">
        <f>IF(真實IC!AT16&gt;真實IC!AT$25,1,0)</f>
        <v>1</v>
      </c>
      <c r="AU16" s="10">
        <f>IF(真實IC!AU16&gt;真實IC!AU$25,1,0)</f>
        <v>1</v>
      </c>
      <c r="AV16" s="10">
        <f>IF(真實IC!AV16&gt;真實IC!AV$25,1,0)</f>
        <v>1</v>
      </c>
      <c r="AW16" s="10">
        <f>IF(真實IC!AW16&gt;真實IC!AW$25,1,0)</f>
        <v>1</v>
      </c>
      <c r="AX16" s="10">
        <f>IF(真實IC!AX16&gt;真實IC!AX$25,1,0)</f>
        <v>1</v>
      </c>
      <c r="AY16" s="10">
        <f>IF(真實IC!AY16&gt;真實IC!AY$25,1,0)</f>
        <v>1</v>
      </c>
      <c r="AZ16" s="10">
        <f>IF(真實IC!AZ16&gt;真實IC!AZ$25,1,0)</f>
        <v>1</v>
      </c>
      <c r="BA16" s="10">
        <f>IF(真實IC!BA16&gt;真實IC!BA$25,1,0)</f>
        <v>1</v>
      </c>
      <c r="BB16" s="10">
        <f>IF(真實IC!BB16&gt;真實IC!BB$25,1,0)</f>
        <v>1</v>
      </c>
      <c r="BC16" s="10">
        <f>IF(真實IC!BC16&gt;真實IC!BC$25,1,0)</f>
        <v>0</v>
      </c>
      <c r="BD16" s="10">
        <f>IF(真實IC!BD16&gt;真實IC!BD$25,1,0)</f>
        <v>0</v>
      </c>
      <c r="BE16" s="10">
        <f>IF(真實IC!BE16&gt;真實IC!BE$25,1,0)</f>
        <v>1</v>
      </c>
      <c r="BF16" s="10">
        <f>IF(真實IC!BF16&gt;真實IC!BF$25,1,0)</f>
        <v>1</v>
      </c>
      <c r="BG16" s="10">
        <f>IF(真實IC!BG16&gt;真實IC!BG$25,1,0)</f>
        <v>1</v>
      </c>
      <c r="BH16" s="10">
        <f>IF(真實IC!BH16&gt;真實IC!BH$25,1,0)</f>
        <v>1</v>
      </c>
      <c r="BI16" s="10">
        <f>IF(真實IC!BI16&gt;真實IC!BI$25,1,0)</f>
        <v>1</v>
      </c>
      <c r="BJ16" s="10">
        <f>IF(真實IC!BJ16&gt;真實IC!BJ$25,1,0)</f>
        <v>1</v>
      </c>
      <c r="BK16" s="10">
        <f>IF(真實IC!BK16&gt;真實IC!BK$25,1,0)</f>
        <v>0</v>
      </c>
      <c r="BL16" s="10">
        <f>IF(真實IC!BL16&gt;真實IC!BL$25,1,0)</f>
        <v>1</v>
      </c>
      <c r="BM16" s="10">
        <f>IF(真實IC!BM16&gt;真實IC!BM$25,1,0)</f>
        <v>1</v>
      </c>
      <c r="BN16" s="10">
        <f>IF(真實IC!BN16&gt;真實IC!BN$25,1,0)</f>
        <v>0</v>
      </c>
      <c r="BO16" s="10">
        <f>IF(真實IC!BO16&gt;真實IC!BO$25,1,0)</f>
        <v>1</v>
      </c>
      <c r="BP16" s="10">
        <f>IF(真實IC!BP16&gt;真實IC!BP$25,1,0)</f>
        <v>0</v>
      </c>
      <c r="BQ16" s="10">
        <f>IF(真實IC!BQ16&gt;真實IC!BQ$25,1,0)</f>
        <v>1</v>
      </c>
      <c r="BR16" s="10">
        <f>IF(真實IC!BR16&gt;真實IC!BR$25,1,0)</f>
        <v>1</v>
      </c>
      <c r="BS16" s="10">
        <f>IF(真實IC!BS16&gt;真實IC!BS$25,1,0)</f>
        <v>1</v>
      </c>
      <c r="BT16" s="10">
        <f>IF(真實IC!BT16&gt;真實IC!BT$25,1,0)</f>
        <v>0</v>
      </c>
      <c r="BU16" s="10">
        <f>IF(真實IC!BU16&gt;真實IC!BU$25,1,0)</f>
        <v>1</v>
      </c>
      <c r="BV16" s="10">
        <f>IF(真實IC!BV16&gt;真實IC!BV$25,1,0)</f>
        <v>1</v>
      </c>
      <c r="BW16" s="10">
        <f>IF(真實IC!BW16&gt;真實IC!BW$25,1,0)</f>
        <v>1</v>
      </c>
      <c r="BX16" s="10">
        <f>IF(真實IC!BX16&gt;真實IC!BX$25,1,0)</f>
        <v>1</v>
      </c>
      <c r="BY16" s="10">
        <f>IF(真實IC!BY16&gt;真實IC!BY$25,1,0)</f>
        <v>1</v>
      </c>
      <c r="BZ16" s="10">
        <f>IF(真實IC!BZ16&gt;真實IC!BZ$25,1,0)</f>
        <v>0</v>
      </c>
      <c r="CA16" s="10">
        <f>IF(真實IC!CA16&gt;真實IC!CA$25,1,0)</f>
        <v>1</v>
      </c>
      <c r="CB16" s="10">
        <f>IF(真實IC!CB16&gt;真實IC!CB$25,1,0)</f>
        <v>0</v>
      </c>
      <c r="CC16" s="10">
        <f>IF(真實IC!CC16&gt;真實IC!CC$25,1,0)</f>
        <v>0</v>
      </c>
      <c r="CD16" s="10">
        <f>IF(真實IC!CD16&gt;真實IC!CD$25,1,0)</f>
        <v>1</v>
      </c>
      <c r="CE16" s="10">
        <f>IF(真實IC!CE16&gt;真實IC!CE$25,1,0)</f>
        <v>1</v>
      </c>
      <c r="CF16" s="10">
        <f>IF(真實IC!CF16&gt;真實IC!CF$25,1,0)</f>
        <v>1</v>
      </c>
      <c r="CG16" s="10">
        <f>IF(真實IC!CG16&gt;真實IC!CG$25,1,0)</f>
        <v>1</v>
      </c>
      <c r="CH16" s="10">
        <f>IF(真實IC!CH16&gt;真實IC!CH$25,1,0)</f>
        <v>1</v>
      </c>
      <c r="CI16" s="10">
        <f>IF(真實IC!CI16&gt;真實IC!CI$25,1,0)</f>
        <v>1</v>
      </c>
      <c r="CJ16" s="10">
        <f>IF(真實IC!CJ16&gt;真實IC!CJ$25,1,0)</f>
        <v>0</v>
      </c>
      <c r="CK16" s="10">
        <f>IF(真實IC!CK16&gt;真實IC!CK$25,1,0)</f>
        <v>1</v>
      </c>
      <c r="CL16" s="10">
        <f>IF(真實IC!CL16&gt;真實IC!CL$25,1,0)</f>
        <v>1</v>
      </c>
      <c r="CM16" s="10">
        <f>IF(真實IC!CM16&gt;真實IC!CM$25,1,0)</f>
        <v>1</v>
      </c>
      <c r="CN16" s="10">
        <f>IF(真實IC!CN16&gt;真實IC!CN$25,1,0)</f>
        <v>1</v>
      </c>
      <c r="CO16" s="10">
        <f>IF(真實IC!CO16&gt;真實IC!CO$25,1,0)</f>
        <v>1</v>
      </c>
      <c r="CP16" s="10">
        <f>IF(真實IC!CP16&gt;真實IC!CP$25,1,0)</f>
        <v>1</v>
      </c>
      <c r="CQ16" s="10">
        <f>IF(真實IC!CQ16&gt;真實IC!CQ$25,1,0)</f>
        <v>1</v>
      </c>
      <c r="CR16" s="10">
        <f>IF(真實IC!CR16&gt;真實IC!CR$25,1,0)</f>
        <v>1</v>
      </c>
      <c r="CS16" s="10">
        <f>IF(真實IC!CS16&gt;真實IC!CS$25,1,0)</f>
        <v>1</v>
      </c>
      <c r="CT16" s="10">
        <f>IF(真實IC!CT16&gt;真實IC!CT$25,1,0)</f>
        <v>1</v>
      </c>
      <c r="CU16" s="10">
        <f>IF(真實IC!CU16&gt;真實IC!CU$25,1,0)</f>
        <v>1</v>
      </c>
      <c r="CV16" s="10">
        <f>IF(真實IC!CV16&gt;真實IC!CV$25,1,0)</f>
        <v>1</v>
      </c>
      <c r="CW16" s="10">
        <f>IF(真實IC!CW16&gt;真實IC!CW$25,1,0)</f>
        <v>1</v>
      </c>
      <c r="CX16" s="10">
        <f>IF(真實IC!CX16&gt;真實IC!CX$25,1,0)</f>
        <v>1</v>
      </c>
      <c r="CY16" s="10">
        <f>IF(真實IC!CY16&gt;真實IC!CY$25,1,0)</f>
        <v>1</v>
      </c>
      <c r="CZ16" s="10">
        <f>IF(真實IC!CZ16&gt;真實IC!CZ$25,1,0)</f>
        <v>1</v>
      </c>
      <c r="DA16" s="10">
        <f>IF(真實IC!DA16&gt;真實IC!DA$25,1,0)</f>
        <v>1</v>
      </c>
      <c r="DB16" s="10">
        <f>IF(真實IC!DB16&gt;真實IC!DB$25,1,0)</f>
        <v>1</v>
      </c>
      <c r="DC16" s="10">
        <f>IF(真實IC!DC16&gt;真實IC!DC$25,1,0)</f>
        <v>1</v>
      </c>
      <c r="DD16" s="10">
        <f>IF(真實IC!DD16&gt;真實IC!DD$25,1,0)</f>
        <v>1</v>
      </c>
      <c r="DE16" s="10">
        <f>IF(真實IC!DE16&gt;真實IC!DE$25,1,0)</f>
        <v>0</v>
      </c>
      <c r="DF16" s="10">
        <f>IF(真實IC!DF16&gt;真實IC!DF$25,1,0)</f>
        <v>1</v>
      </c>
      <c r="DG16" s="10">
        <f>IF(真實IC!DG16&gt;真實IC!DG$25,1,0)</f>
        <v>0</v>
      </c>
      <c r="DH16" s="10">
        <f>IF(真實IC!DH16&gt;真實IC!DH$25,1,0)</f>
        <v>1</v>
      </c>
      <c r="DI16" s="10">
        <f>IF(真實IC!DI16&gt;真實IC!DI$25,1,0)</f>
        <v>0</v>
      </c>
      <c r="DJ16" s="10">
        <f>IF(真實IC!DJ16&gt;真實IC!DJ$25,1,0)</f>
        <v>1</v>
      </c>
      <c r="DK16" s="10">
        <f>IF(真實IC!DK16&gt;真實IC!DK$25,1,0)</f>
        <v>0</v>
      </c>
      <c r="DL16" s="10">
        <f>IF(真實IC!DL16&gt;真實IC!DL$25,1,0)</f>
        <v>0</v>
      </c>
      <c r="DM16" s="10">
        <f>IF(真實IC!DM16&gt;真實IC!DM$25,1,0)</f>
        <v>1</v>
      </c>
      <c r="DN16" s="10">
        <f>IF(真實IC!DN16&gt;真實IC!DN$25,1,0)</f>
        <v>1</v>
      </c>
      <c r="DO16" s="10">
        <f>IF(真實IC!DO16&gt;真實IC!DO$25,1,0)</f>
        <v>1</v>
      </c>
      <c r="DP16" s="10">
        <f>IF(真實IC!DP16&gt;真實IC!DP$25,1,0)</f>
        <v>1</v>
      </c>
      <c r="DQ16" s="10">
        <f>IF(真實IC!DQ16&gt;真實IC!DQ$25,1,0)</f>
        <v>1</v>
      </c>
      <c r="DR16" s="10">
        <f>IF(真實IC!DR16&gt;真實IC!DR$25,1,0)</f>
        <v>0</v>
      </c>
      <c r="DS16" s="10">
        <f>IF(真實IC!DS16&gt;真實IC!DS$25,1,0)</f>
        <v>1</v>
      </c>
      <c r="DT16" s="10">
        <f>IF(真實IC!DT16&gt;真實IC!DT$25,1,0)</f>
        <v>0</v>
      </c>
      <c r="DU16" s="10">
        <f>IF(真實IC!DU16&gt;真實IC!DU$25,1,0)</f>
        <v>1</v>
      </c>
      <c r="DV16" s="10">
        <f>IF(真實IC!DV16&gt;真實IC!DV$25,1,0)</f>
        <v>1</v>
      </c>
      <c r="DW16" s="10">
        <f>IF(真實IC!DW16&gt;真實IC!DW$25,1,0)</f>
        <v>0</v>
      </c>
      <c r="DX16" s="10">
        <f>IF(真實IC!DX16&gt;真實IC!DX$25,1,0)</f>
        <v>1</v>
      </c>
      <c r="DY16" s="10">
        <f>IF(真實IC!DY16&gt;真實IC!DY$25,1,0)</f>
        <v>1</v>
      </c>
      <c r="DZ16" s="10">
        <f>IF(真實IC!DZ16&gt;真實IC!DZ$25,1,0)</f>
        <v>0</v>
      </c>
      <c r="EA16" s="10">
        <f>IF(真實IC!EA16&gt;真實IC!EA$25,1,0)</f>
        <v>1</v>
      </c>
      <c r="EB16" s="10">
        <f>IF(真實IC!EB16&gt;真實IC!EB$25,1,0)</f>
        <v>1</v>
      </c>
      <c r="EC16" s="10">
        <f>IF(真實IC!EC16&gt;真實IC!EC$25,1,0)</f>
        <v>0</v>
      </c>
      <c r="ED16" s="10">
        <f>IF(真實IC!ED16&gt;真實IC!ED$25,1,0)</f>
        <v>1</v>
      </c>
      <c r="EE16" s="10">
        <f>IF(真實IC!EE16&gt;真實IC!EE$25,1,0)</f>
        <v>1</v>
      </c>
      <c r="EF16" s="10">
        <f>IF(真實IC!EF16&gt;真實IC!EF$25,1,0)</f>
        <v>1</v>
      </c>
      <c r="EG16" s="10">
        <f>IF(真實IC!EG16&gt;真實IC!EG$25,1,0)</f>
        <v>1</v>
      </c>
      <c r="EH16" s="10">
        <f>IF(真實IC!EH16&gt;真實IC!EH$25,1,0)</f>
        <v>1</v>
      </c>
      <c r="EI16" s="10">
        <f>IF(真實IC!EI16&gt;真實IC!EI$25,1,0)</f>
        <v>0</v>
      </c>
      <c r="EJ16" s="10">
        <f>IF(真實IC!EJ16&gt;真實IC!EJ$25,1,0)</f>
        <v>1</v>
      </c>
      <c r="EK16" s="10">
        <f>IF(真實IC!EK16&gt;真實IC!EK$25,1,0)</f>
        <v>1</v>
      </c>
      <c r="EL16" s="10">
        <f>IF(真實IC!EL16&gt;真實IC!EL$25,1,0)</f>
        <v>0</v>
      </c>
      <c r="EM16" s="6">
        <f t="shared" si="11"/>
        <v>108</v>
      </c>
      <c r="EN16" s="13">
        <f t="shared" si="12"/>
        <v>0.77142857142857146</v>
      </c>
    </row>
    <row r="17" spans="1:144" x14ac:dyDescent="0.3">
      <c r="A17" s="11">
        <v>130</v>
      </c>
      <c r="B17" s="11">
        <f t="shared" si="10"/>
        <v>8</v>
      </c>
      <c r="C17" s="10">
        <f>IF(真實IC!C17&gt;真實IC!C$25,1,0)</f>
        <v>1</v>
      </c>
      <c r="D17" s="10">
        <f>IF(真實IC!D17&gt;真實IC!D$25,1,0)</f>
        <v>1</v>
      </c>
      <c r="E17" s="10">
        <f>IF(真實IC!E17&gt;真實IC!E$25,1,0)</f>
        <v>1</v>
      </c>
      <c r="F17" s="10">
        <f>IF(真實IC!F17&gt;真實IC!F$25,1,0)</f>
        <v>0</v>
      </c>
      <c r="G17" s="10">
        <f>IF(真實IC!G17&gt;真實IC!G$25,1,0)</f>
        <v>1</v>
      </c>
      <c r="H17" s="10">
        <f>IF(真實IC!H17&gt;真實IC!H$25,1,0)</f>
        <v>1</v>
      </c>
      <c r="I17" s="10">
        <f>IF(真實IC!I17&gt;真實IC!I$25,1,0)</f>
        <v>1</v>
      </c>
      <c r="J17" s="10">
        <f>IF(真實IC!J17&gt;真實IC!J$25,1,0)</f>
        <v>1</v>
      </c>
      <c r="K17" s="10">
        <f>IF(真實IC!K17&gt;真實IC!K$25,1,0)</f>
        <v>1</v>
      </c>
      <c r="L17" s="10">
        <f>IF(真實IC!L17&gt;真實IC!L$25,1,0)</f>
        <v>0</v>
      </c>
      <c r="M17" s="10">
        <f>IF(真實IC!M17&gt;真實IC!M$25,1,0)</f>
        <v>0</v>
      </c>
      <c r="N17" s="10">
        <f>IF(真實IC!N17&gt;真實IC!N$25,1,0)</f>
        <v>1</v>
      </c>
      <c r="O17" s="10">
        <f>IF(真實IC!O17&gt;真實IC!O$25,1,0)</f>
        <v>0</v>
      </c>
      <c r="P17" s="10">
        <f>IF(真實IC!P17&gt;真實IC!P$25,1,0)</f>
        <v>0</v>
      </c>
      <c r="Q17" s="10">
        <f>IF(真實IC!Q17&gt;真實IC!Q$25,1,0)</f>
        <v>0</v>
      </c>
      <c r="R17" s="10">
        <f>IF(真實IC!R17&gt;真實IC!R$25,1,0)</f>
        <v>0</v>
      </c>
      <c r="S17" s="10">
        <f>IF(真實IC!S17&gt;真實IC!S$25,1,0)</f>
        <v>1</v>
      </c>
      <c r="T17" s="10">
        <f>IF(真實IC!T17&gt;真實IC!T$25,1,0)</f>
        <v>1</v>
      </c>
      <c r="U17" s="10">
        <f>IF(真實IC!U17&gt;真實IC!U$25,1,0)</f>
        <v>1</v>
      </c>
      <c r="V17" s="10">
        <f>IF(真實IC!V17&gt;真實IC!V$25,1,0)</f>
        <v>1</v>
      </c>
      <c r="W17" s="10">
        <f>IF(真實IC!W17&gt;真實IC!W$25,1,0)</f>
        <v>1</v>
      </c>
      <c r="X17" s="10">
        <f>IF(真實IC!X17&gt;真實IC!X$25,1,0)</f>
        <v>1</v>
      </c>
      <c r="Y17" s="10">
        <f>IF(真實IC!Y17&gt;真實IC!Y$25,1,0)</f>
        <v>1</v>
      </c>
      <c r="Z17" s="10">
        <f>IF(真實IC!Z17&gt;真實IC!Z$25,1,0)</f>
        <v>1</v>
      </c>
      <c r="AA17" s="10">
        <f>IF(真實IC!AA17&gt;真實IC!AA$25,1,0)</f>
        <v>1</v>
      </c>
      <c r="AB17" s="10">
        <f>IF(真實IC!AB17&gt;真實IC!AB$25,1,0)</f>
        <v>1</v>
      </c>
      <c r="AC17" s="10">
        <f>IF(真實IC!AC17&gt;真實IC!AC$25,1,0)</f>
        <v>0</v>
      </c>
      <c r="AD17" s="10">
        <f>IF(真實IC!AD17&gt;真實IC!AD$25,1,0)</f>
        <v>1</v>
      </c>
      <c r="AE17" s="10">
        <f>IF(真實IC!AE17&gt;真實IC!AE$25,1,0)</f>
        <v>1</v>
      </c>
      <c r="AF17" s="10">
        <f>IF(真實IC!AF17&gt;真實IC!AF$25,1,0)</f>
        <v>1</v>
      </c>
      <c r="AG17" s="10">
        <f>IF(真實IC!AG17&gt;真實IC!AG$25,1,0)</f>
        <v>1</v>
      </c>
      <c r="AH17" s="10">
        <f>IF(真實IC!AH17&gt;真實IC!AH$25,1,0)</f>
        <v>1</v>
      </c>
      <c r="AI17" s="10">
        <f>IF(真實IC!AI17&gt;真實IC!AI$25,1,0)</f>
        <v>1</v>
      </c>
      <c r="AJ17" s="10">
        <f>IF(真實IC!AJ17&gt;真實IC!AJ$25,1,0)</f>
        <v>1</v>
      </c>
      <c r="AK17" s="10">
        <f>IF(真實IC!AK17&gt;真實IC!AK$25,1,0)</f>
        <v>1</v>
      </c>
      <c r="AL17" s="10">
        <f>IF(真實IC!AL17&gt;真實IC!AL$25,1,0)</f>
        <v>1</v>
      </c>
      <c r="AM17" s="10">
        <f>IF(真實IC!AM17&gt;真實IC!AM$25,1,0)</f>
        <v>1</v>
      </c>
      <c r="AN17" s="10">
        <f>IF(真實IC!AN17&gt;真實IC!AN$25,1,0)</f>
        <v>1</v>
      </c>
      <c r="AO17" s="10">
        <f>IF(真實IC!AO17&gt;真實IC!AO$25,1,0)</f>
        <v>1</v>
      </c>
      <c r="AP17" s="10">
        <f>IF(真實IC!AP17&gt;真實IC!AP$25,1,0)</f>
        <v>0</v>
      </c>
      <c r="AQ17" s="10">
        <f>IF(真實IC!AQ17&gt;真實IC!AQ$25,1,0)</f>
        <v>0</v>
      </c>
      <c r="AR17" s="10">
        <f>IF(真實IC!AR17&gt;真實IC!AR$25,1,0)</f>
        <v>1</v>
      </c>
      <c r="AS17" s="10">
        <f>IF(真實IC!AS17&gt;真實IC!AS$25,1,0)</f>
        <v>1</v>
      </c>
      <c r="AT17" s="10">
        <f>IF(真實IC!AT17&gt;真實IC!AT$25,1,0)</f>
        <v>1</v>
      </c>
      <c r="AU17" s="10">
        <f>IF(真實IC!AU17&gt;真實IC!AU$25,1,0)</f>
        <v>1</v>
      </c>
      <c r="AV17" s="10">
        <f>IF(真實IC!AV17&gt;真實IC!AV$25,1,0)</f>
        <v>1</v>
      </c>
      <c r="AW17" s="10">
        <f>IF(真實IC!AW17&gt;真實IC!AW$25,1,0)</f>
        <v>1</v>
      </c>
      <c r="AX17" s="10">
        <f>IF(真實IC!AX17&gt;真實IC!AX$25,1,0)</f>
        <v>1</v>
      </c>
      <c r="AY17" s="10">
        <f>IF(真實IC!AY17&gt;真實IC!AY$25,1,0)</f>
        <v>1</v>
      </c>
      <c r="AZ17" s="10">
        <f>IF(真實IC!AZ17&gt;真實IC!AZ$25,1,0)</f>
        <v>1</v>
      </c>
      <c r="BA17" s="10">
        <f>IF(真實IC!BA17&gt;真實IC!BA$25,1,0)</f>
        <v>1</v>
      </c>
      <c r="BB17" s="10">
        <f>IF(真實IC!BB17&gt;真實IC!BB$25,1,0)</f>
        <v>1</v>
      </c>
      <c r="BC17" s="10">
        <f>IF(真實IC!BC17&gt;真實IC!BC$25,1,0)</f>
        <v>0</v>
      </c>
      <c r="BD17" s="10">
        <f>IF(真實IC!BD17&gt;真實IC!BD$25,1,0)</f>
        <v>0</v>
      </c>
      <c r="BE17" s="10">
        <f>IF(真實IC!BE17&gt;真實IC!BE$25,1,0)</f>
        <v>1</v>
      </c>
      <c r="BF17" s="10">
        <f>IF(真實IC!BF17&gt;真實IC!BF$25,1,0)</f>
        <v>1</v>
      </c>
      <c r="BG17" s="10">
        <f>IF(真實IC!BG17&gt;真實IC!BG$25,1,0)</f>
        <v>1</v>
      </c>
      <c r="BH17" s="10">
        <f>IF(真實IC!BH17&gt;真實IC!BH$25,1,0)</f>
        <v>1</v>
      </c>
      <c r="BI17" s="10">
        <f>IF(真實IC!BI17&gt;真實IC!BI$25,1,0)</f>
        <v>1</v>
      </c>
      <c r="BJ17" s="10">
        <f>IF(真實IC!BJ17&gt;真實IC!BJ$25,1,0)</f>
        <v>1</v>
      </c>
      <c r="BK17" s="10">
        <f>IF(真實IC!BK17&gt;真實IC!BK$25,1,0)</f>
        <v>0</v>
      </c>
      <c r="BL17" s="10">
        <f>IF(真實IC!BL17&gt;真實IC!BL$25,1,0)</f>
        <v>1</v>
      </c>
      <c r="BM17" s="10">
        <f>IF(真實IC!BM17&gt;真實IC!BM$25,1,0)</f>
        <v>1</v>
      </c>
      <c r="BN17" s="10">
        <f>IF(真實IC!BN17&gt;真實IC!BN$25,1,0)</f>
        <v>0</v>
      </c>
      <c r="BO17" s="10">
        <f>IF(真實IC!BO17&gt;真實IC!BO$25,1,0)</f>
        <v>1</v>
      </c>
      <c r="BP17" s="10">
        <f>IF(真實IC!BP17&gt;真實IC!BP$25,1,0)</f>
        <v>0</v>
      </c>
      <c r="BQ17" s="10">
        <f>IF(真實IC!BQ17&gt;真實IC!BQ$25,1,0)</f>
        <v>1</v>
      </c>
      <c r="BR17" s="10">
        <f>IF(真實IC!BR17&gt;真實IC!BR$25,1,0)</f>
        <v>1</v>
      </c>
      <c r="BS17" s="10">
        <f>IF(真實IC!BS17&gt;真實IC!BS$25,1,0)</f>
        <v>1</v>
      </c>
      <c r="BT17" s="10">
        <f>IF(真實IC!BT17&gt;真實IC!BT$25,1,0)</f>
        <v>0</v>
      </c>
      <c r="BU17" s="10">
        <f>IF(真實IC!BU17&gt;真實IC!BU$25,1,0)</f>
        <v>1</v>
      </c>
      <c r="BV17" s="10">
        <f>IF(真實IC!BV17&gt;真實IC!BV$25,1,0)</f>
        <v>1</v>
      </c>
      <c r="BW17" s="10">
        <f>IF(真實IC!BW17&gt;真實IC!BW$25,1,0)</f>
        <v>1</v>
      </c>
      <c r="BX17" s="10">
        <f>IF(真實IC!BX17&gt;真實IC!BX$25,1,0)</f>
        <v>1</v>
      </c>
      <c r="BY17" s="10">
        <f>IF(真實IC!BY17&gt;真實IC!BY$25,1,0)</f>
        <v>1</v>
      </c>
      <c r="BZ17" s="10">
        <f>IF(真實IC!BZ17&gt;真實IC!BZ$25,1,0)</f>
        <v>0</v>
      </c>
      <c r="CA17" s="10">
        <f>IF(真實IC!CA17&gt;真實IC!CA$25,1,0)</f>
        <v>1</v>
      </c>
      <c r="CB17" s="10">
        <f>IF(真實IC!CB17&gt;真實IC!CB$25,1,0)</f>
        <v>0</v>
      </c>
      <c r="CC17" s="10">
        <f>IF(真實IC!CC17&gt;真實IC!CC$25,1,0)</f>
        <v>0</v>
      </c>
      <c r="CD17" s="10">
        <f>IF(真實IC!CD17&gt;真實IC!CD$25,1,0)</f>
        <v>1</v>
      </c>
      <c r="CE17" s="10">
        <f>IF(真實IC!CE17&gt;真實IC!CE$25,1,0)</f>
        <v>1</v>
      </c>
      <c r="CF17" s="10">
        <f>IF(真實IC!CF17&gt;真實IC!CF$25,1,0)</f>
        <v>1</v>
      </c>
      <c r="CG17" s="10">
        <f>IF(真實IC!CG17&gt;真實IC!CG$25,1,0)</f>
        <v>1</v>
      </c>
      <c r="CH17" s="10">
        <f>IF(真實IC!CH17&gt;真實IC!CH$25,1,0)</f>
        <v>1</v>
      </c>
      <c r="CI17" s="10">
        <f>IF(真實IC!CI17&gt;真實IC!CI$25,1,0)</f>
        <v>1</v>
      </c>
      <c r="CJ17" s="10">
        <f>IF(真實IC!CJ17&gt;真實IC!CJ$25,1,0)</f>
        <v>0</v>
      </c>
      <c r="CK17" s="10">
        <f>IF(真實IC!CK17&gt;真實IC!CK$25,1,0)</f>
        <v>1</v>
      </c>
      <c r="CL17" s="10">
        <f>IF(真實IC!CL17&gt;真實IC!CL$25,1,0)</f>
        <v>1</v>
      </c>
      <c r="CM17" s="10">
        <f>IF(真實IC!CM17&gt;真實IC!CM$25,1,0)</f>
        <v>1</v>
      </c>
      <c r="CN17" s="10">
        <f>IF(真實IC!CN17&gt;真實IC!CN$25,1,0)</f>
        <v>1</v>
      </c>
      <c r="CO17" s="10">
        <f>IF(真實IC!CO17&gt;真實IC!CO$25,1,0)</f>
        <v>1</v>
      </c>
      <c r="CP17" s="10">
        <f>IF(真實IC!CP17&gt;真實IC!CP$25,1,0)</f>
        <v>1</v>
      </c>
      <c r="CQ17" s="10">
        <f>IF(真實IC!CQ17&gt;真實IC!CQ$25,1,0)</f>
        <v>1</v>
      </c>
      <c r="CR17" s="10">
        <f>IF(真實IC!CR17&gt;真實IC!CR$25,1,0)</f>
        <v>1</v>
      </c>
      <c r="CS17" s="10">
        <f>IF(真實IC!CS17&gt;真實IC!CS$25,1,0)</f>
        <v>1</v>
      </c>
      <c r="CT17" s="10">
        <f>IF(真實IC!CT17&gt;真實IC!CT$25,1,0)</f>
        <v>1</v>
      </c>
      <c r="CU17" s="10">
        <f>IF(真實IC!CU17&gt;真實IC!CU$25,1,0)</f>
        <v>1</v>
      </c>
      <c r="CV17" s="10">
        <f>IF(真實IC!CV17&gt;真實IC!CV$25,1,0)</f>
        <v>1</v>
      </c>
      <c r="CW17" s="10">
        <f>IF(真實IC!CW17&gt;真實IC!CW$25,1,0)</f>
        <v>1</v>
      </c>
      <c r="CX17" s="10">
        <f>IF(真實IC!CX17&gt;真實IC!CX$25,1,0)</f>
        <v>1</v>
      </c>
      <c r="CY17" s="10">
        <f>IF(真實IC!CY17&gt;真實IC!CY$25,1,0)</f>
        <v>1</v>
      </c>
      <c r="CZ17" s="10">
        <f>IF(真實IC!CZ17&gt;真實IC!CZ$25,1,0)</f>
        <v>1</v>
      </c>
      <c r="DA17" s="10">
        <f>IF(真實IC!DA17&gt;真實IC!DA$25,1,0)</f>
        <v>1</v>
      </c>
      <c r="DB17" s="10">
        <f>IF(真實IC!DB17&gt;真實IC!DB$25,1,0)</f>
        <v>1</v>
      </c>
      <c r="DC17" s="10">
        <f>IF(真實IC!DC17&gt;真實IC!DC$25,1,0)</f>
        <v>1</v>
      </c>
      <c r="DD17" s="10">
        <f>IF(真實IC!DD17&gt;真實IC!DD$25,1,0)</f>
        <v>1</v>
      </c>
      <c r="DE17" s="10">
        <f>IF(真實IC!DE17&gt;真實IC!DE$25,1,0)</f>
        <v>0</v>
      </c>
      <c r="DF17" s="10">
        <f>IF(真實IC!DF17&gt;真實IC!DF$25,1,0)</f>
        <v>1</v>
      </c>
      <c r="DG17" s="10">
        <f>IF(真實IC!DG17&gt;真實IC!DG$25,1,0)</f>
        <v>0</v>
      </c>
      <c r="DH17" s="10">
        <f>IF(真實IC!DH17&gt;真實IC!DH$25,1,0)</f>
        <v>1</v>
      </c>
      <c r="DI17" s="10">
        <f>IF(真實IC!DI17&gt;真實IC!DI$25,1,0)</f>
        <v>1</v>
      </c>
      <c r="DJ17" s="10">
        <f>IF(真實IC!DJ17&gt;真實IC!DJ$25,1,0)</f>
        <v>1</v>
      </c>
      <c r="DK17" s="10">
        <f>IF(真實IC!DK17&gt;真實IC!DK$25,1,0)</f>
        <v>0</v>
      </c>
      <c r="DL17" s="10">
        <f>IF(真實IC!DL17&gt;真實IC!DL$25,1,0)</f>
        <v>0</v>
      </c>
      <c r="DM17" s="10">
        <f>IF(真實IC!DM17&gt;真實IC!DM$25,1,0)</f>
        <v>1</v>
      </c>
      <c r="DN17" s="10">
        <f>IF(真實IC!DN17&gt;真實IC!DN$25,1,0)</f>
        <v>1</v>
      </c>
      <c r="DO17" s="10">
        <f>IF(真實IC!DO17&gt;真實IC!DO$25,1,0)</f>
        <v>1</v>
      </c>
      <c r="DP17" s="10">
        <f>IF(真實IC!DP17&gt;真實IC!DP$25,1,0)</f>
        <v>1</v>
      </c>
      <c r="DQ17" s="10">
        <f>IF(真實IC!DQ17&gt;真實IC!DQ$25,1,0)</f>
        <v>1</v>
      </c>
      <c r="DR17" s="10">
        <f>IF(真實IC!DR17&gt;真實IC!DR$25,1,0)</f>
        <v>0</v>
      </c>
      <c r="DS17" s="10">
        <f>IF(真實IC!DS17&gt;真實IC!DS$25,1,0)</f>
        <v>1</v>
      </c>
      <c r="DT17" s="10">
        <f>IF(真實IC!DT17&gt;真實IC!DT$25,1,0)</f>
        <v>0</v>
      </c>
      <c r="DU17" s="10">
        <f>IF(真實IC!DU17&gt;真實IC!DU$25,1,0)</f>
        <v>1</v>
      </c>
      <c r="DV17" s="10">
        <f>IF(真實IC!DV17&gt;真實IC!DV$25,1,0)</f>
        <v>1</v>
      </c>
      <c r="DW17" s="10">
        <f>IF(真實IC!DW17&gt;真實IC!DW$25,1,0)</f>
        <v>0</v>
      </c>
      <c r="DX17" s="10">
        <f>IF(真實IC!DX17&gt;真實IC!DX$25,1,0)</f>
        <v>1</v>
      </c>
      <c r="DY17" s="10">
        <f>IF(真實IC!DY17&gt;真實IC!DY$25,1,0)</f>
        <v>1</v>
      </c>
      <c r="DZ17" s="10">
        <f>IF(真實IC!DZ17&gt;真實IC!DZ$25,1,0)</f>
        <v>0</v>
      </c>
      <c r="EA17" s="10">
        <f>IF(真實IC!EA17&gt;真實IC!EA$25,1,0)</f>
        <v>1</v>
      </c>
      <c r="EB17" s="10">
        <f>IF(真實IC!EB17&gt;真實IC!EB$25,1,0)</f>
        <v>1</v>
      </c>
      <c r="EC17" s="10">
        <f>IF(真實IC!EC17&gt;真實IC!EC$25,1,0)</f>
        <v>0</v>
      </c>
      <c r="ED17" s="10">
        <f>IF(真實IC!ED17&gt;真實IC!ED$25,1,0)</f>
        <v>1</v>
      </c>
      <c r="EE17" s="10">
        <f>IF(真實IC!EE17&gt;真實IC!EE$25,1,0)</f>
        <v>1</v>
      </c>
      <c r="EF17" s="10">
        <f>IF(真實IC!EF17&gt;真實IC!EF$25,1,0)</f>
        <v>1</v>
      </c>
      <c r="EG17" s="10">
        <f>IF(真實IC!EG17&gt;真實IC!EG$25,1,0)</f>
        <v>1</v>
      </c>
      <c r="EH17" s="10">
        <f>IF(真實IC!EH17&gt;真實IC!EH$25,1,0)</f>
        <v>1</v>
      </c>
      <c r="EI17" s="10">
        <f>IF(真實IC!EI17&gt;真實IC!EI$25,1,0)</f>
        <v>0</v>
      </c>
      <c r="EJ17" s="10">
        <f>IF(真實IC!EJ17&gt;真實IC!EJ$25,1,0)</f>
        <v>1</v>
      </c>
      <c r="EK17" s="10">
        <f>IF(真實IC!EK17&gt;真實IC!EK$25,1,0)</f>
        <v>1</v>
      </c>
      <c r="EL17" s="10">
        <f>IF(真實IC!EL17&gt;真實IC!EL$25,1,0)</f>
        <v>0</v>
      </c>
      <c r="EM17" s="6">
        <f t="shared" si="11"/>
        <v>109</v>
      </c>
      <c r="EN17" s="13">
        <f t="shared" si="12"/>
        <v>0.77857142857142858</v>
      </c>
    </row>
    <row r="18" spans="1:144" x14ac:dyDescent="0.3">
      <c r="A18" s="11">
        <v>150</v>
      </c>
      <c r="B18" s="11">
        <f t="shared" si="10"/>
        <v>7</v>
      </c>
      <c r="C18" s="10">
        <f>IF(真實IC!C18&gt;真實IC!C$25,1,0)</f>
        <v>1</v>
      </c>
      <c r="D18" s="10">
        <f>IF(真實IC!D18&gt;真實IC!D$25,1,0)</f>
        <v>1</v>
      </c>
      <c r="E18" s="10">
        <f>IF(真實IC!E18&gt;真實IC!E$25,1,0)</f>
        <v>1</v>
      </c>
      <c r="F18" s="10">
        <f>IF(真實IC!F18&gt;真實IC!F$25,1,0)</f>
        <v>1</v>
      </c>
      <c r="G18" s="10">
        <f>IF(真實IC!G18&gt;真實IC!G$25,1,0)</f>
        <v>1</v>
      </c>
      <c r="H18" s="10">
        <f>IF(真實IC!H18&gt;真實IC!H$25,1,0)</f>
        <v>1</v>
      </c>
      <c r="I18" s="10">
        <f>IF(真實IC!I18&gt;真實IC!I$25,1,0)</f>
        <v>1</v>
      </c>
      <c r="J18" s="10">
        <f>IF(真實IC!J18&gt;真實IC!J$25,1,0)</f>
        <v>1</v>
      </c>
      <c r="K18" s="10">
        <f>IF(真實IC!K18&gt;真實IC!K$25,1,0)</f>
        <v>1</v>
      </c>
      <c r="L18" s="10">
        <f>IF(真實IC!L18&gt;真實IC!L$25,1,0)</f>
        <v>0</v>
      </c>
      <c r="M18" s="10">
        <f>IF(真實IC!M18&gt;真實IC!M$25,1,0)</f>
        <v>0</v>
      </c>
      <c r="N18" s="10">
        <f>IF(真實IC!N18&gt;真實IC!N$25,1,0)</f>
        <v>1</v>
      </c>
      <c r="O18" s="10">
        <f>IF(真實IC!O18&gt;真實IC!O$25,1,0)</f>
        <v>0</v>
      </c>
      <c r="P18" s="10">
        <f>IF(真實IC!P18&gt;真實IC!P$25,1,0)</f>
        <v>0</v>
      </c>
      <c r="Q18" s="10">
        <f>IF(真實IC!Q18&gt;真實IC!Q$25,1,0)</f>
        <v>0</v>
      </c>
      <c r="R18" s="10">
        <f>IF(真實IC!R18&gt;真實IC!R$25,1,0)</f>
        <v>0</v>
      </c>
      <c r="S18" s="10">
        <f>IF(真實IC!S18&gt;真實IC!S$25,1,0)</f>
        <v>1</v>
      </c>
      <c r="T18" s="10">
        <f>IF(真實IC!T18&gt;真實IC!T$25,1,0)</f>
        <v>1</v>
      </c>
      <c r="U18" s="10">
        <f>IF(真實IC!U18&gt;真實IC!U$25,1,0)</f>
        <v>1</v>
      </c>
      <c r="V18" s="10">
        <f>IF(真實IC!V18&gt;真實IC!V$25,1,0)</f>
        <v>1</v>
      </c>
      <c r="W18" s="10">
        <f>IF(真實IC!W18&gt;真實IC!W$25,1,0)</f>
        <v>1</v>
      </c>
      <c r="X18" s="10">
        <f>IF(真實IC!X18&gt;真實IC!X$25,1,0)</f>
        <v>1</v>
      </c>
      <c r="Y18" s="10">
        <f>IF(真實IC!Y18&gt;真實IC!Y$25,1,0)</f>
        <v>1</v>
      </c>
      <c r="Z18" s="10">
        <f>IF(真實IC!Z18&gt;真實IC!Z$25,1,0)</f>
        <v>1</v>
      </c>
      <c r="AA18" s="10">
        <f>IF(真實IC!AA18&gt;真實IC!AA$25,1,0)</f>
        <v>1</v>
      </c>
      <c r="AB18" s="10">
        <f>IF(真實IC!AB18&gt;真實IC!AB$25,1,0)</f>
        <v>1</v>
      </c>
      <c r="AC18" s="10">
        <f>IF(真實IC!AC18&gt;真實IC!AC$25,1,0)</f>
        <v>0</v>
      </c>
      <c r="AD18" s="10">
        <f>IF(真實IC!AD18&gt;真實IC!AD$25,1,0)</f>
        <v>1</v>
      </c>
      <c r="AE18" s="10">
        <f>IF(真實IC!AE18&gt;真實IC!AE$25,1,0)</f>
        <v>1</v>
      </c>
      <c r="AF18" s="10">
        <f>IF(真實IC!AF18&gt;真實IC!AF$25,1,0)</f>
        <v>1</v>
      </c>
      <c r="AG18" s="10">
        <f>IF(真實IC!AG18&gt;真實IC!AG$25,1,0)</f>
        <v>0</v>
      </c>
      <c r="AH18" s="10">
        <f>IF(真實IC!AH18&gt;真實IC!AH$25,1,0)</f>
        <v>0</v>
      </c>
      <c r="AI18" s="10">
        <f>IF(真實IC!AI18&gt;真實IC!AI$25,1,0)</f>
        <v>1</v>
      </c>
      <c r="AJ18" s="10">
        <f>IF(真實IC!AJ18&gt;真實IC!AJ$25,1,0)</f>
        <v>1</v>
      </c>
      <c r="AK18" s="10">
        <f>IF(真實IC!AK18&gt;真實IC!AK$25,1,0)</f>
        <v>1</v>
      </c>
      <c r="AL18" s="10">
        <f>IF(真實IC!AL18&gt;真實IC!AL$25,1,0)</f>
        <v>1</v>
      </c>
      <c r="AM18" s="10">
        <f>IF(真實IC!AM18&gt;真實IC!AM$25,1,0)</f>
        <v>1</v>
      </c>
      <c r="AN18" s="10">
        <f>IF(真實IC!AN18&gt;真實IC!AN$25,1,0)</f>
        <v>1</v>
      </c>
      <c r="AO18" s="10">
        <f>IF(真實IC!AO18&gt;真實IC!AO$25,1,0)</f>
        <v>1</v>
      </c>
      <c r="AP18" s="10">
        <f>IF(真實IC!AP18&gt;真實IC!AP$25,1,0)</f>
        <v>0</v>
      </c>
      <c r="AQ18" s="10">
        <f>IF(真實IC!AQ18&gt;真實IC!AQ$25,1,0)</f>
        <v>0</v>
      </c>
      <c r="AR18" s="10">
        <f>IF(真實IC!AR18&gt;真實IC!AR$25,1,0)</f>
        <v>1</v>
      </c>
      <c r="AS18" s="10">
        <f>IF(真實IC!AS18&gt;真實IC!AS$25,1,0)</f>
        <v>0</v>
      </c>
      <c r="AT18" s="10">
        <f>IF(真實IC!AT18&gt;真實IC!AT$25,1,0)</f>
        <v>1</v>
      </c>
      <c r="AU18" s="10">
        <f>IF(真實IC!AU18&gt;真實IC!AU$25,1,0)</f>
        <v>1</v>
      </c>
      <c r="AV18" s="10">
        <f>IF(真實IC!AV18&gt;真實IC!AV$25,1,0)</f>
        <v>1</v>
      </c>
      <c r="AW18" s="10">
        <f>IF(真實IC!AW18&gt;真實IC!AW$25,1,0)</f>
        <v>1</v>
      </c>
      <c r="AX18" s="10">
        <f>IF(真實IC!AX18&gt;真實IC!AX$25,1,0)</f>
        <v>1</v>
      </c>
      <c r="AY18" s="10">
        <f>IF(真實IC!AY18&gt;真實IC!AY$25,1,0)</f>
        <v>0</v>
      </c>
      <c r="AZ18" s="10">
        <f>IF(真實IC!AZ18&gt;真實IC!AZ$25,1,0)</f>
        <v>1</v>
      </c>
      <c r="BA18" s="10">
        <f>IF(真實IC!BA18&gt;真實IC!BA$25,1,0)</f>
        <v>1</v>
      </c>
      <c r="BB18" s="10">
        <f>IF(真實IC!BB18&gt;真實IC!BB$25,1,0)</f>
        <v>1</v>
      </c>
      <c r="BC18" s="10">
        <f>IF(真實IC!BC18&gt;真實IC!BC$25,1,0)</f>
        <v>1</v>
      </c>
      <c r="BD18" s="10">
        <f>IF(真實IC!BD18&gt;真實IC!BD$25,1,0)</f>
        <v>0</v>
      </c>
      <c r="BE18" s="10">
        <f>IF(真實IC!BE18&gt;真實IC!BE$25,1,0)</f>
        <v>1</v>
      </c>
      <c r="BF18" s="10">
        <f>IF(真實IC!BF18&gt;真實IC!BF$25,1,0)</f>
        <v>1</v>
      </c>
      <c r="BG18" s="10">
        <f>IF(真實IC!BG18&gt;真實IC!BG$25,1,0)</f>
        <v>1</v>
      </c>
      <c r="BH18" s="10">
        <f>IF(真實IC!BH18&gt;真實IC!BH$25,1,0)</f>
        <v>1</v>
      </c>
      <c r="BI18" s="10">
        <f>IF(真實IC!BI18&gt;真實IC!BI$25,1,0)</f>
        <v>1</v>
      </c>
      <c r="BJ18" s="10">
        <f>IF(真實IC!BJ18&gt;真實IC!BJ$25,1,0)</f>
        <v>1</v>
      </c>
      <c r="BK18" s="10">
        <f>IF(真實IC!BK18&gt;真實IC!BK$25,1,0)</f>
        <v>0</v>
      </c>
      <c r="BL18" s="10">
        <f>IF(真實IC!BL18&gt;真實IC!BL$25,1,0)</f>
        <v>1</v>
      </c>
      <c r="BM18" s="10">
        <f>IF(真實IC!BM18&gt;真實IC!BM$25,1,0)</f>
        <v>0</v>
      </c>
      <c r="BN18" s="10">
        <f>IF(真實IC!BN18&gt;真實IC!BN$25,1,0)</f>
        <v>0</v>
      </c>
      <c r="BO18" s="10">
        <f>IF(真實IC!BO18&gt;真實IC!BO$25,1,0)</f>
        <v>1</v>
      </c>
      <c r="BP18" s="10">
        <f>IF(真實IC!BP18&gt;真實IC!BP$25,1,0)</f>
        <v>0</v>
      </c>
      <c r="BQ18" s="10">
        <f>IF(真實IC!BQ18&gt;真實IC!BQ$25,1,0)</f>
        <v>1</v>
      </c>
      <c r="BR18" s="10">
        <f>IF(真實IC!BR18&gt;真實IC!BR$25,1,0)</f>
        <v>1</v>
      </c>
      <c r="BS18" s="10">
        <f>IF(真實IC!BS18&gt;真實IC!BS$25,1,0)</f>
        <v>1</v>
      </c>
      <c r="BT18" s="10">
        <f>IF(真實IC!BT18&gt;真實IC!BT$25,1,0)</f>
        <v>0</v>
      </c>
      <c r="BU18" s="10">
        <f>IF(真實IC!BU18&gt;真實IC!BU$25,1,0)</f>
        <v>1</v>
      </c>
      <c r="BV18" s="10">
        <f>IF(真實IC!BV18&gt;真實IC!BV$25,1,0)</f>
        <v>0</v>
      </c>
      <c r="BW18" s="10">
        <f>IF(真實IC!BW18&gt;真實IC!BW$25,1,0)</f>
        <v>1</v>
      </c>
      <c r="BX18" s="10">
        <f>IF(真實IC!BX18&gt;真實IC!BX$25,1,0)</f>
        <v>1</v>
      </c>
      <c r="BY18" s="10">
        <f>IF(真實IC!BY18&gt;真實IC!BY$25,1,0)</f>
        <v>1</v>
      </c>
      <c r="BZ18" s="10">
        <f>IF(真實IC!BZ18&gt;真實IC!BZ$25,1,0)</f>
        <v>1</v>
      </c>
      <c r="CA18" s="10">
        <f>IF(真實IC!CA18&gt;真實IC!CA$25,1,0)</f>
        <v>1</v>
      </c>
      <c r="CB18" s="10">
        <f>IF(真實IC!CB18&gt;真實IC!CB$25,1,0)</f>
        <v>0</v>
      </c>
      <c r="CC18" s="10">
        <f>IF(真實IC!CC18&gt;真實IC!CC$25,1,0)</f>
        <v>0</v>
      </c>
      <c r="CD18" s="10">
        <f>IF(真實IC!CD18&gt;真實IC!CD$25,1,0)</f>
        <v>1</v>
      </c>
      <c r="CE18" s="10">
        <f>IF(真實IC!CE18&gt;真實IC!CE$25,1,0)</f>
        <v>1</v>
      </c>
      <c r="CF18" s="10">
        <f>IF(真實IC!CF18&gt;真實IC!CF$25,1,0)</f>
        <v>1</v>
      </c>
      <c r="CG18" s="10">
        <f>IF(真實IC!CG18&gt;真實IC!CG$25,1,0)</f>
        <v>1</v>
      </c>
      <c r="CH18" s="10">
        <f>IF(真實IC!CH18&gt;真實IC!CH$25,1,0)</f>
        <v>1</v>
      </c>
      <c r="CI18" s="10">
        <f>IF(真實IC!CI18&gt;真實IC!CI$25,1,0)</f>
        <v>1</v>
      </c>
      <c r="CJ18" s="10">
        <f>IF(真實IC!CJ18&gt;真實IC!CJ$25,1,0)</f>
        <v>0</v>
      </c>
      <c r="CK18" s="10">
        <f>IF(真實IC!CK18&gt;真實IC!CK$25,1,0)</f>
        <v>0</v>
      </c>
      <c r="CL18" s="10">
        <f>IF(真實IC!CL18&gt;真實IC!CL$25,1,0)</f>
        <v>1</v>
      </c>
      <c r="CM18" s="10">
        <f>IF(真實IC!CM18&gt;真實IC!CM$25,1,0)</f>
        <v>1</v>
      </c>
      <c r="CN18" s="10">
        <f>IF(真實IC!CN18&gt;真實IC!CN$25,1,0)</f>
        <v>1</v>
      </c>
      <c r="CO18" s="10">
        <f>IF(真實IC!CO18&gt;真實IC!CO$25,1,0)</f>
        <v>1</v>
      </c>
      <c r="CP18" s="10">
        <f>IF(真實IC!CP18&gt;真實IC!CP$25,1,0)</f>
        <v>1</v>
      </c>
      <c r="CQ18" s="10">
        <f>IF(真實IC!CQ18&gt;真實IC!CQ$25,1,0)</f>
        <v>1</v>
      </c>
      <c r="CR18" s="10">
        <f>IF(真實IC!CR18&gt;真實IC!CR$25,1,0)</f>
        <v>1</v>
      </c>
      <c r="CS18" s="10">
        <f>IF(真實IC!CS18&gt;真實IC!CS$25,1,0)</f>
        <v>1</v>
      </c>
      <c r="CT18" s="10">
        <f>IF(真實IC!CT18&gt;真實IC!CT$25,1,0)</f>
        <v>1</v>
      </c>
      <c r="CU18" s="10">
        <f>IF(真實IC!CU18&gt;真實IC!CU$25,1,0)</f>
        <v>1</v>
      </c>
      <c r="CV18" s="10">
        <f>IF(真實IC!CV18&gt;真實IC!CV$25,1,0)</f>
        <v>1</v>
      </c>
      <c r="CW18" s="10">
        <f>IF(真實IC!CW18&gt;真實IC!CW$25,1,0)</f>
        <v>1</v>
      </c>
      <c r="CX18" s="10">
        <f>IF(真實IC!CX18&gt;真實IC!CX$25,1,0)</f>
        <v>1</v>
      </c>
      <c r="CY18" s="10">
        <f>IF(真實IC!CY18&gt;真實IC!CY$25,1,0)</f>
        <v>1</v>
      </c>
      <c r="CZ18" s="10">
        <f>IF(真實IC!CZ18&gt;真實IC!CZ$25,1,0)</f>
        <v>1</v>
      </c>
      <c r="DA18" s="10">
        <f>IF(真實IC!DA18&gt;真實IC!DA$25,1,0)</f>
        <v>0</v>
      </c>
      <c r="DB18" s="10">
        <f>IF(真實IC!DB18&gt;真實IC!DB$25,1,0)</f>
        <v>1</v>
      </c>
      <c r="DC18" s="10">
        <f>IF(真實IC!DC18&gt;真實IC!DC$25,1,0)</f>
        <v>1</v>
      </c>
      <c r="DD18" s="10">
        <f>IF(真實IC!DD18&gt;真實IC!DD$25,1,0)</f>
        <v>1</v>
      </c>
      <c r="DE18" s="10">
        <f>IF(真實IC!DE18&gt;真實IC!DE$25,1,0)</f>
        <v>0</v>
      </c>
      <c r="DF18" s="10">
        <f>IF(真實IC!DF18&gt;真實IC!DF$25,1,0)</f>
        <v>1</v>
      </c>
      <c r="DG18" s="10">
        <f>IF(真實IC!DG18&gt;真實IC!DG$25,1,0)</f>
        <v>1</v>
      </c>
      <c r="DH18" s="10">
        <f>IF(真實IC!DH18&gt;真實IC!DH$25,1,0)</f>
        <v>1</v>
      </c>
      <c r="DI18" s="10">
        <f>IF(真實IC!DI18&gt;真實IC!DI$25,1,0)</f>
        <v>1</v>
      </c>
      <c r="DJ18" s="10">
        <f>IF(真實IC!DJ18&gt;真實IC!DJ$25,1,0)</f>
        <v>1</v>
      </c>
      <c r="DK18" s="10">
        <f>IF(真實IC!DK18&gt;真實IC!DK$25,1,0)</f>
        <v>0</v>
      </c>
      <c r="DL18" s="10">
        <f>IF(真實IC!DL18&gt;真實IC!DL$25,1,0)</f>
        <v>0</v>
      </c>
      <c r="DM18" s="10">
        <f>IF(真實IC!DM18&gt;真實IC!DM$25,1,0)</f>
        <v>1</v>
      </c>
      <c r="DN18" s="10">
        <f>IF(真實IC!DN18&gt;真實IC!DN$25,1,0)</f>
        <v>1</v>
      </c>
      <c r="DO18" s="10">
        <f>IF(真實IC!DO18&gt;真實IC!DO$25,1,0)</f>
        <v>1</v>
      </c>
      <c r="DP18" s="10">
        <f>IF(真實IC!DP18&gt;真實IC!DP$25,1,0)</f>
        <v>1</v>
      </c>
      <c r="DQ18" s="10">
        <f>IF(真實IC!DQ18&gt;真實IC!DQ$25,1,0)</f>
        <v>1</v>
      </c>
      <c r="DR18" s="10">
        <f>IF(真實IC!DR18&gt;真實IC!DR$25,1,0)</f>
        <v>0</v>
      </c>
      <c r="DS18" s="10">
        <f>IF(真實IC!DS18&gt;真實IC!DS$25,1,0)</f>
        <v>1</v>
      </c>
      <c r="DT18" s="10">
        <f>IF(真實IC!DT18&gt;真實IC!DT$25,1,0)</f>
        <v>0</v>
      </c>
      <c r="DU18" s="10">
        <f>IF(真實IC!DU18&gt;真實IC!DU$25,1,0)</f>
        <v>1</v>
      </c>
      <c r="DV18" s="10">
        <f>IF(真實IC!DV18&gt;真實IC!DV$25,1,0)</f>
        <v>1</v>
      </c>
      <c r="DW18" s="10">
        <f>IF(真實IC!DW18&gt;真實IC!DW$25,1,0)</f>
        <v>0</v>
      </c>
      <c r="DX18" s="10">
        <f>IF(真實IC!DX18&gt;真實IC!DX$25,1,0)</f>
        <v>1</v>
      </c>
      <c r="DY18" s="10">
        <f>IF(真實IC!DY18&gt;真實IC!DY$25,1,0)</f>
        <v>1</v>
      </c>
      <c r="DZ18" s="10">
        <f>IF(真實IC!DZ18&gt;真實IC!DZ$25,1,0)</f>
        <v>0</v>
      </c>
      <c r="EA18" s="10">
        <f>IF(真實IC!EA18&gt;真實IC!EA$25,1,0)</f>
        <v>1</v>
      </c>
      <c r="EB18" s="10">
        <f>IF(真實IC!EB18&gt;真實IC!EB$25,1,0)</f>
        <v>1</v>
      </c>
      <c r="EC18" s="10">
        <f>IF(真實IC!EC18&gt;真實IC!EC$25,1,0)</f>
        <v>1</v>
      </c>
      <c r="ED18" s="10">
        <f>IF(真實IC!ED18&gt;真實IC!ED$25,1,0)</f>
        <v>1</v>
      </c>
      <c r="EE18" s="10">
        <f>IF(真實IC!EE18&gt;真實IC!EE$25,1,0)</f>
        <v>1</v>
      </c>
      <c r="EF18" s="10">
        <f>IF(真實IC!EF18&gt;真實IC!EF$25,1,0)</f>
        <v>1</v>
      </c>
      <c r="EG18" s="10">
        <f>IF(真實IC!EG18&gt;真實IC!EG$25,1,0)</f>
        <v>1</v>
      </c>
      <c r="EH18" s="10">
        <f>IF(真實IC!EH18&gt;真實IC!EH$25,1,0)</f>
        <v>1</v>
      </c>
      <c r="EI18" s="10">
        <f>IF(真實IC!EI18&gt;真實IC!EI$25,1,0)</f>
        <v>0</v>
      </c>
      <c r="EJ18" s="10">
        <f>IF(真實IC!EJ18&gt;真實IC!EJ$25,1,0)</f>
        <v>1</v>
      </c>
      <c r="EK18" s="10">
        <f>IF(真實IC!EK18&gt;真實IC!EK$25,1,0)</f>
        <v>1</v>
      </c>
      <c r="EL18" s="10">
        <f>IF(真實IC!EL18&gt;真實IC!EL$25,1,0)</f>
        <v>0</v>
      </c>
      <c r="EM18" s="6">
        <f t="shared" si="11"/>
        <v>106</v>
      </c>
      <c r="EN18" s="13">
        <f t="shared" si="12"/>
        <v>0.75714285714285712</v>
      </c>
    </row>
    <row r="19" spans="1:144" x14ac:dyDescent="0.3">
      <c r="A19" s="11">
        <v>180</v>
      </c>
      <c r="B19" s="11">
        <f t="shared" si="10"/>
        <v>6</v>
      </c>
      <c r="C19" s="10">
        <f>IF(真實IC!C19&gt;真實IC!C$25,1,0)</f>
        <v>1</v>
      </c>
      <c r="D19" s="10">
        <f>IF(真實IC!D19&gt;真實IC!D$25,1,0)</f>
        <v>1</v>
      </c>
      <c r="E19" s="10">
        <f>IF(真實IC!E19&gt;真實IC!E$25,1,0)</f>
        <v>1</v>
      </c>
      <c r="F19" s="10">
        <f>IF(真實IC!F19&gt;真實IC!F$25,1,0)</f>
        <v>1</v>
      </c>
      <c r="G19" s="10">
        <f>IF(真實IC!G19&gt;真實IC!G$25,1,0)</f>
        <v>0</v>
      </c>
      <c r="H19" s="10">
        <f>IF(真實IC!H19&gt;真實IC!H$25,1,0)</f>
        <v>1</v>
      </c>
      <c r="I19" s="10">
        <f>IF(真實IC!I19&gt;真實IC!I$25,1,0)</f>
        <v>1</v>
      </c>
      <c r="J19" s="10">
        <f>IF(真實IC!J19&gt;真實IC!J$25,1,0)</f>
        <v>1</v>
      </c>
      <c r="K19" s="10">
        <f>IF(真實IC!K19&gt;真實IC!K$25,1,0)</f>
        <v>1</v>
      </c>
      <c r="L19" s="10">
        <f>IF(真實IC!L19&gt;真實IC!L$25,1,0)</f>
        <v>0</v>
      </c>
      <c r="M19" s="10">
        <f>IF(真實IC!M19&gt;真實IC!M$25,1,0)</f>
        <v>0</v>
      </c>
      <c r="N19" s="10">
        <f>IF(真實IC!N19&gt;真實IC!N$25,1,0)</f>
        <v>1</v>
      </c>
      <c r="O19" s="10">
        <f>IF(真實IC!O19&gt;真實IC!O$25,1,0)</f>
        <v>0</v>
      </c>
      <c r="P19" s="10">
        <f>IF(真實IC!P19&gt;真實IC!P$25,1,0)</f>
        <v>0</v>
      </c>
      <c r="Q19" s="10">
        <f>IF(真實IC!Q19&gt;真實IC!Q$25,1,0)</f>
        <v>0</v>
      </c>
      <c r="R19" s="10">
        <f>IF(真實IC!R19&gt;真實IC!R$25,1,0)</f>
        <v>0</v>
      </c>
      <c r="S19" s="10">
        <f>IF(真實IC!S19&gt;真實IC!S$25,1,0)</f>
        <v>1</v>
      </c>
      <c r="T19" s="10">
        <f>IF(真實IC!T19&gt;真實IC!T$25,1,0)</f>
        <v>1</v>
      </c>
      <c r="U19" s="10">
        <f>IF(真實IC!U19&gt;真實IC!U$25,1,0)</f>
        <v>1</v>
      </c>
      <c r="V19" s="10">
        <f>IF(真實IC!V19&gt;真實IC!V$25,1,0)</f>
        <v>1</v>
      </c>
      <c r="W19" s="10">
        <f>IF(真實IC!W19&gt;真實IC!W$25,1,0)</f>
        <v>1</v>
      </c>
      <c r="X19" s="10">
        <f>IF(真實IC!X19&gt;真實IC!X$25,1,0)</f>
        <v>1</v>
      </c>
      <c r="Y19" s="10">
        <f>IF(真實IC!Y19&gt;真實IC!Y$25,1,0)</f>
        <v>1</v>
      </c>
      <c r="Z19" s="10">
        <f>IF(真實IC!Z19&gt;真實IC!Z$25,1,0)</f>
        <v>1</v>
      </c>
      <c r="AA19" s="10">
        <f>IF(真實IC!AA19&gt;真實IC!AA$25,1,0)</f>
        <v>1</v>
      </c>
      <c r="AB19" s="10">
        <f>IF(真實IC!AB19&gt;真實IC!AB$25,1,0)</f>
        <v>1</v>
      </c>
      <c r="AC19" s="10">
        <f>IF(真實IC!AC19&gt;真實IC!AC$25,1,0)</f>
        <v>0</v>
      </c>
      <c r="AD19" s="10">
        <f>IF(真實IC!AD19&gt;真實IC!AD$25,1,0)</f>
        <v>1</v>
      </c>
      <c r="AE19" s="10">
        <f>IF(真實IC!AE19&gt;真實IC!AE$25,1,0)</f>
        <v>1</v>
      </c>
      <c r="AF19" s="10">
        <f>IF(真實IC!AF19&gt;真實IC!AF$25,1,0)</f>
        <v>1</v>
      </c>
      <c r="AG19" s="10">
        <f>IF(真實IC!AG19&gt;真實IC!AG$25,1,0)</f>
        <v>1</v>
      </c>
      <c r="AH19" s="10">
        <f>IF(真實IC!AH19&gt;真實IC!AH$25,1,0)</f>
        <v>0</v>
      </c>
      <c r="AI19" s="10">
        <f>IF(真實IC!AI19&gt;真實IC!AI$25,1,0)</f>
        <v>1</v>
      </c>
      <c r="AJ19" s="10">
        <f>IF(真實IC!AJ19&gt;真實IC!AJ$25,1,0)</f>
        <v>0</v>
      </c>
      <c r="AK19" s="10">
        <f>IF(真實IC!AK19&gt;真實IC!AK$25,1,0)</f>
        <v>0</v>
      </c>
      <c r="AL19" s="10">
        <f>IF(真實IC!AL19&gt;真實IC!AL$25,1,0)</f>
        <v>1</v>
      </c>
      <c r="AM19" s="10">
        <f>IF(真實IC!AM19&gt;真實IC!AM$25,1,0)</f>
        <v>0</v>
      </c>
      <c r="AN19" s="10">
        <f>IF(真實IC!AN19&gt;真實IC!AN$25,1,0)</f>
        <v>1</v>
      </c>
      <c r="AO19" s="10">
        <f>IF(真實IC!AO19&gt;真實IC!AO$25,1,0)</f>
        <v>1</v>
      </c>
      <c r="AP19" s="10">
        <f>IF(真實IC!AP19&gt;真實IC!AP$25,1,0)</f>
        <v>0</v>
      </c>
      <c r="AQ19" s="10">
        <f>IF(真實IC!AQ19&gt;真實IC!AQ$25,1,0)</f>
        <v>0</v>
      </c>
      <c r="AR19" s="10">
        <f>IF(真實IC!AR19&gt;真實IC!AR$25,1,0)</f>
        <v>1</v>
      </c>
      <c r="AS19" s="10">
        <f>IF(真實IC!AS19&gt;真實IC!AS$25,1,0)</f>
        <v>0</v>
      </c>
      <c r="AT19" s="10">
        <f>IF(真實IC!AT19&gt;真實IC!AT$25,1,0)</f>
        <v>1</v>
      </c>
      <c r="AU19" s="10">
        <f>IF(真實IC!AU19&gt;真實IC!AU$25,1,0)</f>
        <v>1</v>
      </c>
      <c r="AV19" s="10">
        <f>IF(真實IC!AV19&gt;真實IC!AV$25,1,0)</f>
        <v>1</v>
      </c>
      <c r="AW19" s="10">
        <f>IF(真實IC!AW19&gt;真實IC!AW$25,1,0)</f>
        <v>1</v>
      </c>
      <c r="AX19" s="10">
        <f>IF(真實IC!AX19&gt;真實IC!AX$25,1,0)</f>
        <v>1</v>
      </c>
      <c r="AY19" s="10">
        <f>IF(真實IC!AY19&gt;真實IC!AY$25,1,0)</f>
        <v>0</v>
      </c>
      <c r="AZ19" s="10">
        <f>IF(真實IC!AZ19&gt;真實IC!AZ$25,1,0)</f>
        <v>1</v>
      </c>
      <c r="BA19" s="10">
        <f>IF(真實IC!BA19&gt;真實IC!BA$25,1,0)</f>
        <v>1</v>
      </c>
      <c r="BB19" s="10">
        <f>IF(真實IC!BB19&gt;真實IC!BB$25,1,0)</f>
        <v>1</v>
      </c>
      <c r="BC19" s="10">
        <f>IF(真實IC!BC19&gt;真實IC!BC$25,1,0)</f>
        <v>1</v>
      </c>
      <c r="BD19" s="10">
        <f>IF(真實IC!BD19&gt;真實IC!BD$25,1,0)</f>
        <v>1</v>
      </c>
      <c r="BE19" s="10">
        <f>IF(真實IC!BE19&gt;真實IC!BE$25,1,0)</f>
        <v>1</v>
      </c>
      <c r="BF19" s="10">
        <f>IF(真實IC!BF19&gt;真實IC!BF$25,1,0)</f>
        <v>1</v>
      </c>
      <c r="BG19" s="10">
        <f>IF(真實IC!BG19&gt;真實IC!BG$25,1,0)</f>
        <v>1</v>
      </c>
      <c r="BH19" s="10">
        <f>IF(真實IC!BH19&gt;真實IC!BH$25,1,0)</f>
        <v>1</v>
      </c>
      <c r="BI19" s="10">
        <f>IF(真實IC!BI19&gt;真實IC!BI$25,1,0)</f>
        <v>1</v>
      </c>
      <c r="BJ19" s="10">
        <f>IF(真實IC!BJ19&gt;真實IC!BJ$25,1,0)</f>
        <v>1</v>
      </c>
      <c r="BK19" s="10">
        <f>IF(真實IC!BK19&gt;真實IC!BK$25,1,0)</f>
        <v>0</v>
      </c>
      <c r="BL19" s="10">
        <f>IF(真實IC!BL19&gt;真實IC!BL$25,1,0)</f>
        <v>1</v>
      </c>
      <c r="BM19" s="10">
        <f>IF(真實IC!BM19&gt;真實IC!BM$25,1,0)</f>
        <v>1</v>
      </c>
      <c r="BN19" s="10">
        <f>IF(真實IC!BN19&gt;真實IC!BN$25,1,0)</f>
        <v>0</v>
      </c>
      <c r="BO19" s="10">
        <f>IF(真實IC!BO19&gt;真實IC!BO$25,1,0)</f>
        <v>1</v>
      </c>
      <c r="BP19" s="10">
        <f>IF(真實IC!BP19&gt;真實IC!BP$25,1,0)</f>
        <v>0</v>
      </c>
      <c r="BQ19" s="10">
        <f>IF(真實IC!BQ19&gt;真實IC!BQ$25,1,0)</f>
        <v>1</v>
      </c>
      <c r="BR19" s="10">
        <f>IF(真實IC!BR19&gt;真實IC!BR$25,1,0)</f>
        <v>1</v>
      </c>
      <c r="BS19" s="10">
        <f>IF(真實IC!BS19&gt;真實IC!BS$25,1,0)</f>
        <v>1</v>
      </c>
      <c r="BT19" s="10">
        <f>IF(真實IC!BT19&gt;真實IC!BT$25,1,0)</f>
        <v>0</v>
      </c>
      <c r="BU19" s="10">
        <f>IF(真實IC!BU19&gt;真實IC!BU$25,1,0)</f>
        <v>1</v>
      </c>
      <c r="BV19" s="10">
        <f>IF(真實IC!BV19&gt;真實IC!BV$25,1,0)</f>
        <v>1</v>
      </c>
      <c r="BW19" s="10">
        <f>IF(真實IC!BW19&gt;真實IC!BW$25,1,0)</f>
        <v>1</v>
      </c>
      <c r="BX19" s="10">
        <f>IF(真實IC!BX19&gt;真實IC!BX$25,1,0)</f>
        <v>1</v>
      </c>
      <c r="BY19" s="10">
        <f>IF(真實IC!BY19&gt;真實IC!BY$25,1,0)</f>
        <v>1</v>
      </c>
      <c r="BZ19" s="10">
        <f>IF(真實IC!BZ19&gt;真實IC!BZ$25,1,0)</f>
        <v>1</v>
      </c>
      <c r="CA19" s="10">
        <f>IF(真實IC!CA19&gt;真實IC!CA$25,1,0)</f>
        <v>1</v>
      </c>
      <c r="CB19" s="10">
        <f>IF(真實IC!CB19&gt;真實IC!CB$25,1,0)</f>
        <v>0</v>
      </c>
      <c r="CC19" s="10">
        <f>IF(真實IC!CC19&gt;真實IC!CC$25,1,0)</f>
        <v>0</v>
      </c>
      <c r="CD19" s="10">
        <f>IF(真實IC!CD19&gt;真實IC!CD$25,1,0)</f>
        <v>1</v>
      </c>
      <c r="CE19" s="10">
        <f>IF(真實IC!CE19&gt;真實IC!CE$25,1,0)</f>
        <v>1</v>
      </c>
      <c r="CF19" s="10">
        <f>IF(真實IC!CF19&gt;真實IC!CF$25,1,0)</f>
        <v>0</v>
      </c>
      <c r="CG19" s="10">
        <f>IF(真實IC!CG19&gt;真實IC!CG$25,1,0)</f>
        <v>1</v>
      </c>
      <c r="CH19" s="10">
        <f>IF(真實IC!CH19&gt;真實IC!CH$25,1,0)</f>
        <v>1</v>
      </c>
      <c r="CI19" s="10">
        <f>IF(真實IC!CI19&gt;真實IC!CI$25,1,0)</f>
        <v>1</v>
      </c>
      <c r="CJ19" s="10">
        <f>IF(真實IC!CJ19&gt;真實IC!CJ$25,1,0)</f>
        <v>0</v>
      </c>
      <c r="CK19" s="10">
        <f>IF(真實IC!CK19&gt;真實IC!CK$25,1,0)</f>
        <v>0</v>
      </c>
      <c r="CL19" s="10">
        <f>IF(真實IC!CL19&gt;真實IC!CL$25,1,0)</f>
        <v>1</v>
      </c>
      <c r="CM19" s="10">
        <f>IF(真實IC!CM19&gt;真實IC!CM$25,1,0)</f>
        <v>1</v>
      </c>
      <c r="CN19" s="10">
        <f>IF(真實IC!CN19&gt;真實IC!CN$25,1,0)</f>
        <v>1</v>
      </c>
      <c r="CO19" s="10">
        <f>IF(真實IC!CO19&gt;真實IC!CO$25,1,0)</f>
        <v>1</v>
      </c>
      <c r="CP19" s="10">
        <f>IF(真實IC!CP19&gt;真實IC!CP$25,1,0)</f>
        <v>1</v>
      </c>
      <c r="CQ19" s="10">
        <f>IF(真實IC!CQ19&gt;真實IC!CQ$25,1,0)</f>
        <v>1</v>
      </c>
      <c r="CR19" s="10">
        <f>IF(真實IC!CR19&gt;真實IC!CR$25,1,0)</f>
        <v>1</v>
      </c>
      <c r="CS19" s="10">
        <f>IF(真實IC!CS19&gt;真實IC!CS$25,1,0)</f>
        <v>1</v>
      </c>
      <c r="CT19" s="10">
        <f>IF(真實IC!CT19&gt;真實IC!CT$25,1,0)</f>
        <v>0</v>
      </c>
      <c r="CU19" s="10">
        <f>IF(真實IC!CU19&gt;真實IC!CU$25,1,0)</f>
        <v>1</v>
      </c>
      <c r="CV19" s="10">
        <f>IF(真實IC!CV19&gt;真實IC!CV$25,1,0)</f>
        <v>1</v>
      </c>
      <c r="CW19" s="10">
        <f>IF(真實IC!CW19&gt;真實IC!CW$25,1,0)</f>
        <v>1</v>
      </c>
      <c r="CX19" s="10">
        <f>IF(真實IC!CX19&gt;真實IC!CX$25,1,0)</f>
        <v>1</v>
      </c>
      <c r="CY19" s="10">
        <f>IF(真實IC!CY19&gt;真實IC!CY$25,1,0)</f>
        <v>1</v>
      </c>
      <c r="CZ19" s="10">
        <f>IF(真實IC!CZ19&gt;真實IC!CZ$25,1,0)</f>
        <v>1</v>
      </c>
      <c r="DA19" s="10">
        <f>IF(真實IC!DA19&gt;真實IC!DA$25,1,0)</f>
        <v>1</v>
      </c>
      <c r="DB19" s="10">
        <f>IF(真實IC!DB19&gt;真實IC!DB$25,1,0)</f>
        <v>1</v>
      </c>
      <c r="DC19" s="10">
        <f>IF(真實IC!DC19&gt;真實IC!DC$25,1,0)</f>
        <v>1</v>
      </c>
      <c r="DD19" s="10">
        <f>IF(真實IC!DD19&gt;真實IC!DD$25,1,0)</f>
        <v>1</v>
      </c>
      <c r="DE19" s="10">
        <f>IF(真實IC!DE19&gt;真實IC!DE$25,1,0)</f>
        <v>0</v>
      </c>
      <c r="DF19" s="10">
        <f>IF(真實IC!DF19&gt;真實IC!DF$25,1,0)</f>
        <v>1</v>
      </c>
      <c r="DG19" s="10">
        <f>IF(真實IC!DG19&gt;真實IC!DG$25,1,0)</f>
        <v>0</v>
      </c>
      <c r="DH19" s="10">
        <f>IF(真實IC!DH19&gt;真實IC!DH$25,1,0)</f>
        <v>1</v>
      </c>
      <c r="DI19" s="10">
        <f>IF(真實IC!DI19&gt;真實IC!DI$25,1,0)</f>
        <v>0</v>
      </c>
      <c r="DJ19" s="10">
        <f>IF(真實IC!DJ19&gt;真實IC!DJ$25,1,0)</f>
        <v>1</v>
      </c>
      <c r="DK19" s="10">
        <f>IF(真實IC!DK19&gt;真實IC!DK$25,1,0)</f>
        <v>0</v>
      </c>
      <c r="DL19" s="10">
        <f>IF(真實IC!DL19&gt;真實IC!DL$25,1,0)</f>
        <v>1</v>
      </c>
      <c r="DM19" s="10">
        <f>IF(真實IC!DM19&gt;真實IC!DM$25,1,0)</f>
        <v>1</v>
      </c>
      <c r="DN19" s="10">
        <f>IF(真實IC!DN19&gt;真實IC!DN$25,1,0)</f>
        <v>1</v>
      </c>
      <c r="DO19" s="10">
        <f>IF(真實IC!DO19&gt;真實IC!DO$25,1,0)</f>
        <v>1</v>
      </c>
      <c r="DP19" s="10">
        <f>IF(真實IC!DP19&gt;真實IC!DP$25,1,0)</f>
        <v>1</v>
      </c>
      <c r="DQ19" s="10">
        <f>IF(真實IC!DQ19&gt;真實IC!DQ$25,1,0)</f>
        <v>1</v>
      </c>
      <c r="DR19" s="10">
        <f>IF(真實IC!DR19&gt;真實IC!DR$25,1,0)</f>
        <v>1</v>
      </c>
      <c r="DS19" s="10">
        <f>IF(真實IC!DS19&gt;真實IC!DS$25,1,0)</f>
        <v>1</v>
      </c>
      <c r="DT19" s="10">
        <f>IF(真實IC!DT19&gt;真實IC!DT$25,1,0)</f>
        <v>0</v>
      </c>
      <c r="DU19" s="10">
        <f>IF(真實IC!DU19&gt;真實IC!DU$25,1,0)</f>
        <v>1</v>
      </c>
      <c r="DV19" s="10">
        <f>IF(真實IC!DV19&gt;真實IC!DV$25,1,0)</f>
        <v>1</v>
      </c>
      <c r="DW19" s="10">
        <f>IF(真實IC!DW19&gt;真實IC!DW$25,1,0)</f>
        <v>0</v>
      </c>
      <c r="DX19" s="10">
        <f>IF(真實IC!DX19&gt;真實IC!DX$25,1,0)</f>
        <v>1</v>
      </c>
      <c r="DY19" s="10">
        <f>IF(真實IC!DY19&gt;真實IC!DY$25,1,0)</f>
        <v>1</v>
      </c>
      <c r="DZ19" s="10">
        <f>IF(真實IC!DZ19&gt;真實IC!DZ$25,1,0)</f>
        <v>0</v>
      </c>
      <c r="EA19" s="10">
        <f>IF(真實IC!EA19&gt;真實IC!EA$25,1,0)</f>
        <v>1</v>
      </c>
      <c r="EB19" s="10">
        <f>IF(真實IC!EB19&gt;真實IC!EB$25,1,0)</f>
        <v>1</v>
      </c>
      <c r="EC19" s="10">
        <f>IF(真實IC!EC19&gt;真實IC!EC$25,1,0)</f>
        <v>1</v>
      </c>
      <c r="ED19" s="10">
        <f>IF(真實IC!ED19&gt;真實IC!ED$25,1,0)</f>
        <v>1</v>
      </c>
      <c r="EE19" s="10">
        <f>IF(真實IC!EE19&gt;真實IC!EE$25,1,0)</f>
        <v>1</v>
      </c>
      <c r="EF19" s="10">
        <f>IF(真實IC!EF19&gt;真實IC!EF$25,1,0)</f>
        <v>1</v>
      </c>
      <c r="EG19" s="10">
        <f>IF(真實IC!EG19&gt;真實IC!EG$25,1,0)</f>
        <v>1</v>
      </c>
      <c r="EH19" s="10">
        <f>IF(真實IC!EH19&gt;真實IC!EH$25,1,0)</f>
        <v>1</v>
      </c>
      <c r="EI19" s="10">
        <f>IF(真實IC!EI19&gt;真實IC!EI$25,1,0)</f>
        <v>1</v>
      </c>
      <c r="EJ19" s="10">
        <f>IF(真實IC!EJ19&gt;真實IC!EJ$25,1,0)</f>
        <v>1</v>
      </c>
      <c r="EK19" s="10">
        <f>IF(真實IC!EK19&gt;真實IC!EK$25,1,0)</f>
        <v>1</v>
      </c>
      <c r="EL19" s="10">
        <f>IF(真實IC!EL19&gt;真實IC!EL$25,1,0)</f>
        <v>1</v>
      </c>
      <c r="EM19" s="6">
        <f t="shared" si="11"/>
        <v>107</v>
      </c>
      <c r="EN19" s="13">
        <f t="shared" si="12"/>
        <v>0.76428571428571423</v>
      </c>
    </row>
    <row r="20" spans="1:144" x14ac:dyDescent="0.3">
      <c r="A20" s="11">
        <v>200</v>
      </c>
      <c r="B20" s="11">
        <f t="shared" si="10"/>
        <v>5</v>
      </c>
      <c r="C20" s="10">
        <f>IF(真實IC!C20&gt;真實IC!C$25,1,0)</f>
        <v>1</v>
      </c>
      <c r="D20" s="10">
        <f>IF(真實IC!D20&gt;真實IC!D$25,1,0)</f>
        <v>1</v>
      </c>
      <c r="E20" s="10">
        <f>IF(真實IC!E20&gt;真實IC!E$25,1,0)</f>
        <v>1</v>
      </c>
      <c r="F20" s="10">
        <f>IF(真實IC!F20&gt;真實IC!F$25,1,0)</f>
        <v>0</v>
      </c>
      <c r="G20" s="10">
        <f>IF(真實IC!G20&gt;真實IC!G$25,1,0)</f>
        <v>1</v>
      </c>
      <c r="H20" s="10">
        <f>IF(真實IC!H20&gt;真實IC!H$25,1,0)</f>
        <v>1</v>
      </c>
      <c r="I20" s="10">
        <f>IF(真實IC!I20&gt;真實IC!I$25,1,0)</f>
        <v>1</v>
      </c>
      <c r="J20" s="10">
        <f>IF(真實IC!J20&gt;真實IC!J$25,1,0)</f>
        <v>1</v>
      </c>
      <c r="K20" s="10">
        <f>IF(真實IC!K20&gt;真實IC!K$25,1,0)</f>
        <v>1</v>
      </c>
      <c r="L20" s="10">
        <f>IF(真實IC!L20&gt;真實IC!L$25,1,0)</f>
        <v>0</v>
      </c>
      <c r="M20" s="10">
        <f>IF(真實IC!M20&gt;真實IC!M$25,1,0)</f>
        <v>0</v>
      </c>
      <c r="N20" s="10">
        <f>IF(真實IC!N20&gt;真實IC!N$25,1,0)</f>
        <v>1</v>
      </c>
      <c r="O20" s="10">
        <f>IF(真實IC!O20&gt;真實IC!O$25,1,0)</f>
        <v>0</v>
      </c>
      <c r="P20" s="10">
        <f>IF(真實IC!P20&gt;真實IC!P$25,1,0)</f>
        <v>0</v>
      </c>
      <c r="Q20" s="10">
        <f>IF(真實IC!Q20&gt;真實IC!Q$25,1,0)</f>
        <v>0</v>
      </c>
      <c r="R20" s="10">
        <f>IF(真實IC!R20&gt;真實IC!R$25,1,0)</f>
        <v>0</v>
      </c>
      <c r="S20" s="10">
        <f>IF(真實IC!S20&gt;真實IC!S$25,1,0)</f>
        <v>1</v>
      </c>
      <c r="T20" s="10">
        <f>IF(真實IC!T20&gt;真實IC!T$25,1,0)</f>
        <v>1</v>
      </c>
      <c r="U20" s="10">
        <f>IF(真實IC!U20&gt;真實IC!U$25,1,0)</f>
        <v>1</v>
      </c>
      <c r="V20" s="10">
        <f>IF(真實IC!V20&gt;真實IC!V$25,1,0)</f>
        <v>1</v>
      </c>
      <c r="W20" s="10">
        <f>IF(真實IC!W20&gt;真實IC!W$25,1,0)</f>
        <v>1</v>
      </c>
      <c r="X20" s="10">
        <f>IF(真實IC!X20&gt;真實IC!X$25,1,0)</f>
        <v>1</v>
      </c>
      <c r="Y20" s="10">
        <f>IF(真實IC!Y20&gt;真實IC!Y$25,1,0)</f>
        <v>1</v>
      </c>
      <c r="Z20" s="10">
        <f>IF(真實IC!Z20&gt;真實IC!Z$25,1,0)</f>
        <v>1</v>
      </c>
      <c r="AA20" s="10">
        <f>IF(真實IC!AA20&gt;真實IC!AA$25,1,0)</f>
        <v>1</v>
      </c>
      <c r="AB20" s="10">
        <f>IF(真實IC!AB20&gt;真實IC!AB$25,1,0)</f>
        <v>1</v>
      </c>
      <c r="AC20" s="10">
        <f>IF(真實IC!AC20&gt;真實IC!AC$25,1,0)</f>
        <v>0</v>
      </c>
      <c r="AD20" s="10">
        <f>IF(真實IC!AD20&gt;真實IC!AD$25,1,0)</f>
        <v>0</v>
      </c>
      <c r="AE20" s="10">
        <f>IF(真實IC!AE20&gt;真實IC!AE$25,1,0)</f>
        <v>0</v>
      </c>
      <c r="AF20" s="10">
        <f>IF(真實IC!AF20&gt;真實IC!AF$25,1,0)</f>
        <v>1</v>
      </c>
      <c r="AG20" s="10">
        <f>IF(真實IC!AG20&gt;真實IC!AG$25,1,0)</f>
        <v>1</v>
      </c>
      <c r="AH20" s="10">
        <f>IF(真實IC!AH20&gt;真實IC!AH$25,1,0)</f>
        <v>0</v>
      </c>
      <c r="AI20" s="10">
        <f>IF(真實IC!AI20&gt;真實IC!AI$25,1,0)</f>
        <v>1</v>
      </c>
      <c r="AJ20" s="10">
        <f>IF(真實IC!AJ20&gt;真實IC!AJ$25,1,0)</f>
        <v>1</v>
      </c>
      <c r="AK20" s="10">
        <f>IF(真實IC!AK20&gt;真實IC!AK$25,1,0)</f>
        <v>1</v>
      </c>
      <c r="AL20" s="10">
        <f>IF(真實IC!AL20&gt;真實IC!AL$25,1,0)</f>
        <v>1</v>
      </c>
      <c r="AM20" s="10">
        <f>IF(真實IC!AM20&gt;真實IC!AM$25,1,0)</f>
        <v>0</v>
      </c>
      <c r="AN20" s="10">
        <f>IF(真實IC!AN20&gt;真實IC!AN$25,1,0)</f>
        <v>1</v>
      </c>
      <c r="AO20" s="10">
        <f>IF(真實IC!AO20&gt;真實IC!AO$25,1,0)</f>
        <v>1</v>
      </c>
      <c r="AP20" s="10">
        <f>IF(真實IC!AP20&gt;真實IC!AP$25,1,0)</f>
        <v>0</v>
      </c>
      <c r="AQ20" s="10">
        <f>IF(真實IC!AQ20&gt;真實IC!AQ$25,1,0)</f>
        <v>0</v>
      </c>
      <c r="AR20" s="10">
        <f>IF(真實IC!AR20&gt;真實IC!AR$25,1,0)</f>
        <v>1</v>
      </c>
      <c r="AS20" s="10">
        <f>IF(真實IC!AS20&gt;真實IC!AS$25,1,0)</f>
        <v>0</v>
      </c>
      <c r="AT20" s="10">
        <f>IF(真實IC!AT20&gt;真實IC!AT$25,1,0)</f>
        <v>1</v>
      </c>
      <c r="AU20" s="10">
        <f>IF(真實IC!AU20&gt;真實IC!AU$25,1,0)</f>
        <v>1</v>
      </c>
      <c r="AV20" s="10">
        <f>IF(真實IC!AV20&gt;真實IC!AV$25,1,0)</f>
        <v>1</v>
      </c>
      <c r="AW20" s="10">
        <f>IF(真實IC!AW20&gt;真實IC!AW$25,1,0)</f>
        <v>1</v>
      </c>
      <c r="AX20" s="10">
        <f>IF(真實IC!AX20&gt;真實IC!AX$25,1,0)</f>
        <v>1</v>
      </c>
      <c r="AY20" s="10">
        <f>IF(真實IC!AY20&gt;真實IC!AY$25,1,0)</f>
        <v>0</v>
      </c>
      <c r="AZ20" s="10">
        <f>IF(真實IC!AZ20&gt;真實IC!AZ$25,1,0)</f>
        <v>1</v>
      </c>
      <c r="BA20" s="10">
        <f>IF(真實IC!BA20&gt;真實IC!BA$25,1,0)</f>
        <v>1</v>
      </c>
      <c r="BB20" s="10">
        <f>IF(真實IC!BB20&gt;真實IC!BB$25,1,0)</f>
        <v>1</v>
      </c>
      <c r="BC20" s="10">
        <f>IF(真實IC!BC20&gt;真實IC!BC$25,1,0)</f>
        <v>0</v>
      </c>
      <c r="BD20" s="10">
        <f>IF(真實IC!BD20&gt;真實IC!BD$25,1,0)</f>
        <v>1</v>
      </c>
      <c r="BE20" s="10">
        <f>IF(真實IC!BE20&gt;真實IC!BE$25,1,0)</f>
        <v>1</v>
      </c>
      <c r="BF20" s="10">
        <f>IF(真實IC!BF20&gt;真實IC!BF$25,1,0)</f>
        <v>1</v>
      </c>
      <c r="BG20" s="10">
        <f>IF(真實IC!BG20&gt;真實IC!BG$25,1,0)</f>
        <v>1</v>
      </c>
      <c r="BH20" s="10">
        <f>IF(真實IC!BH20&gt;真實IC!BH$25,1,0)</f>
        <v>1</v>
      </c>
      <c r="BI20" s="10">
        <f>IF(真實IC!BI20&gt;真實IC!BI$25,1,0)</f>
        <v>1</v>
      </c>
      <c r="BJ20" s="10">
        <f>IF(真實IC!BJ20&gt;真實IC!BJ$25,1,0)</f>
        <v>1</v>
      </c>
      <c r="BK20" s="10">
        <f>IF(真實IC!BK20&gt;真實IC!BK$25,1,0)</f>
        <v>0</v>
      </c>
      <c r="BL20" s="10">
        <f>IF(真實IC!BL20&gt;真實IC!BL$25,1,0)</f>
        <v>1</v>
      </c>
      <c r="BM20" s="10">
        <f>IF(真實IC!BM20&gt;真實IC!BM$25,1,0)</f>
        <v>0</v>
      </c>
      <c r="BN20" s="10">
        <f>IF(真實IC!BN20&gt;真實IC!BN$25,1,0)</f>
        <v>0</v>
      </c>
      <c r="BO20" s="10">
        <f>IF(真實IC!BO20&gt;真實IC!BO$25,1,0)</f>
        <v>1</v>
      </c>
      <c r="BP20" s="10">
        <f>IF(真實IC!BP20&gt;真實IC!BP$25,1,0)</f>
        <v>0</v>
      </c>
      <c r="BQ20" s="10">
        <f>IF(真實IC!BQ20&gt;真實IC!BQ$25,1,0)</f>
        <v>1</v>
      </c>
      <c r="BR20" s="10">
        <f>IF(真實IC!BR20&gt;真實IC!BR$25,1,0)</f>
        <v>1</v>
      </c>
      <c r="BS20" s="10">
        <f>IF(真實IC!BS20&gt;真實IC!BS$25,1,0)</f>
        <v>1</v>
      </c>
      <c r="BT20" s="10">
        <f>IF(真實IC!BT20&gt;真實IC!BT$25,1,0)</f>
        <v>1</v>
      </c>
      <c r="BU20" s="10">
        <f>IF(真實IC!BU20&gt;真實IC!BU$25,1,0)</f>
        <v>1</v>
      </c>
      <c r="BV20" s="10">
        <f>IF(真實IC!BV20&gt;真實IC!BV$25,1,0)</f>
        <v>1</v>
      </c>
      <c r="BW20" s="10">
        <f>IF(真實IC!BW20&gt;真實IC!BW$25,1,0)</f>
        <v>1</v>
      </c>
      <c r="BX20" s="10">
        <f>IF(真實IC!BX20&gt;真實IC!BX$25,1,0)</f>
        <v>1</v>
      </c>
      <c r="BY20" s="10">
        <f>IF(真實IC!BY20&gt;真實IC!BY$25,1,0)</f>
        <v>1</v>
      </c>
      <c r="BZ20" s="10">
        <f>IF(真實IC!BZ20&gt;真實IC!BZ$25,1,0)</f>
        <v>1</v>
      </c>
      <c r="CA20" s="10">
        <f>IF(真實IC!CA20&gt;真實IC!CA$25,1,0)</f>
        <v>0</v>
      </c>
      <c r="CB20" s="10">
        <f>IF(真實IC!CB20&gt;真實IC!CB$25,1,0)</f>
        <v>0</v>
      </c>
      <c r="CC20" s="10">
        <f>IF(真實IC!CC20&gt;真實IC!CC$25,1,0)</f>
        <v>0</v>
      </c>
      <c r="CD20" s="10">
        <f>IF(真實IC!CD20&gt;真實IC!CD$25,1,0)</f>
        <v>1</v>
      </c>
      <c r="CE20" s="10">
        <f>IF(真實IC!CE20&gt;真實IC!CE$25,1,0)</f>
        <v>1</v>
      </c>
      <c r="CF20" s="10">
        <f>IF(真實IC!CF20&gt;真實IC!CF$25,1,0)</f>
        <v>0</v>
      </c>
      <c r="CG20" s="10">
        <f>IF(真實IC!CG20&gt;真實IC!CG$25,1,0)</f>
        <v>1</v>
      </c>
      <c r="CH20" s="10">
        <f>IF(真實IC!CH20&gt;真實IC!CH$25,1,0)</f>
        <v>1</v>
      </c>
      <c r="CI20" s="10">
        <f>IF(真實IC!CI20&gt;真實IC!CI$25,1,0)</f>
        <v>1</v>
      </c>
      <c r="CJ20" s="10">
        <f>IF(真實IC!CJ20&gt;真實IC!CJ$25,1,0)</f>
        <v>0</v>
      </c>
      <c r="CK20" s="10">
        <f>IF(真實IC!CK20&gt;真實IC!CK$25,1,0)</f>
        <v>1</v>
      </c>
      <c r="CL20" s="10">
        <f>IF(真實IC!CL20&gt;真實IC!CL$25,1,0)</f>
        <v>1</v>
      </c>
      <c r="CM20" s="10">
        <f>IF(真實IC!CM20&gt;真實IC!CM$25,1,0)</f>
        <v>1</v>
      </c>
      <c r="CN20" s="10">
        <f>IF(真實IC!CN20&gt;真實IC!CN$25,1,0)</f>
        <v>1</v>
      </c>
      <c r="CO20" s="10">
        <f>IF(真實IC!CO20&gt;真實IC!CO$25,1,0)</f>
        <v>1</v>
      </c>
      <c r="CP20" s="10">
        <f>IF(真實IC!CP20&gt;真實IC!CP$25,1,0)</f>
        <v>1</v>
      </c>
      <c r="CQ20" s="10">
        <f>IF(真實IC!CQ20&gt;真實IC!CQ$25,1,0)</f>
        <v>1</v>
      </c>
      <c r="CR20" s="10">
        <f>IF(真實IC!CR20&gt;真實IC!CR$25,1,0)</f>
        <v>1</v>
      </c>
      <c r="CS20" s="10">
        <f>IF(真實IC!CS20&gt;真實IC!CS$25,1,0)</f>
        <v>1</v>
      </c>
      <c r="CT20" s="10">
        <f>IF(真實IC!CT20&gt;真實IC!CT$25,1,0)</f>
        <v>0</v>
      </c>
      <c r="CU20" s="10">
        <f>IF(真實IC!CU20&gt;真實IC!CU$25,1,0)</f>
        <v>1</v>
      </c>
      <c r="CV20" s="10">
        <f>IF(真實IC!CV20&gt;真實IC!CV$25,1,0)</f>
        <v>1</v>
      </c>
      <c r="CW20" s="10">
        <f>IF(真實IC!CW20&gt;真實IC!CW$25,1,0)</f>
        <v>1</v>
      </c>
      <c r="CX20" s="10">
        <f>IF(真實IC!CX20&gt;真實IC!CX$25,1,0)</f>
        <v>1</v>
      </c>
      <c r="CY20" s="10">
        <f>IF(真實IC!CY20&gt;真實IC!CY$25,1,0)</f>
        <v>1</v>
      </c>
      <c r="CZ20" s="10">
        <f>IF(真實IC!CZ20&gt;真實IC!CZ$25,1,0)</f>
        <v>1</v>
      </c>
      <c r="DA20" s="10">
        <f>IF(真實IC!DA20&gt;真實IC!DA$25,1,0)</f>
        <v>1</v>
      </c>
      <c r="DB20" s="10">
        <f>IF(真實IC!DB20&gt;真實IC!DB$25,1,0)</f>
        <v>1</v>
      </c>
      <c r="DC20" s="10">
        <f>IF(真實IC!DC20&gt;真實IC!DC$25,1,0)</f>
        <v>1</v>
      </c>
      <c r="DD20" s="10">
        <f>IF(真實IC!DD20&gt;真實IC!DD$25,1,0)</f>
        <v>1</v>
      </c>
      <c r="DE20" s="10">
        <f>IF(真實IC!DE20&gt;真實IC!DE$25,1,0)</f>
        <v>0</v>
      </c>
      <c r="DF20" s="10">
        <f>IF(真實IC!DF20&gt;真實IC!DF$25,1,0)</f>
        <v>1</v>
      </c>
      <c r="DG20" s="10">
        <f>IF(真實IC!DG20&gt;真實IC!DG$25,1,0)</f>
        <v>1</v>
      </c>
      <c r="DH20" s="10">
        <f>IF(真實IC!DH20&gt;真實IC!DH$25,1,0)</f>
        <v>1</v>
      </c>
      <c r="DI20" s="10">
        <f>IF(真實IC!DI20&gt;真實IC!DI$25,1,0)</f>
        <v>0</v>
      </c>
      <c r="DJ20" s="10">
        <f>IF(真實IC!DJ20&gt;真實IC!DJ$25,1,0)</f>
        <v>1</v>
      </c>
      <c r="DK20" s="10">
        <f>IF(真實IC!DK20&gt;真實IC!DK$25,1,0)</f>
        <v>0</v>
      </c>
      <c r="DL20" s="10">
        <f>IF(真實IC!DL20&gt;真實IC!DL$25,1,0)</f>
        <v>1</v>
      </c>
      <c r="DM20" s="10">
        <f>IF(真實IC!DM20&gt;真實IC!DM$25,1,0)</f>
        <v>1</v>
      </c>
      <c r="DN20" s="10">
        <f>IF(真實IC!DN20&gt;真實IC!DN$25,1,0)</f>
        <v>1</v>
      </c>
      <c r="DO20" s="10">
        <f>IF(真實IC!DO20&gt;真實IC!DO$25,1,0)</f>
        <v>1</v>
      </c>
      <c r="DP20" s="10">
        <f>IF(真實IC!DP20&gt;真實IC!DP$25,1,0)</f>
        <v>1</v>
      </c>
      <c r="DQ20" s="10">
        <f>IF(真實IC!DQ20&gt;真實IC!DQ$25,1,0)</f>
        <v>1</v>
      </c>
      <c r="DR20" s="10">
        <f>IF(真實IC!DR20&gt;真實IC!DR$25,1,0)</f>
        <v>1</v>
      </c>
      <c r="DS20" s="10">
        <f>IF(真實IC!DS20&gt;真實IC!DS$25,1,0)</f>
        <v>0</v>
      </c>
      <c r="DT20" s="10">
        <f>IF(真實IC!DT20&gt;真實IC!DT$25,1,0)</f>
        <v>0</v>
      </c>
      <c r="DU20" s="10">
        <f>IF(真實IC!DU20&gt;真實IC!DU$25,1,0)</f>
        <v>1</v>
      </c>
      <c r="DV20" s="10">
        <f>IF(真實IC!DV20&gt;真實IC!DV$25,1,0)</f>
        <v>1</v>
      </c>
      <c r="DW20" s="10">
        <f>IF(真實IC!DW20&gt;真實IC!DW$25,1,0)</f>
        <v>0</v>
      </c>
      <c r="DX20" s="10">
        <f>IF(真實IC!DX20&gt;真實IC!DX$25,1,0)</f>
        <v>1</v>
      </c>
      <c r="DY20" s="10">
        <f>IF(真實IC!DY20&gt;真實IC!DY$25,1,0)</f>
        <v>1</v>
      </c>
      <c r="DZ20" s="10">
        <f>IF(真實IC!DZ20&gt;真實IC!DZ$25,1,0)</f>
        <v>0</v>
      </c>
      <c r="EA20" s="10">
        <f>IF(真實IC!EA20&gt;真實IC!EA$25,1,0)</f>
        <v>1</v>
      </c>
      <c r="EB20" s="10">
        <f>IF(真實IC!EB20&gt;真實IC!EB$25,1,0)</f>
        <v>1</v>
      </c>
      <c r="EC20" s="10">
        <f>IF(真實IC!EC20&gt;真實IC!EC$25,1,0)</f>
        <v>1</v>
      </c>
      <c r="ED20" s="10">
        <f>IF(真實IC!ED20&gt;真實IC!ED$25,1,0)</f>
        <v>1</v>
      </c>
      <c r="EE20" s="10">
        <f>IF(真實IC!EE20&gt;真實IC!EE$25,1,0)</f>
        <v>1</v>
      </c>
      <c r="EF20" s="10">
        <f>IF(真實IC!EF20&gt;真實IC!EF$25,1,0)</f>
        <v>1</v>
      </c>
      <c r="EG20" s="10">
        <f>IF(真實IC!EG20&gt;真實IC!EG$25,1,0)</f>
        <v>1</v>
      </c>
      <c r="EH20" s="10">
        <f>IF(真實IC!EH20&gt;真實IC!EH$25,1,0)</f>
        <v>1</v>
      </c>
      <c r="EI20" s="10">
        <f>IF(真實IC!EI20&gt;真實IC!EI$25,1,0)</f>
        <v>0</v>
      </c>
      <c r="EJ20" s="10">
        <f>IF(真實IC!EJ20&gt;真實IC!EJ$25,1,0)</f>
        <v>1</v>
      </c>
      <c r="EK20" s="10">
        <f>IF(真實IC!EK20&gt;真實IC!EK$25,1,0)</f>
        <v>1</v>
      </c>
      <c r="EL20" s="10">
        <f>IF(真實IC!EL20&gt;真實IC!EL$25,1,0)</f>
        <v>1</v>
      </c>
      <c r="EM20" s="6">
        <f t="shared" si="11"/>
        <v>105</v>
      </c>
      <c r="EN20" s="13">
        <f t="shared" si="12"/>
        <v>0.75</v>
      </c>
    </row>
    <row r="21" spans="1:144" x14ac:dyDescent="0.3">
      <c r="A21" s="11">
        <v>256</v>
      </c>
      <c r="B21" s="11">
        <f t="shared" si="10"/>
        <v>4</v>
      </c>
      <c r="C21" s="10">
        <f>IF(真實IC!C21&gt;真實IC!C$25,1,0)</f>
        <v>1</v>
      </c>
      <c r="D21" s="10">
        <f>IF(真實IC!D21&gt;真實IC!D$25,1,0)</f>
        <v>1</v>
      </c>
      <c r="E21" s="10">
        <f>IF(真實IC!E21&gt;真實IC!E$25,1,0)</f>
        <v>1</v>
      </c>
      <c r="F21" s="10">
        <f>IF(真實IC!F21&gt;真實IC!F$25,1,0)</f>
        <v>0</v>
      </c>
      <c r="G21" s="10">
        <f>IF(真實IC!G21&gt;真實IC!G$25,1,0)</f>
        <v>1</v>
      </c>
      <c r="H21" s="10">
        <f>IF(真實IC!H21&gt;真實IC!H$25,1,0)</f>
        <v>0</v>
      </c>
      <c r="I21" s="10">
        <f>IF(真實IC!I21&gt;真實IC!I$25,1,0)</f>
        <v>0</v>
      </c>
      <c r="J21" s="10">
        <f>IF(真實IC!J21&gt;真實IC!J$25,1,0)</f>
        <v>1</v>
      </c>
      <c r="K21" s="10">
        <f>IF(真實IC!K21&gt;真實IC!K$25,1,0)</f>
        <v>1</v>
      </c>
      <c r="L21" s="10">
        <f>IF(真實IC!L21&gt;真實IC!L$25,1,0)</f>
        <v>0</v>
      </c>
      <c r="M21" s="10">
        <f>IF(真實IC!M21&gt;真實IC!M$25,1,0)</f>
        <v>0</v>
      </c>
      <c r="N21" s="10">
        <f>IF(真實IC!N21&gt;真實IC!N$25,1,0)</f>
        <v>1</v>
      </c>
      <c r="O21" s="10">
        <f>IF(真實IC!O21&gt;真實IC!O$25,1,0)</f>
        <v>1</v>
      </c>
      <c r="P21" s="10">
        <f>IF(真實IC!P21&gt;真實IC!P$25,1,0)</f>
        <v>0</v>
      </c>
      <c r="Q21" s="10">
        <f>IF(真實IC!Q21&gt;真實IC!Q$25,1,0)</f>
        <v>0</v>
      </c>
      <c r="R21" s="10">
        <f>IF(真實IC!R21&gt;真實IC!R$25,1,0)</f>
        <v>0</v>
      </c>
      <c r="S21" s="10">
        <f>IF(真實IC!S21&gt;真實IC!S$25,1,0)</f>
        <v>1</v>
      </c>
      <c r="T21" s="10">
        <f>IF(真實IC!T21&gt;真實IC!T$25,1,0)</f>
        <v>0</v>
      </c>
      <c r="U21" s="10">
        <f>IF(真實IC!U21&gt;真實IC!U$25,1,0)</f>
        <v>1</v>
      </c>
      <c r="V21" s="10">
        <f>IF(真實IC!V21&gt;真實IC!V$25,1,0)</f>
        <v>1</v>
      </c>
      <c r="W21" s="10">
        <f>IF(真實IC!W21&gt;真實IC!W$25,1,0)</f>
        <v>1</v>
      </c>
      <c r="X21" s="10">
        <f>IF(真實IC!X21&gt;真實IC!X$25,1,0)</f>
        <v>1</v>
      </c>
      <c r="Y21" s="10">
        <f>IF(真實IC!Y21&gt;真實IC!Y$25,1,0)</f>
        <v>1</v>
      </c>
      <c r="Z21" s="10">
        <f>IF(真實IC!Z21&gt;真實IC!Z$25,1,0)</f>
        <v>1</v>
      </c>
      <c r="AA21" s="10">
        <f>IF(真實IC!AA21&gt;真實IC!AA$25,1,0)</f>
        <v>1</v>
      </c>
      <c r="AB21" s="10">
        <f>IF(真實IC!AB21&gt;真實IC!AB$25,1,0)</f>
        <v>1</v>
      </c>
      <c r="AC21" s="10">
        <f>IF(真實IC!AC21&gt;真實IC!AC$25,1,0)</f>
        <v>1</v>
      </c>
      <c r="AD21" s="10">
        <f>IF(真實IC!AD21&gt;真實IC!AD$25,1,0)</f>
        <v>1</v>
      </c>
      <c r="AE21" s="10">
        <f>IF(真實IC!AE21&gt;真實IC!AE$25,1,0)</f>
        <v>0</v>
      </c>
      <c r="AF21" s="10">
        <f>IF(真實IC!AF21&gt;真實IC!AF$25,1,0)</f>
        <v>1</v>
      </c>
      <c r="AG21" s="10">
        <f>IF(真實IC!AG21&gt;真實IC!AG$25,1,0)</f>
        <v>0</v>
      </c>
      <c r="AH21" s="10">
        <f>IF(真實IC!AH21&gt;真實IC!AH$25,1,0)</f>
        <v>0</v>
      </c>
      <c r="AI21" s="10">
        <f>IF(真實IC!AI21&gt;真實IC!AI$25,1,0)</f>
        <v>1</v>
      </c>
      <c r="AJ21" s="10">
        <f>IF(真實IC!AJ21&gt;真實IC!AJ$25,1,0)</f>
        <v>1</v>
      </c>
      <c r="AK21" s="10">
        <f>IF(真實IC!AK21&gt;真實IC!AK$25,1,0)</f>
        <v>1</v>
      </c>
      <c r="AL21" s="10">
        <f>IF(真實IC!AL21&gt;真實IC!AL$25,1,0)</f>
        <v>1</v>
      </c>
      <c r="AM21" s="10">
        <f>IF(真實IC!AM21&gt;真實IC!AM$25,1,0)</f>
        <v>0</v>
      </c>
      <c r="AN21" s="10">
        <f>IF(真實IC!AN21&gt;真實IC!AN$25,1,0)</f>
        <v>1</v>
      </c>
      <c r="AO21" s="10">
        <f>IF(真實IC!AO21&gt;真實IC!AO$25,1,0)</f>
        <v>1</v>
      </c>
      <c r="AP21" s="10">
        <f>IF(真實IC!AP21&gt;真實IC!AP$25,1,0)</f>
        <v>0</v>
      </c>
      <c r="AQ21" s="10">
        <f>IF(真實IC!AQ21&gt;真實IC!AQ$25,1,0)</f>
        <v>0</v>
      </c>
      <c r="AR21" s="10">
        <f>IF(真實IC!AR21&gt;真實IC!AR$25,1,0)</f>
        <v>1</v>
      </c>
      <c r="AS21" s="10">
        <f>IF(真實IC!AS21&gt;真實IC!AS$25,1,0)</f>
        <v>0</v>
      </c>
      <c r="AT21" s="10">
        <f>IF(真實IC!AT21&gt;真實IC!AT$25,1,0)</f>
        <v>1</v>
      </c>
      <c r="AU21" s="10">
        <f>IF(真實IC!AU21&gt;真實IC!AU$25,1,0)</f>
        <v>1</v>
      </c>
      <c r="AV21" s="10">
        <f>IF(真實IC!AV21&gt;真實IC!AV$25,1,0)</f>
        <v>1</v>
      </c>
      <c r="AW21" s="10">
        <f>IF(真實IC!AW21&gt;真實IC!AW$25,1,0)</f>
        <v>1</v>
      </c>
      <c r="AX21" s="10">
        <f>IF(真實IC!AX21&gt;真實IC!AX$25,1,0)</f>
        <v>1</v>
      </c>
      <c r="AY21" s="10">
        <f>IF(真實IC!AY21&gt;真實IC!AY$25,1,0)</f>
        <v>0</v>
      </c>
      <c r="AZ21" s="10">
        <f>IF(真實IC!AZ21&gt;真實IC!AZ$25,1,0)</f>
        <v>1</v>
      </c>
      <c r="BA21" s="10">
        <f>IF(真實IC!BA21&gt;真實IC!BA$25,1,0)</f>
        <v>1</v>
      </c>
      <c r="BB21" s="10">
        <f>IF(真實IC!BB21&gt;真實IC!BB$25,1,0)</f>
        <v>1</v>
      </c>
      <c r="BC21" s="10">
        <f>IF(真實IC!BC21&gt;真實IC!BC$25,1,0)</f>
        <v>0</v>
      </c>
      <c r="BD21" s="10">
        <f>IF(真實IC!BD21&gt;真實IC!BD$25,1,0)</f>
        <v>1</v>
      </c>
      <c r="BE21" s="10">
        <f>IF(真實IC!BE21&gt;真實IC!BE$25,1,0)</f>
        <v>1</v>
      </c>
      <c r="BF21" s="10">
        <f>IF(真實IC!BF21&gt;真實IC!BF$25,1,0)</f>
        <v>1</v>
      </c>
      <c r="BG21" s="10">
        <f>IF(真實IC!BG21&gt;真實IC!BG$25,1,0)</f>
        <v>1</v>
      </c>
      <c r="BH21" s="10">
        <f>IF(真實IC!BH21&gt;真實IC!BH$25,1,0)</f>
        <v>1</v>
      </c>
      <c r="BI21" s="10">
        <f>IF(真實IC!BI21&gt;真實IC!BI$25,1,0)</f>
        <v>1</v>
      </c>
      <c r="BJ21" s="10">
        <f>IF(真實IC!BJ21&gt;真實IC!BJ$25,1,0)</f>
        <v>0</v>
      </c>
      <c r="BK21" s="10">
        <f>IF(真實IC!BK21&gt;真實IC!BK$25,1,0)</f>
        <v>0</v>
      </c>
      <c r="BL21" s="10">
        <f>IF(真實IC!BL21&gt;真實IC!BL$25,1,0)</f>
        <v>1</v>
      </c>
      <c r="BM21" s="10">
        <f>IF(真實IC!BM21&gt;真實IC!BM$25,1,0)</f>
        <v>0</v>
      </c>
      <c r="BN21" s="10">
        <f>IF(真實IC!BN21&gt;真實IC!BN$25,1,0)</f>
        <v>0</v>
      </c>
      <c r="BO21" s="10">
        <f>IF(真實IC!BO21&gt;真實IC!BO$25,1,0)</f>
        <v>1</v>
      </c>
      <c r="BP21" s="10">
        <f>IF(真實IC!BP21&gt;真實IC!BP$25,1,0)</f>
        <v>0</v>
      </c>
      <c r="BQ21" s="10">
        <f>IF(真實IC!BQ21&gt;真實IC!BQ$25,1,0)</f>
        <v>1</v>
      </c>
      <c r="BR21" s="10">
        <f>IF(真實IC!BR21&gt;真實IC!BR$25,1,0)</f>
        <v>1</v>
      </c>
      <c r="BS21" s="10">
        <f>IF(真實IC!BS21&gt;真實IC!BS$25,1,0)</f>
        <v>1</v>
      </c>
      <c r="BT21" s="10">
        <f>IF(真實IC!BT21&gt;真實IC!BT$25,1,0)</f>
        <v>1</v>
      </c>
      <c r="BU21" s="10">
        <f>IF(真實IC!BU21&gt;真實IC!BU$25,1,0)</f>
        <v>1</v>
      </c>
      <c r="BV21" s="10">
        <f>IF(真實IC!BV21&gt;真實IC!BV$25,1,0)</f>
        <v>1</v>
      </c>
      <c r="BW21" s="10">
        <f>IF(真實IC!BW21&gt;真實IC!BW$25,1,0)</f>
        <v>1</v>
      </c>
      <c r="BX21" s="10">
        <f>IF(真實IC!BX21&gt;真實IC!BX$25,1,0)</f>
        <v>1</v>
      </c>
      <c r="BY21" s="10">
        <f>IF(真實IC!BY21&gt;真實IC!BY$25,1,0)</f>
        <v>1</v>
      </c>
      <c r="BZ21" s="10">
        <f>IF(真實IC!BZ21&gt;真實IC!BZ$25,1,0)</f>
        <v>1</v>
      </c>
      <c r="CA21" s="10">
        <f>IF(真實IC!CA21&gt;真實IC!CA$25,1,0)</f>
        <v>0</v>
      </c>
      <c r="CB21" s="10">
        <f>IF(真實IC!CB21&gt;真實IC!CB$25,1,0)</f>
        <v>0</v>
      </c>
      <c r="CC21" s="10">
        <f>IF(真實IC!CC21&gt;真實IC!CC$25,1,0)</f>
        <v>0</v>
      </c>
      <c r="CD21" s="10">
        <f>IF(真實IC!CD21&gt;真實IC!CD$25,1,0)</f>
        <v>1</v>
      </c>
      <c r="CE21" s="10">
        <f>IF(真實IC!CE21&gt;真實IC!CE$25,1,0)</f>
        <v>1</v>
      </c>
      <c r="CF21" s="10">
        <f>IF(真實IC!CF21&gt;真實IC!CF$25,1,0)</f>
        <v>0</v>
      </c>
      <c r="CG21" s="10">
        <f>IF(真實IC!CG21&gt;真實IC!CG$25,1,0)</f>
        <v>1</v>
      </c>
      <c r="CH21" s="10">
        <f>IF(真實IC!CH21&gt;真實IC!CH$25,1,0)</f>
        <v>1</v>
      </c>
      <c r="CI21" s="10">
        <f>IF(真實IC!CI21&gt;真實IC!CI$25,1,0)</f>
        <v>1</v>
      </c>
      <c r="CJ21" s="10">
        <f>IF(真實IC!CJ21&gt;真實IC!CJ$25,1,0)</f>
        <v>0</v>
      </c>
      <c r="CK21" s="10">
        <f>IF(真實IC!CK21&gt;真實IC!CK$25,1,0)</f>
        <v>1</v>
      </c>
      <c r="CL21" s="10">
        <f>IF(真實IC!CL21&gt;真實IC!CL$25,1,0)</f>
        <v>1</v>
      </c>
      <c r="CM21" s="10">
        <f>IF(真實IC!CM21&gt;真實IC!CM$25,1,0)</f>
        <v>1</v>
      </c>
      <c r="CN21" s="10">
        <f>IF(真實IC!CN21&gt;真實IC!CN$25,1,0)</f>
        <v>1</v>
      </c>
      <c r="CO21" s="10">
        <f>IF(真實IC!CO21&gt;真實IC!CO$25,1,0)</f>
        <v>1</v>
      </c>
      <c r="CP21" s="10">
        <f>IF(真實IC!CP21&gt;真實IC!CP$25,1,0)</f>
        <v>1</v>
      </c>
      <c r="CQ21" s="10">
        <f>IF(真實IC!CQ21&gt;真實IC!CQ$25,1,0)</f>
        <v>1</v>
      </c>
      <c r="CR21" s="10">
        <f>IF(真實IC!CR21&gt;真實IC!CR$25,1,0)</f>
        <v>1</v>
      </c>
      <c r="CS21" s="10">
        <f>IF(真實IC!CS21&gt;真實IC!CS$25,1,0)</f>
        <v>1</v>
      </c>
      <c r="CT21" s="10">
        <f>IF(真實IC!CT21&gt;真實IC!CT$25,1,0)</f>
        <v>0</v>
      </c>
      <c r="CU21" s="10">
        <f>IF(真實IC!CU21&gt;真實IC!CU$25,1,0)</f>
        <v>1</v>
      </c>
      <c r="CV21" s="10">
        <f>IF(真實IC!CV21&gt;真實IC!CV$25,1,0)</f>
        <v>1</v>
      </c>
      <c r="CW21" s="10">
        <f>IF(真實IC!CW21&gt;真實IC!CW$25,1,0)</f>
        <v>1</v>
      </c>
      <c r="CX21" s="10">
        <f>IF(真實IC!CX21&gt;真實IC!CX$25,1,0)</f>
        <v>1</v>
      </c>
      <c r="CY21" s="10">
        <f>IF(真實IC!CY21&gt;真實IC!CY$25,1,0)</f>
        <v>1</v>
      </c>
      <c r="CZ21" s="10">
        <f>IF(真實IC!CZ21&gt;真實IC!CZ$25,1,0)</f>
        <v>1</v>
      </c>
      <c r="DA21" s="10">
        <f>IF(真實IC!DA21&gt;真實IC!DA$25,1,0)</f>
        <v>1</v>
      </c>
      <c r="DB21" s="10">
        <f>IF(真實IC!DB21&gt;真實IC!DB$25,1,0)</f>
        <v>1</v>
      </c>
      <c r="DC21" s="10">
        <f>IF(真實IC!DC21&gt;真實IC!DC$25,1,0)</f>
        <v>1</v>
      </c>
      <c r="DD21" s="10">
        <f>IF(真實IC!DD21&gt;真實IC!DD$25,1,0)</f>
        <v>1</v>
      </c>
      <c r="DE21" s="10">
        <f>IF(真實IC!DE21&gt;真實IC!DE$25,1,0)</f>
        <v>0</v>
      </c>
      <c r="DF21" s="10">
        <f>IF(真實IC!DF21&gt;真實IC!DF$25,1,0)</f>
        <v>1</v>
      </c>
      <c r="DG21" s="10">
        <f>IF(真實IC!DG21&gt;真實IC!DG$25,1,0)</f>
        <v>1</v>
      </c>
      <c r="DH21" s="10">
        <f>IF(真實IC!DH21&gt;真實IC!DH$25,1,0)</f>
        <v>1</v>
      </c>
      <c r="DI21" s="10">
        <f>IF(真實IC!DI21&gt;真實IC!DI$25,1,0)</f>
        <v>0</v>
      </c>
      <c r="DJ21" s="10">
        <f>IF(真實IC!DJ21&gt;真實IC!DJ$25,1,0)</f>
        <v>1</v>
      </c>
      <c r="DK21" s="10">
        <f>IF(真實IC!DK21&gt;真實IC!DK$25,1,0)</f>
        <v>0</v>
      </c>
      <c r="DL21" s="10">
        <f>IF(真實IC!DL21&gt;真實IC!DL$25,1,0)</f>
        <v>0</v>
      </c>
      <c r="DM21" s="10">
        <f>IF(真實IC!DM21&gt;真實IC!DM$25,1,0)</f>
        <v>1</v>
      </c>
      <c r="DN21" s="10">
        <f>IF(真實IC!DN21&gt;真實IC!DN$25,1,0)</f>
        <v>1</v>
      </c>
      <c r="DO21" s="10">
        <f>IF(真實IC!DO21&gt;真實IC!DO$25,1,0)</f>
        <v>1</v>
      </c>
      <c r="DP21" s="10">
        <f>IF(真實IC!DP21&gt;真實IC!DP$25,1,0)</f>
        <v>1</v>
      </c>
      <c r="DQ21" s="10">
        <f>IF(真實IC!DQ21&gt;真實IC!DQ$25,1,0)</f>
        <v>1</v>
      </c>
      <c r="DR21" s="10">
        <f>IF(真實IC!DR21&gt;真實IC!DR$25,1,0)</f>
        <v>1</v>
      </c>
      <c r="DS21" s="10">
        <f>IF(真實IC!DS21&gt;真實IC!DS$25,1,0)</f>
        <v>0</v>
      </c>
      <c r="DT21" s="10">
        <f>IF(真實IC!DT21&gt;真實IC!DT$25,1,0)</f>
        <v>0</v>
      </c>
      <c r="DU21" s="10">
        <f>IF(真實IC!DU21&gt;真實IC!DU$25,1,0)</f>
        <v>1</v>
      </c>
      <c r="DV21" s="10">
        <f>IF(真實IC!DV21&gt;真實IC!DV$25,1,0)</f>
        <v>1</v>
      </c>
      <c r="DW21" s="10">
        <f>IF(真實IC!DW21&gt;真實IC!DW$25,1,0)</f>
        <v>0</v>
      </c>
      <c r="DX21" s="10">
        <f>IF(真實IC!DX21&gt;真實IC!DX$25,1,0)</f>
        <v>1</v>
      </c>
      <c r="DY21" s="10">
        <f>IF(真實IC!DY21&gt;真實IC!DY$25,1,0)</f>
        <v>1</v>
      </c>
      <c r="DZ21" s="10">
        <f>IF(真實IC!DZ21&gt;真實IC!DZ$25,1,0)</f>
        <v>0</v>
      </c>
      <c r="EA21" s="10">
        <f>IF(真實IC!EA21&gt;真實IC!EA$25,1,0)</f>
        <v>0</v>
      </c>
      <c r="EB21" s="10">
        <f>IF(真實IC!EB21&gt;真實IC!EB$25,1,0)</f>
        <v>1</v>
      </c>
      <c r="EC21" s="10">
        <f>IF(真實IC!EC21&gt;真實IC!EC$25,1,0)</f>
        <v>1</v>
      </c>
      <c r="ED21" s="10">
        <f>IF(真實IC!ED21&gt;真實IC!ED$25,1,0)</f>
        <v>1</v>
      </c>
      <c r="EE21" s="10">
        <f>IF(真實IC!EE21&gt;真實IC!EE$25,1,0)</f>
        <v>1</v>
      </c>
      <c r="EF21" s="10">
        <f>IF(真實IC!EF21&gt;真實IC!EF$25,1,0)</f>
        <v>1</v>
      </c>
      <c r="EG21" s="10">
        <f>IF(真實IC!EG21&gt;真實IC!EG$25,1,0)</f>
        <v>1</v>
      </c>
      <c r="EH21" s="10">
        <f>IF(真實IC!EH21&gt;真實IC!EH$25,1,0)</f>
        <v>1</v>
      </c>
      <c r="EI21" s="10">
        <f>IF(真實IC!EI21&gt;真實IC!EI$25,1,0)</f>
        <v>1</v>
      </c>
      <c r="EJ21" s="10">
        <f>IF(真實IC!EJ21&gt;真實IC!EJ$25,1,0)</f>
        <v>1</v>
      </c>
      <c r="EK21" s="10">
        <f>IF(真實IC!EK21&gt;真實IC!EK$25,1,0)</f>
        <v>1</v>
      </c>
      <c r="EL21" s="10">
        <f>IF(真實IC!EL21&gt;真實IC!EL$25,1,0)</f>
        <v>0</v>
      </c>
      <c r="EM21" s="6">
        <f t="shared" si="11"/>
        <v>101</v>
      </c>
      <c r="EN21" s="13">
        <f t="shared" si="12"/>
        <v>0.72142857142857142</v>
      </c>
    </row>
    <row r="22" spans="1:144" x14ac:dyDescent="0.3">
      <c r="A22" s="11">
        <v>400</v>
      </c>
      <c r="B22" s="11">
        <f t="shared" si="10"/>
        <v>3</v>
      </c>
      <c r="C22" s="10">
        <f>IF(真實IC!C22&gt;真實IC!C$25,1,0)</f>
        <v>1</v>
      </c>
      <c r="D22" s="10">
        <f>IF(真實IC!D22&gt;真實IC!D$25,1,0)</f>
        <v>1</v>
      </c>
      <c r="E22" s="10">
        <f>IF(真實IC!E22&gt;真實IC!E$25,1,0)</f>
        <v>1</v>
      </c>
      <c r="F22" s="10">
        <f>IF(真實IC!F22&gt;真實IC!F$25,1,0)</f>
        <v>0</v>
      </c>
      <c r="G22" s="10">
        <f>IF(真實IC!G22&gt;真實IC!G$25,1,0)</f>
        <v>1</v>
      </c>
      <c r="H22" s="10">
        <f>IF(真實IC!H22&gt;真實IC!H$25,1,0)</f>
        <v>0</v>
      </c>
      <c r="I22" s="10">
        <f>IF(真實IC!I22&gt;真實IC!I$25,1,0)</f>
        <v>0</v>
      </c>
      <c r="J22" s="10">
        <f>IF(真實IC!J22&gt;真實IC!J$25,1,0)</f>
        <v>1</v>
      </c>
      <c r="K22" s="10">
        <f>IF(真實IC!K22&gt;真實IC!K$25,1,0)</f>
        <v>1</v>
      </c>
      <c r="L22" s="10">
        <f>IF(真實IC!L22&gt;真實IC!L$25,1,0)</f>
        <v>0</v>
      </c>
      <c r="M22" s="10">
        <f>IF(真實IC!M22&gt;真實IC!M$25,1,0)</f>
        <v>1</v>
      </c>
      <c r="N22" s="10">
        <f>IF(真實IC!N22&gt;真實IC!N$25,1,0)</f>
        <v>1</v>
      </c>
      <c r="O22" s="10">
        <f>IF(真實IC!O22&gt;真實IC!O$25,1,0)</f>
        <v>1</v>
      </c>
      <c r="P22" s="10">
        <f>IF(真實IC!P22&gt;真實IC!P$25,1,0)</f>
        <v>0</v>
      </c>
      <c r="Q22" s="10">
        <f>IF(真實IC!Q22&gt;真實IC!Q$25,1,0)</f>
        <v>0</v>
      </c>
      <c r="R22" s="10">
        <f>IF(真實IC!R22&gt;真實IC!R$25,1,0)</f>
        <v>0</v>
      </c>
      <c r="S22" s="10">
        <f>IF(真實IC!S22&gt;真實IC!S$25,1,0)</f>
        <v>1</v>
      </c>
      <c r="T22" s="10">
        <f>IF(真實IC!T22&gt;真實IC!T$25,1,0)</f>
        <v>0</v>
      </c>
      <c r="U22" s="10">
        <f>IF(真實IC!U22&gt;真實IC!U$25,1,0)</f>
        <v>1</v>
      </c>
      <c r="V22" s="10">
        <f>IF(真實IC!V22&gt;真實IC!V$25,1,0)</f>
        <v>1</v>
      </c>
      <c r="W22" s="10">
        <f>IF(真實IC!W22&gt;真實IC!W$25,1,0)</f>
        <v>1</v>
      </c>
      <c r="X22" s="10">
        <f>IF(真實IC!X22&gt;真實IC!X$25,1,0)</f>
        <v>1</v>
      </c>
      <c r="Y22" s="10">
        <f>IF(真實IC!Y22&gt;真實IC!Y$25,1,0)</f>
        <v>1</v>
      </c>
      <c r="Z22" s="10">
        <f>IF(真實IC!Z22&gt;真實IC!Z$25,1,0)</f>
        <v>1</v>
      </c>
      <c r="AA22" s="10">
        <f>IF(真實IC!AA22&gt;真實IC!AA$25,1,0)</f>
        <v>1</v>
      </c>
      <c r="AB22" s="10">
        <f>IF(真實IC!AB22&gt;真實IC!AB$25,1,0)</f>
        <v>1</v>
      </c>
      <c r="AC22" s="10">
        <f>IF(真實IC!AC22&gt;真實IC!AC$25,1,0)</f>
        <v>1</v>
      </c>
      <c r="AD22" s="10">
        <f>IF(真實IC!AD22&gt;真實IC!AD$25,1,0)</f>
        <v>1</v>
      </c>
      <c r="AE22" s="10">
        <f>IF(真實IC!AE22&gt;真實IC!AE$25,1,0)</f>
        <v>1</v>
      </c>
      <c r="AF22" s="10">
        <f>IF(真實IC!AF22&gt;真實IC!AF$25,1,0)</f>
        <v>1</v>
      </c>
      <c r="AG22" s="10">
        <f>IF(真實IC!AG22&gt;真實IC!AG$25,1,0)</f>
        <v>0</v>
      </c>
      <c r="AH22" s="10">
        <f>IF(真實IC!AH22&gt;真實IC!AH$25,1,0)</f>
        <v>0</v>
      </c>
      <c r="AI22" s="10">
        <f>IF(真實IC!AI22&gt;真實IC!AI$25,1,0)</f>
        <v>1</v>
      </c>
      <c r="AJ22" s="10">
        <f>IF(真實IC!AJ22&gt;真實IC!AJ$25,1,0)</f>
        <v>1</v>
      </c>
      <c r="AK22" s="10">
        <f>IF(真實IC!AK22&gt;真實IC!AK$25,1,0)</f>
        <v>1</v>
      </c>
      <c r="AL22" s="10">
        <f>IF(真實IC!AL22&gt;真實IC!AL$25,1,0)</f>
        <v>1</v>
      </c>
      <c r="AM22" s="10">
        <f>IF(真實IC!AM22&gt;真實IC!AM$25,1,0)</f>
        <v>0</v>
      </c>
      <c r="AN22" s="10">
        <f>IF(真實IC!AN22&gt;真實IC!AN$25,1,0)</f>
        <v>1</v>
      </c>
      <c r="AO22" s="10">
        <f>IF(真實IC!AO22&gt;真實IC!AO$25,1,0)</f>
        <v>1</v>
      </c>
      <c r="AP22" s="10">
        <f>IF(真實IC!AP22&gt;真實IC!AP$25,1,0)</f>
        <v>0</v>
      </c>
      <c r="AQ22" s="10">
        <f>IF(真實IC!AQ22&gt;真實IC!AQ$25,1,0)</f>
        <v>0</v>
      </c>
      <c r="AR22" s="10">
        <f>IF(真實IC!AR22&gt;真實IC!AR$25,1,0)</f>
        <v>1</v>
      </c>
      <c r="AS22" s="10">
        <f>IF(真實IC!AS22&gt;真實IC!AS$25,1,0)</f>
        <v>0</v>
      </c>
      <c r="AT22" s="10">
        <f>IF(真實IC!AT22&gt;真實IC!AT$25,1,0)</f>
        <v>1</v>
      </c>
      <c r="AU22" s="10">
        <f>IF(真實IC!AU22&gt;真實IC!AU$25,1,0)</f>
        <v>1</v>
      </c>
      <c r="AV22" s="10">
        <f>IF(真實IC!AV22&gt;真實IC!AV$25,1,0)</f>
        <v>0</v>
      </c>
      <c r="AW22" s="10">
        <f>IF(真實IC!AW22&gt;真實IC!AW$25,1,0)</f>
        <v>1</v>
      </c>
      <c r="AX22" s="10">
        <f>IF(真實IC!AX22&gt;真實IC!AX$25,1,0)</f>
        <v>0</v>
      </c>
      <c r="AY22" s="10">
        <f>IF(真實IC!AY22&gt;真實IC!AY$25,1,0)</f>
        <v>0</v>
      </c>
      <c r="AZ22" s="10">
        <f>IF(真實IC!AZ22&gt;真實IC!AZ$25,1,0)</f>
        <v>1</v>
      </c>
      <c r="BA22" s="10">
        <f>IF(真實IC!BA22&gt;真實IC!BA$25,1,0)</f>
        <v>1</v>
      </c>
      <c r="BB22" s="10">
        <f>IF(真實IC!BB22&gt;真實IC!BB$25,1,0)</f>
        <v>1</v>
      </c>
      <c r="BC22" s="10">
        <f>IF(真實IC!BC22&gt;真實IC!BC$25,1,0)</f>
        <v>0</v>
      </c>
      <c r="BD22" s="10">
        <f>IF(真實IC!BD22&gt;真實IC!BD$25,1,0)</f>
        <v>1</v>
      </c>
      <c r="BE22" s="10">
        <f>IF(真實IC!BE22&gt;真實IC!BE$25,1,0)</f>
        <v>1</v>
      </c>
      <c r="BF22" s="10">
        <f>IF(真實IC!BF22&gt;真實IC!BF$25,1,0)</f>
        <v>1</v>
      </c>
      <c r="BG22" s="10">
        <f>IF(真實IC!BG22&gt;真實IC!BG$25,1,0)</f>
        <v>1</v>
      </c>
      <c r="BH22" s="10">
        <f>IF(真實IC!BH22&gt;真實IC!BH$25,1,0)</f>
        <v>1</v>
      </c>
      <c r="BI22" s="10">
        <f>IF(真實IC!BI22&gt;真實IC!BI$25,1,0)</f>
        <v>1</v>
      </c>
      <c r="BJ22" s="10">
        <f>IF(真實IC!BJ22&gt;真實IC!BJ$25,1,0)</f>
        <v>0</v>
      </c>
      <c r="BK22" s="10">
        <f>IF(真實IC!BK22&gt;真實IC!BK$25,1,0)</f>
        <v>0</v>
      </c>
      <c r="BL22" s="10">
        <f>IF(真實IC!BL22&gt;真實IC!BL$25,1,0)</f>
        <v>1</v>
      </c>
      <c r="BM22" s="10">
        <f>IF(真實IC!BM22&gt;真實IC!BM$25,1,0)</f>
        <v>0</v>
      </c>
      <c r="BN22" s="10">
        <f>IF(真實IC!BN22&gt;真實IC!BN$25,1,0)</f>
        <v>0</v>
      </c>
      <c r="BO22" s="10">
        <f>IF(真實IC!BO22&gt;真實IC!BO$25,1,0)</f>
        <v>1</v>
      </c>
      <c r="BP22" s="10">
        <f>IF(真實IC!BP22&gt;真實IC!BP$25,1,0)</f>
        <v>0</v>
      </c>
      <c r="BQ22" s="10">
        <f>IF(真實IC!BQ22&gt;真實IC!BQ$25,1,0)</f>
        <v>1</v>
      </c>
      <c r="BR22" s="10">
        <f>IF(真實IC!BR22&gt;真實IC!BR$25,1,0)</f>
        <v>1</v>
      </c>
      <c r="BS22" s="10">
        <f>IF(真實IC!BS22&gt;真實IC!BS$25,1,0)</f>
        <v>1</v>
      </c>
      <c r="BT22" s="10">
        <f>IF(真實IC!BT22&gt;真實IC!BT$25,1,0)</f>
        <v>1</v>
      </c>
      <c r="BU22" s="10">
        <f>IF(真實IC!BU22&gt;真實IC!BU$25,1,0)</f>
        <v>1</v>
      </c>
      <c r="BV22" s="10">
        <f>IF(真實IC!BV22&gt;真實IC!BV$25,1,0)</f>
        <v>1</v>
      </c>
      <c r="BW22" s="10">
        <f>IF(真實IC!BW22&gt;真實IC!BW$25,1,0)</f>
        <v>1</v>
      </c>
      <c r="BX22" s="10">
        <f>IF(真實IC!BX22&gt;真實IC!BX$25,1,0)</f>
        <v>1</v>
      </c>
      <c r="BY22" s="10">
        <f>IF(真實IC!BY22&gt;真實IC!BY$25,1,0)</f>
        <v>1</v>
      </c>
      <c r="BZ22" s="10">
        <f>IF(真實IC!BZ22&gt;真實IC!BZ$25,1,0)</f>
        <v>1</v>
      </c>
      <c r="CA22" s="10">
        <f>IF(真實IC!CA22&gt;真實IC!CA$25,1,0)</f>
        <v>0</v>
      </c>
      <c r="CB22" s="10">
        <f>IF(真實IC!CB22&gt;真實IC!CB$25,1,0)</f>
        <v>0</v>
      </c>
      <c r="CC22" s="10">
        <f>IF(真實IC!CC22&gt;真實IC!CC$25,1,0)</f>
        <v>0</v>
      </c>
      <c r="CD22" s="10">
        <f>IF(真實IC!CD22&gt;真實IC!CD$25,1,0)</f>
        <v>1</v>
      </c>
      <c r="CE22" s="10">
        <f>IF(真實IC!CE22&gt;真實IC!CE$25,1,0)</f>
        <v>0</v>
      </c>
      <c r="CF22" s="10">
        <f>IF(真實IC!CF22&gt;真實IC!CF$25,1,0)</f>
        <v>0</v>
      </c>
      <c r="CG22" s="10">
        <f>IF(真實IC!CG22&gt;真實IC!CG$25,1,0)</f>
        <v>1</v>
      </c>
      <c r="CH22" s="10">
        <f>IF(真實IC!CH22&gt;真實IC!CH$25,1,0)</f>
        <v>1</v>
      </c>
      <c r="CI22" s="10">
        <f>IF(真實IC!CI22&gt;真實IC!CI$25,1,0)</f>
        <v>0</v>
      </c>
      <c r="CJ22" s="10">
        <f>IF(真實IC!CJ22&gt;真實IC!CJ$25,1,0)</f>
        <v>0</v>
      </c>
      <c r="CK22" s="10">
        <f>IF(真實IC!CK22&gt;真實IC!CK$25,1,0)</f>
        <v>1</v>
      </c>
      <c r="CL22" s="10">
        <f>IF(真實IC!CL22&gt;真實IC!CL$25,1,0)</f>
        <v>1</v>
      </c>
      <c r="CM22" s="10">
        <f>IF(真實IC!CM22&gt;真實IC!CM$25,1,0)</f>
        <v>1</v>
      </c>
      <c r="CN22" s="10">
        <f>IF(真實IC!CN22&gt;真實IC!CN$25,1,0)</f>
        <v>1</v>
      </c>
      <c r="CO22" s="10">
        <f>IF(真實IC!CO22&gt;真實IC!CO$25,1,0)</f>
        <v>1</v>
      </c>
      <c r="CP22" s="10">
        <f>IF(真實IC!CP22&gt;真實IC!CP$25,1,0)</f>
        <v>1</v>
      </c>
      <c r="CQ22" s="10">
        <f>IF(真實IC!CQ22&gt;真實IC!CQ$25,1,0)</f>
        <v>1</v>
      </c>
      <c r="CR22" s="10">
        <f>IF(真實IC!CR22&gt;真實IC!CR$25,1,0)</f>
        <v>1</v>
      </c>
      <c r="CS22" s="10">
        <f>IF(真實IC!CS22&gt;真實IC!CS$25,1,0)</f>
        <v>1</v>
      </c>
      <c r="CT22" s="10">
        <f>IF(真實IC!CT22&gt;真實IC!CT$25,1,0)</f>
        <v>0</v>
      </c>
      <c r="CU22" s="10">
        <f>IF(真實IC!CU22&gt;真實IC!CU$25,1,0)</f>
        <v>1</v>
      </c>
      <c r="CV22" s="10">
        <f>IF(真實IC!CV22&gt;真實IC!CV$25,1,0)</f>
        <v>1</v>
      </c>
      <c r="CW22" s="10">
        <f>IF(真實IC!CW22&gt;真實IC!CW$25,1,0)</f>
        <v>1</v>
      </c>
      <c r="CX22" s="10">
        <f>IF(真實IC!CX22&gt;真實IC!CX$25,1,0)</f>
        <v>1</v>
      </c>
      <c r="CY22" s="10">
        <f>IF(真實IC!CY22&gt;真實IC!CY$25,1,0)</f>
        <v>1</v>
      </c>
      <c r="CZ22" s="10">
        <f>IF(真實IC!CZ22&gt;真實IC!CZ$25,1,0)</f>
        <v>1</v>
      </c>
      <c r="DA22" s="10">
        <f>IF(真實IC!DA22&gt;真實IC!DA$25,1,0)</f>
        <v>1</v>
      </c>
      <c r="DB22" s="10">
        <f>IF(真實IC!DB22&gt;真實IC!DB$25,1,0)</f>
        <v>1</v>
      </c>
      <c r="DC22" s="10">
        <f>IF(真實IC!DC22&gt;真實IC!DC$25,1,0)</f>
        <v>1</v>
      </c>
      <c r="DD22" s="10">
        <f>IF(真實IC!DD22&gt;真實IC!DD$25,1,0)</f>
        <v>1</v>
      </c>
      <c r="DE22" s="10">
        <f>IF(真實IC!DE22&gt;真實IC!DE$25,1,0)</f>
        <v>1</v>
      </c>
      <c r="DF22" s="10">
        <f>IF(真實IC!DF22&gt;真實IC!DF$25,1,0)</f>
        <v>1</v>
      </c>
      <c r="DG22" s="10">
        <f>IF(真實IC!DG22&gt;真實IC!DG$25,1,0)</f>
        <v>1</v>
      </c>
      <c r="DH22" s="10">
        <f>IF(真實IC!DH22&gt;真實IC!DH$25,1,0)</f>
        <v>1</v>
      </c>
      <c r="DI22" s="10">
        <f>IF(真實IC!DI22&gt;真實IC!DI$25,1,0)</f>
        <v>0</v>
      </c>
      <c r="DJ22" s="10">
        <f>IF(真實IC!DJ22&gt;真實IC!DJ$25,1,0)</f>
        <v>1</v>
      </c>
      <c r="DK22" s="10">
        <f>IF(真實IC!DK22&gt;真實IC!DK$25,1,0)</f>
        <v>1</v>
      </c>
      <c r="DL22" s="10">
        <f>IF(真實IC!DL22&gt;真實IC!DL$25,1,0)</f>
        <v>1</v>
      </c>
      <c r="DM22" s="10">
        <f>IF(真實IC!DM22&gt;真實IC!DM$25,1,0)</f>
        <v>1</v>
      </c>
      <c r="DN22" s="10">
        <f>IF(真實IC!DN22&gt;真實IC!DN$25,1,0)</f>
        <v>1</v>
      </c>
      <c r="DO22" s="10">
        <f>IF(真實IC!DO22&gt;真實IC!DO$25,1,0)</f>
        <v>1</v>
      </c>
      <c r="DP22" s="10">
        <f>IF(真實IC!DP22&gt;真實IC!DP$25,1,0)</f>
        <v>1</v>
      </c>
      <c r="DQ22" s="10">
        <f>IF(真實IC!DQ22&gt;真實IC!DQ$25,1,0)</f>
        <v>1</v>
      </c>
      <c r="DR22" s="10">
        <f>IF(真實IC!DR22&gt;真實IC!DR$25,1,0)</f>
        <v>0</v>
      </c>
      <c r="DS22" s="10">
        <f>IF(真實IC!DS22&gt;真實IC!DS$25,1,0)</f>
        <v>0</v>
      </c>
      <c r="DT22" s="10">
        <f>IF(真實IC!DT22&gt;真實IC!DT$25,1,0)</f>
        <v>0</v>
      </c>
      <c r="DU22" s="10">
        <f>IF(真實IC!DU22&gt;真實IC!DU$25,1,0)</f>
        <v>1</v>
      </c>
      <c r="DV22" s="10">
        <f>IF(真實IC!DV22&gt;真實IC!DV$25,1,0)</f>
        <v>1</v>
      </c>
      <c r="DW22" s="10">
        <f>IF(真實IC!DW22&gt;真實IC!DW$25,1,0)</f>
        <v>0</v>
      </c>
      <c r="DX22" s="10">
        <f>IF(真實IC!DX22&gt;真實IC!DX$25,1,0)</f>
        <v>1</v>
      </c>
      <c r="DY22" s="10">
        <f>IF(真實IC!DY22&gt;真實IC!DY$25,1,0)</f>
        <v>1</v>
      </c>
      <c r="DZ22" s="10">
        <f>IF(真實IC!DZ22&gt;真實IC!DZ$25,1,0)</f>
        <v>0</v>
      </c>
      <c r="EA22" s="10">
        <f>IF(真實IC!EA22&gt;真實IC!EA$25,1,0)</f>
        <v>1</v>
      </c>
      <c r="EB22" s="10">
        <f>IF(真實IC!EB22&gt;真實IC!EB$25,1,0)</f>
        <v>1</v>
      </c>
      <c r="EC22" s="10">
        <f>IF(真實IC!EC22&gt;真實IC!EC$25,1,0)</f>
        <v>1</v>
      </c>
      <c r="ED22" s="10">
        <f>IF(真實IC!ED22&gt;真實IC!ED$25,1,0)</f>
        <v>1</v>
      </c>
      <c r="EE22" s="10">
        <f>IF(真實IC!EE22&gt;真實IC!EE$25,1,0)</f>
        <v>1</v>
      </c>
      <c r="EF22" s="10">
        <f>IF(真實IC!EF22&gt;真實IC!EF$25,1,0)</f>
        <v>1</v>
      </c>
      <c r="EG22" s="10">
        <f>IF(真實IC!EG22&gt;真實IC!EG$25,1,0)</f>
        <v>1</v>
      </c>
      <c r="EH22" s="10">
        <f>IF(真實IC!EH22&gt;真實IC!EH$25,1,0)</f>
        <v>1</v>
      </c>
      <c r="EI22" s="10">
        <f>IF(真實IC!EI22&gt;真實IC!EI$25,1,0)</f>
        <v>1</v>
      </c>
      <c r="EJ22" s="10">
        <f>IF(真實IC!EJ22&gt;真實IC!EJ$25,1,0)</f>
        <v>1</v>
      </c>
      <c r="EK22" s="10">
        <f>IF(真實IC!EK22&gt;真實IC!EK$25,1,0)</f>
        <v>1</v>
      </c>
      <c r="EL22" s="10">
        <f>IF(真實IC!EL22&gt;真實IC!EL$25,1,0)</f>
        <v>0</v>
      </c>
      <c r="EM22" s="6">
        <f t="shared" si="11"/>
        <v>102</v>
      </c>
      <c r="EN22" s="13">
        <f t="shared" si="12"/>
        <v>0.72857142857142854</v>
      </c>
    </row>
    <row r="23" spans="1:144" x14ac:dyDescent="0.3">
      <c r="A23" s="11">
        <v>512</v>
      </c>
      <c r="B23" s="11">
        <f t="shared" si="10"/>
        <v>2</v>
      </c>
      <c r="C23" s="10">
        <f>IF(真實IC!C23&gt;真實IC!C$25,1,0)</f>
        <v>1</v>
      </c>
      <c r="D23" s="10">
        <f>IF(真實IC!D23&gt;真實IC!D$25,1,0)</f>
        <v>1</v>
      </c>
      <c r="E23" s="10">
        <f>IF(真實IC!E23&gt;真實IC!E$25,1,0)</f>
        <v>1</v>
      </c>
      <c r="F23" s="10">
        <f>IF(真實IC!F23&gt;真實IC!F$25,1,0)</f>
        <v>0</v>
      </c>
      <c r="G23" s="10">
        <f>IF(真實IC!G23&gt;真實IC!G$25,1,0)</f>
        <v>1</v>
      </c>
      <c r="H23" s="10">
        <f>IF(真實IC!H23&gt;真實IC!H$25,1,0)</f>
        <v>0</v>
      </c>
      <c r="I23" s="10">
        <f>IF(真實IC!I23&gt;真實IC!I$25,1,0)</f>
        <v>0</v>
      </c>
      <c r="J23" s="10">
        <f>IF(真實IC!J23&gt;真實IC!J$25,1,0)</f>
        <v>1</v>
      </c>
      <c r="K23" s="10">
        <f>IF(真實IC!K23&gt;真實IC!K$25,1,0)</f>
        <v>1</v>
      </c>
      <c r="L23" s="10">
        <f>IF(真實IC!L23&gt;真實IC!L$25,1,0)</f>
        <v>0</v>
      </c>
      <c r="M23" s="10">
        <f>IF(真實IC!M23&gt;真實IC!M$25,1,0)</f>
        <v>0</v>
      </c>
      <c r="N23" s="10">
        <f>IF(真實IC!N23&gt;真實IC!N$25,1,0)</f>
        <v>0</v>
      </c>
      <c r="O23" s="10">
        <f>IF(真實IC!O23&gt;真實IC!O$25,1,0)</f>
        <v>1</v>
      </c>
      <c r="P23" s="10">
        <f>IF(真實IC!P23&gt;真實IC!P$25,1,0)</f>
        <v>0</v>
      </c>
      <c r="Q23" s="10">
        <f>IF(真實IC!Q23&gt;真實IC!Q$25,1,0)</f>
        <v>0</v>
      </c>
      <c r="R23" s="10">
        <f>IF(真實IC!R23&gt;真實IC!R$25,1,0)</f>
        <v>0</v>
      </c>
      <c r="S23" s="10">
        <f>IF(真實IC!S23&gt;真實IC!S$25,1,0)</f>
        <v>1</v>
      </c>
      <c r="T23" s="10">
        <f>IF(真實IC!T23&gt;真實IC!T$25,1,0)</f>
        <v>0</v>
      </c>
      <c r="U23" s="10">
        <f>IF(真實IC!U23&gt;真實IC!U$25,1,0)</f>
        <v>1</v>
      </c>
      <c r="V23" s="10">
        <f>IF(真實IC!V23&gt;真實IC!V$25,1,0)</f>
        <v>1</v>
      </c>
      <c r="W23" s="10">
        <f>IF(真實IC!W23&gt;真實IC!W$25,1,0)</f>
        <v>1</v>
      </c>
      <c r="X23" s="10">
        <f>IF(真實IC!X23&gt;真實IC!X$25,1,0)</f>
        <v>1</v>
      </c>
      <c r="Y23" s="10">
        <f>IF(真實IC!Y23&gt;真實IC!Y$25,1,0)</f>
        <v>1</v>
      </c>
      <c r="Z23" s="10">
        <f>IF(真實IC!Z23&gt;真實IC!Z$25,1,0)</f>
        <v>1</v>
      </c>
      <c r="AA23" s="10">
        <f>IF(真實IC!AA23&gt;真實IC!AA$25,1,0)</f>
        <v>1</v>
      </c>
      <c r="AB23" s="10">
        <f>IF(真實IC!AB23&gt;真實IC!AB$25,1,0)</f>
        <v>1</v>
      </c>
      <c r="AC23" s="10">
        <f>IF(真實IC!AC23&gt;真實IC!AC$25,1,0)</f>
        <v>1</v>
      </c>
      <c r="AD23" s="10">
        <f>IF(真實IC!AD23&gt;真實IC!AD$25,1,0)</f>
        <v>1</v>
      </c>
      <c r="AE23" s="10">
        <f>IF(真實IC!AE23&gt;真實IC!AE$25,1,0)</f>
        <v>1</v>
      </c>
      <c r="AF23" s="10">
        <f>IF(真實IC!AF23&gt;真實IC!AF$25,1,0)</f>
        <v>1</v>
      </c>
      <c r="AG23" s="10">
        <f>IF(真實IC!AG23&gt;真實IC!AG$25,1,0)</f>
        <v>0</v>
      </c>
      <c r="AH23" s="10">
        <f>IF(真實IC!AH23&gt;真實IC!AH$25,1,0)</f>
        <v>0</v>
      </c>
      <c r="AI23" s="10">
        <f>IF(真實IC!AI23&gt;真實IC!AI$25,1,0)</f>
        <v>1</v>
      </c>
      <c r="AJ23" s="10">
        <f>IF(真實IC!AJ23&gt;真實IC!AJ$25,1,0)</f>
        <v>1</v>
      </c>
      <c r="AK23" s="10">
        <f>IF(真實IC!AK23&gt;真實IC!AK$25,1,0)</f>
        <v>1</v>
      </c>
      <c r="AL23" s="10">
        <f>IF(真實IC!AL23&gt;真實IC!AL$25,1,0)</f>
        <v>1</v>
      </c>
      <c r="AM23" s="10">
        <f>IF(真實IC!AM23&gt;真實IC!AM$25,1,0)</f>
        <v>0</v>
      </c>
      <c r="AN23" s="10">
        <f>IF(真實IC!AN23&gt;真實IC!AN$25,1,0)</f>
        <v>1</v>
      </c>
      <c r="AO23" s="10">
        <f>IF(真實IC!AO23&gt;真實IC!AO$25,1,0)</f>
        <v>1</v>
      </c>
      <c r="AP23" s="10">
        <f>IF(真實IC!AP23&gt;真實IC!AP$25,1,0)</f>
        <v>1</v>
      </c>
      <c r="AQ23" s="10">
        <f>IF(真實IC!AQ23&gt;真實IC!AQ$25,1,0)</f>
        <v>0</v>
      </c>
      <c r="AR23" s="10">
        <f>IF(真實IC!AR23&gt;真實IC!AR$25,1,0)</f>
        <v>1</v>
      </c>
      <c r="AS23" s="10">
        <f>IF(真實IC!AS23&gt;真實IC!AS$25,1,0)</f>
        <v>0</v>
      </c>
      <c r="AT23" s="10">
        <f>IF(真實IC!AT23&gt;真實IC!AT$25,1,0)</f>
        <v>1</v>
      </c>
      <c r="AU23" s="10">
        <f>IF(真實IC!AU23&gt;真實IC!AU$25,1,0)</f>
        <v>1</v>
      </c>
      <c r="AV23" s="10">
        <f>IF(真實IC!AV23&gt;真實IC!AV$25,1,0)</f>
        <v>1</v>
      </c>
      <c r="AW23" s="10">
        <f>IF(真實IC!AW23&gt;真實IC!AW$25,1,0)</f>
        <v>1</v>
      </c>
      <c r="AX23" s="10">
        <f>IF(真實IC!AX23&gt;真實IC!AX$25,1,0)</f>
        <v>0</v>
      </c>
      <c r="AY23" s="10">
        <f>IF(真實IC!AY23&gt;真實IC!AY$25,1,0)</f>
        <v>0</v>
      </c>
      <c r="AZ23" s="10">
        <f>IF(真實IC!AZ23&gt;真實IC!AZ$25,1,0)</f>
        <v>1</v>
      </c>
      <c r="BA23" s="10">
        <f>IF(真實IC!BA23&gt;真實IC!BA$25,1,0)</f>
        <v>1</v>
      </c>
      <c r="BB23" s="10">
        <f>IF(真實IC!BB23&gt;真實IC!BB$25,1,0)</f>
        <v>1</v>
      </c>
      <c r="BC23" s="10">
        <f>IF(真實IC!BC23&gt;真實IC!BC$25,1,0)</f>
        <v>0</v>
      </c>
      <c r="BD23" s="10">
        <f>IF(真實IC!BD23&gt;真實IC!BD$25,1,0)</f>
        <v>1</v>
      </c>
      <c r="BE23" s="10">
        <f>IF(真實IC!BE23&gt;真實IC!BE$25,1,0)</f>
        <v>1</v>
      </c>
      <c r="BF23" s="10">
        <f>IF(真實IC!BF23&gt;真實IC!BF$25,1,0)</f>
        <v>1</v>
      </c>
      <c r="BG23" s="10">
        <f>IF(真實IC!BG23&gt;真實IC!BG$25,1,0)</f>
        <v>0</v>
      </c>
      <c r="BH23" s="10">
        <f>IF(真實IC!BH23&gt;真實IC!BH$25,1,0)</f>
        <v>0</v>
      </c>
      <c r="BI23" s="10">
        <f>IF(真實IC!BI23&gt;真實IC!BI$25,1,0)</f>
        <v>1</v>
      </c>
      <c r="BJ23" s="10">
        <f>IF(真實IC!BJ23&gt;真實IC!BJ$25,1,0)</f>
        <v>0</v>
      </c>
      <c r="BK23" s="10">
        <f>IF(真實IC!BK23&gt;真實IC!BK$25,1,0)</f>
        <v>0</v>
      </c>
      <c r="BL23" s="10">
        <f>IF(真實IC!BL23&gt;真實IC!BL$25,1,0)</f>
        <v>1</v>
      </c>
      <c r="BM23" s="10">
        <f>IF(真實IC!BM23&gt;真實IC!BM$25,1,0)</f>
        <v>1</v>
      </c>
      <c r="BN23" s="10">
        <f>IF(真實IC!BN23&gt;真實IC!BN$25,1,0)</f>
        <v>1</v>
      </c>
      <c r="BO23" s="10">
        <f>IF(真實IC!BO23&gt;真實IC!BO$25,1,0)</f>
        <v>1</v>
      </c>
      <c r="BP23" s="10">
        <f>IF(真實IC!BP23&gt;真實IC!BP$25,1,0)</f>
        <v>0</v>
      </c>
      <c r="BQ23" s="10">
        <f>IF(真實IC!BQ23&gt;真實IC!BQ$25,1,0)</f>
        <v>1</v>
      </c>
      <c r="BR23" s="10">
        <f>IF(真實IC!BR23&gt;真實IC!BR$25,1,0)</f>
        <v>1</v>
      </c>
      <c r="BS23" s="10">
        <f>IF(真實IC!BS23&gt;真實IC!BS$25,1,0)</f>
        <v>0</v>
      </c>
      <c r="BT23" s="10">
        <f>IF(真實IC!BT23&gt;真實IC!BT$25,1,0)</f>
        <v>1</v>
      </c>
      <c r="BU23" s="10">
        <f>IF(真實IC!BU23&gt;真實IC!BU$25,1,0)</f>
        <v>0</v>
      </c>
      <c r="BV23" s="10">
        <f>IF(真實IC!BV23&gt;真實IC!BV$25,1,0)</f>
        <v>1</v>
      </c>
      <c r="BW23" s="10">
        <f>IF(真實IC!BW23&gt;真實IC!BW$25,1,0)</f>
        <v>1</v>
      </c>
      <c r="BX23" s="10">
        <f>IF(真實IC!BX23&gt;真實IC!BX$25,1,0)</f>
        <v>1</v>
      </c>
      <c r="BY23" s="10">
        <f>IF(真實IC!BY23&gt;真實IC!BY$25,1,0)</f>
        <v>1</v>
      </c>
      <c r="BZ23" s="10">
        <f>IF(真實IC!BZ23&gt;真實IC!BZ$25,1,0)</f>
        <v>1</v>
      </c>
      <c r="CA23" s="10">
        <f>IF(真實IC!CA23&gt;真實IC!CA$25,1,0)</f>
        <v>0</v>
      </c>
      <c r="CB23" s="10">
        <f>IF(真實IC!CB23&gt;真實IC!CB$25,1,0)</f>
        <v>1</v>
      </c>
      <c r="CC23" s="10">
        <f>IF(真實IC!CC23&gt;真實IC!CC$25,1,0)</f>
        <v>0</v>
      </c>
      <c r="CD23" s="10">
        <f>IF(真實IC!CD23&gt;真實IC!CD$25,1,0)</f>
        <v>1</v>
      </c>
      <c r="CE23" s="10">
        <f>IF(真實IC!CE23&gt;真實IC!CE$25,1,0)</f>
        <v>0</v>
      </c>
      <c r="CF23" s="10">
        <f>IF(真實IC!CF23&gt;真實IC!CF$25,1,0)</f>
        <v>0</v>
      </c>
      <c r="CG23" s="10">
        <f>IF(真實IC!CG23&gt;真實IC!CG$25,1,0)</f>
        <v>1</v>
      </c>
      <c r="CH23" s="10">
        <f>IF(真實IC!CH23&gt;真實IC!CH$25,1,0)</f>
        <v>1</v>
      </c>
      <c r="CI23" s="10">
        <f>IF(真實IC!CI23&gt;真實IC!CI$25,1,0)</f>
        <v>1</v>
      </c>
      <c r="CJ23" s="10">
        <f>IF(真實IC!CJ23&gt;真實IC!CJ$25,1,0)</f>
        <v>1</v>
      </c>
      <c r="CK23" s="10">
        <f>IF(真實IC!CK23&gt;真實IC!CK$25,1,0)</f>
        <v>1</v>
      </c>
      <c r="CL23" s="10">
        <f>IF(真實IC!CL23&gt;真實IC!CL$25,1,0)</f>
        <v>1</v>
      </c>
      <c r="CM23" s="10">
        <f>IF(真實IC!CM23&gt;真實IC!CM$25,1,0)</f>
        <v>0</v>
      </c>
      <c r="CN23" s="10">
        <f>IF(真實IC!CN23&gt;真實IC!CN$25,1,0)</f>
        <v>1</v>
      </c>
      <c r="CO23" s="10">
        <f>IF(真實IC!CO23&gt;真實IC!CO$25,1,0)</f>
        <v>1</v>
      </c>
      <c r="CP23" s="10">
        <f>IF(真實IC!CP23&gt;真實IC!CP$25,1,0)</f>
        <v>1</v>
      </c>
      <c r="CQ23" s="10">
        <f>IF(真實IC!CQ23&gt;真實IC!CQ$25,1,0)</f>
        <v>1</v>
      </c>
      <c r="CR23" s="10">
        <f>IF(真實IC!CR23&gt;真實IC!CR$25,1,0)</f>
        <v>1</v>
      </c>
      <c r="CS23" s="10">
        <f>IF(真實IC!CS23&gt;真實IC!CS$25,1,0)</f>
        <v>0</v>
      </c>
      <c r="CT23" s="10">
        <f>IF(真實IC!CT23&gt;真實IC!CT$25,1,0)</f>
        <v>0</v>
      </c>
      <c r="CU23" s="10">
        <f>IF(真實IC!CU23&gt;真實IC!CU$25,1,0)</f>
        <v>1</v>
      </c>
      <c r="CV23" s="10">
        <f>IF(真實IC!CV23&gt;真實IC!CV$25,1,0)</f>
        <v>1</v>
      </c>
      <c r="CW23" s="10">
        <f>IF(真實IC!CW23&gt;真實IC!CW$25,1,0)</f>
        <v>1</v>
      </c>
      <c r="CX23" s="10">
        <f>IF(真實IC!CX23&gt;真實IC!CX$25,1,0)</f>
        <v>1</v>
      </c>
      <c r="CY23" s="10">
        <f>IF(真實IC!CY23&gt;真實IC!CY$25,1,0)</f>
        <v>1</v>
      </c>
      <c r="CZ23" s="10">
        <f>IF(真實IC!CZ23&gt;真實IC!CZ$25,1,0)</f>
        <v>1</v>
      </c>
      <c r="DA23" s="10">
        <f>IF(真實IC!DA23&gt;真實IC!DA$25,1,0)</f>
        <v>1</v>
      </c>
      <c r="DB23" s="10">
        <f>IF(真實IC!DB23&gt;真實IC!DB$25,1,0)</f>
        <v>1</v>
      </c>
      <c r="DC23" s="10">
        <f>IF(真實IC!DC23&gt;真實IC!DC$25,1,0)</f>
        <v>1</v>
      </c>
      <c r="DD23" s="10">
        <f>IF(真實IC!DD23&gt;真實IC!DD$25,1,0)</f>
        <v>1</v>
      </c>
      <c r="DE23" s="10">
        <f>IF(真實IC!DE23&gt;真實IC!DE$25,1,0)</f>
        <v>0</v>
      </c>
      <c r="DF23" s="10">
        <f>IF(真實IC!DF23&gt;真實IC!DF$25,1,0)</f>
        <v>1</v>
      </c>
      <c r="DG23" s="10">
        <f>IF(真實IC!DG23&gt;真實IC!DG$25,1,0)</f>
        <v>1</v>
      </c>
      <c r="DH23" s="10">
        <f>IF(真實IC!DH23&gt;真實IC!DH$25,1,0)</f>
        <v>0</v>
      </c>
      <c r="DI23" s="10">
        <f>IF(真實IC!DI23&gt;真實IC!DI$25,1,0)</f>
        <v>0</v>
      </c>
      <c r="DJ23" s="10">
        <f>IF(真實IC!DJ23&gt;真實IC!DJ$25,1,0)</f>
        <v>1</v>
      </c>
      <c r="DK23" s="10">
        <f>IF(真實IC!DK23&gt;真實IC!DK$25,1,0)</f>
        <v>0</v>
      </c>
      <c r="DL23" s="10">
        <f>IF(真實IC!DL23&gt;真實IC!DL$25,1,0)</f>
        <v>1</v>
      </c>
      <c r="DM23" s="10">
        <f>IF(真實IC!DM23&gt;真實IC!DM$25,1,0)</f>
        <v>1</v>
      </c>
      <c r="DN23" s="10">
        <f>IF(真實IC!DN23&gt;真實IC!DN$25,1,0)</f>
        <v>0</v>
      </c>
      <c r="DO23" s="10">
        <f>IF(真實IC!DO23&gt;真實IC!DO$25,1,0)</f>
        <v>1</v>
      </c>
      <c r="DP23" s="10">
        <f>IF(真實IC!DP23&gt;真實IC!DP$25,1,0)</f>
        <v>1</v>
      </c>
      <c r="DQ23" s="10">
        <f>IF(真實IC!DQ23&gt;真實IC!DQ$25,1,0)</f>
        <v>1</v>
      </c>
      <c r="DR23" s="10">
        <f>IF(真實IC!DR23&gt;真實IC!DR$25,1,0)</f>
        <v>0</v>
      </c>
      <c r="DS23" s="10">
        <f>IF(真實IC!DS23&gt;真實IC!DS$25,1,0)</f>
        <v>0</v>
      </c>
      <c r="DT23" s="10">
        <f>IF(真實IC!DT23&gt;真實IC!DT$25,1,0)</f>
        <v>0</v>
      </c>
      <c r="DU23" s="10">
        <f>IF(真實IC!DU23&gt;真實IC!DU$25,1,0)</f>
        <v>1</v>
      </c>
      <c r="DV23" s="10">
        <f>IF(真實IC!DV23&gt;真實IC!DV$25,1,0)</f>
        <v>1</v>
      </c>
      <c r="DW23" s="10">
        <f>IF(真實IC!DW23&gt;真實IC!DW$25,1,0)</f>
        <v>0</v>
      </c>
      <c r="DX23" s="10">
        <f>IF(真實IC!DX23&gt;真實IC!DX$25,1,0)</f>
        <v>1</v>
      </c>
      <c r="DY23" s="10">
        <f>IF(真實IC!DY23&gt;真實IC!DY$25,1,0)</f>
        <v>1</v>
      </c>
      <c r="DZ23" s="10">
        <f>IF(真實IC!DZ23&gt;真實IC!DZ$25,1,0)</f>
        <v>1</v>
      </c>
      <c r="EA23" s="10">
        <f>IF(真實IC!EA23&gt;真實IC!EA$25,1,0)</f>
        <v>0</v>
      </c>
      <c r="EB23" s="10">
        <f>IF(真實IC!EB23&gt;真實IC!EB$25,1,0)</f>
        <v>0</v>
      </c>
      <c r="EC23" s="10">
        <f>IF(真實IC!EC23&gt;真實IC!EC$25,1,0)</f>
        <v>1</v>
      </c>
      <c r="ED23" s="10">
        <f>IF(真實IC!ED23&gt;真實IC!ED$25,1,0)</f>
        <v>1</v>
      </c>
      <c r="EE23" s="10">
        <f>IF(真實IC!EE23&gt;真實IC!EE$25,1,0)</f>
        <v>1</v>
      </c>
      <c r="EF23" s="10">
        <f>IF(真實IC!EF23&gt;真實IC!EF$25,1,0)</f>
        <v>1</v>
      </c>
      <c r="EG23" s="10">
        <f>IF(真實IC!EG23&gt;真實IC!EG$25,1,0)</f>
        <v>1</v>
      </c>
      <c r="EH23" s="10">
        <f>IF(真實IC!EH23&gt;真實IC!EH$25,1,0)</f>
        <v>0</v>
      </c>
      <c r="EI23" s="10">
        <f>IF(真實IC!EI23&gt;真實IC!EI$25,1,0)</f>
        <v>1</v>
      </c>
      <c r="EJ23" s="10">
        <f>IF(真實IC!EJ23&gt;真實IC!EJ$25,1,0)</f>
        <v>1</v>
      </c>
      <c r="EK23" s="10">
        <f>IF(真實IC!EK23&gt;真實IC!EK$25,1,0)</f>
        <v>1</v>
      </c>
      <c r="EL23" s="10">
        <f>IF(真實IC!EL23&gt;真實IC!EL$25,1,0)</f>
        <v>1</v>
      </c>
      <c r="EM23" s="6">
        <f t="shared" si="11"/>
        <v>96</v>
      </c>
      <c r="EN23" s="13">
        <f t="shared" si="12"/>
        <v>0.68571428571428572</v>
      </c>
    </row>
    <row r="24" spans="1:144" x14ac:dyDescent="0.3">
      <c r="A24" s="11">
        <v>1051</v>
      </c>
      <c r="B24" s="11">
        <f t="shared" si="10"/>
        <v>1</v>
      </c>
      <c r="C24" s="10">
        <f>IF(真實IC!C24&gt;真實IC!C$25,1,0)</f>
        <v>1</v>
      </c>
      <c r="D24" s="10">
        <f>IF(真實IC!D24&gt;真實IC!D$25,1,0)</f>
        <v>0</v>
      </c>
      <c r="E24" s="10">
        <f>IF(真實IC!E24&gt;真實IC!E$25,1,0)</f>
        <v>1</v>
      </c>
      <c r="F24" s="10">
        <f>IF(真實IC!F24&gt;真實IC!F$25,1,0)</f>
        <v>0</v>
      </c>
      <c r="G24" s="10">
        <f>IF(真實IC!G24&gt;真實IC!G$25,1,0)</f>
        <v>0</v>
      </c>
      <c r="H24" s="10">
        <f>IF(真實IC!H24&gt;真實IC!H$25,1,0)</f>
        <v>0</v>
      </c>
      <c r="I24" s="10">
        <f>IF(真實IC!I24&gt;真實IC!I$25,1,0)</f>
        <v>1</v>
      </c>
      <c r="J24" s="10">
        <f>IF(真實IC!J24&gt;真實IC!J$25,1,0)</f>
        <v>1</v>
      </c>
      <c r="K24" s="10">
        <f>IF(真實IC!K24&gt;真實IC!K$25,1,0)</f>
        <v>1</v>
      </c>
      <c r="L24" s="10">
        <f>IF(真實IC!L24&gt;真實IC!L$25,1,0)</f>
        <v>0</v>
      </c>
      <c r="M24" s="10">
        <f>IF(真實IC!M24&gt;真實IC!M$25,1,0)</f>
        <v>0</v>
      </c>
      <c r="N24" s="10">
        <f>IF(真實IC!N24&gt;真實IC!N$25,1,0)</f>
        <v>1</v>
      </c>
      <c r="O24" s="10">
        <f>IF(真實IC!O24&gt;真實IC!O$25,1,0)</f>
        <v>1</v>
      </c>
      <c r="P24" s="10">
        <f>IF(真實IC!P24&gt;真實IC!P$25,1,0)</f>
        <v>0</v>
      </c>
      <c r="Q24" s="10">
        <f>IF(真實IC!Q24&gt;真實IC!Q$25,1,0)</f>
        <v>0</v>
      </c>
      <c r="R24" s="10">
        <f>IF(真實IC!R24&gt;真實IC!R$25,1,0)</f>
        <v>1</v>
      </c>
      <c r="S24" s="10">
        <f>IF(真實IC!S24&gt;真實IC!S$25,1,0)</f>
        <v>1</v>
      </c>
      <c r="T24" s="10">
        <f>IF(真實IC!T24&gt;真實IC!T$25,1,0)</f>
        <v>0</v>
      </c>
      <c r="U24" s="10">
        <f>IF(真實IC!U24&gt;真實IC!U$25,1,0)</f>
        <v>1</v>
      </c>
      <c r="V24" s="10">
        <f>IF(真實IC!V24&gt;真實IC!V$25,1,0)</f>
        <v>1</v>
      </c>
      <c r="W24" s="10">
        <f>IF(真實IC!W24&gt;真實IC!W$25,1,0)</f>
        <v>1</v>
      </c>
      <c r="X24" s="10">
        <f>IF(真實IC!X24&gt;真實IC!X$25,1,0)</f>
        <v>0</v>
      </c>
      <c r="Y24" s="10">
        <f>IF(真實IC!Y24&gt;真實IC!Y$25,1,0)</f>
        <v>1</v>
      </c>
      <c r="Z24" s="10">
        <f>IF(真實IC!Z24&gt;真實IC!Z$25,1,0)</f>
        <v>1</v>
      </c>
      <c r="AA24" s="10">
        <f>IF(真實IC!AA24&gt;真實IC!AA$25,1,0)</f>
        <v>1</v>
      </c>
      <c r="AB24" s="10">
        <f>IF(真實IC!AB24&gt;真實IC!AB$25,1,0)</f>
        <v>1</v>
      </c>
      <c r="AC24" s="10">
        <f>IF(真實IC!AC24&gt;真實IC!AC$25,1,0)</f>
        <v>1</v>
      </c>
      <c r="AD24" s="10">
        <f>IF(真實IC!AD24&gt;真實IC!AD$25,1,0)</f>
        <v>1</v>
      </c>
      <c r="AE24" s="10">
        <f>IF(真實IC!AE24&gt;真實IC!AE$25,1,0)</f>
        <v>1</v>
      </c>
      <c r="AF24" s="10">
        <f>IF(真實IC!AF24&gt;真實IC!AF$25,1,0)</f>
        <v>1</v>
      </c>
      <c r="AG24" s="10">
        <f>IF(真實IC!AG24&gt;真實IC!AG$25,1,0)</f>
        <v>0</v>
      </c>
      <c r="AH24" s="10">
        <f>IF(真實IC!AH24&gt;真實IC!AH$25,1,0)</f>
        <v>0</v>
      </c>
      <c r="AI24" s="10">
        <f>IF(真實IC!AI24&gt;真實IC!AI$25,1,0)</f>
        <v>0</v>
      </c>
      <c r="AJ24" s="10">
        <f>IF(真實IC!AJ24&gt;真實IC!AJ$25,1,0)</f>
        <v>0</v>
      </c>
      <c r="AK24" s="10">
        <f>IF(真實IC!AK24&gt;真實IC!AK$25,1,0)</f>
        <v>0</v>
      </c>
      <c r="AL24" s="10">
        <f>IF(真實IC!AL24&gt;真實IC!AL$25,1,0)</f>
        <v>1</v>
      </c>
      <c r="AM24" s="10">
        <f>IF(真實IC!AM24&gt;真實IC!AM$25,1,0)</f>
        <v>0</v>
      </c>
      <c r="AN24" s="10">
        <f>IF(真實IC!AN24&gt;真實IC!AN$25,1,0)</f>
        <v>1</v>
      </c>
      <c r="AO24" s="10">
        <f>IF(真實IC!AO24&gt;真實IC!AO$25,1,0)</f>
        <v>1</v>
      </c>
      <c r="AP24" s="10">
        <f>IF(真實IC!AP24&gt;真實IC!AP$25,1,0)</f>
        <v>1</v>
      </c>
      <c r="AQ24" s="10">
        <f>IF(真實IC!AQ24&gt;真實IC!AQ$25,1,0)</f>
        <v>0</v>
      </c>
      <c r="AR24" s="10">
        <f>IF(真實IC!AR24&gt;真實IC!AR$25,1,0)</f>
        <v>1</v>
      </c>
      <c r="AS24" s="10">
        <f>IF(真實IC!AS24&gt;真實IC!AS$25,1,0)</f>
        <v>0</v>
      </c>
      <c r="AT24" s="10">
        <f>IF(真實IC!AT24&gt;真實IC!AT$25,1,0)</f>
        <v>1</v>
      </c>
      <c r="AU24" s="10">
        <f>IF(真實IC!AU24&gt;真實IC!AU$25,1,0)</f>
        <v>1</v>
      </c>
      <c r="AV24" s="10">
        <f>IF(真實IC!AV24&gt;真實IC!AV$25,1,0)</f>
        <v>1</v>
      </c>
      <c r="AW24" s="10">
        <f>IF(真實IC!AW24&gt;真實IC!AW$25,1,0)</f>
        <v>1</v>
      </c>
      <c r="AX24" s="10">
        <f>IF(真實IC!AX24&gt;真實IC!AX$25,1,0)</f>
        <v>1</v>
      </c>
      <c r="AY24" s="10">
        <f>IF(真實IC!AY24&gt;真實IC!AY$25,1,0)</f>
        <v>1</v>
      </c>
      <c r="AZ24" s="10">
        <f>IF(真實IC!AZ24&gt;真實IC!AZ$25,1,0)</f>
        <v>1</v>
      </c>
      <c r="BA24" s="10">
        <f>IF(真實IC!BA24&gt;真實IC!BA$25,1,0)</f>
        <v>1</v>
      </c>
      <c r="BB24" s="10">
        <f>IF(真實IC!BB24&gt;真實IC!BB$25,1,0)</f>
        <v>1</v>
      </c>
      <c r="BC24" s="10">
        <f>IF(真實IC!BC24&gt;真實IC!BC$25,1,0)</f>
        <v>1</v>
      </c>
      <c r="BD24" s="10">
        <f>IF(真實IC!BD24&gt;真實IC!BD$25,1,0)</f>
        <v>1</v>
      </c>
      <c r="BE24" s="10">
        <f>IF(真實IC!BE24&gt;真實IC!BE$25,1,0)</f>
        <v>1</v>
      </c>
      <c r="BF24" s="10">
        <f>IF(真實IC!BF24&gt;真實IC!BF$25,1,0)</f>
        <v>1</v>
      </c>
      <c r="BG24" s="10">
        <f>IF(真實IC!BG24&gt;真實IC!BG$25,1,0)</f>
        <v>0</v>
      </c>
      <c r="BH24" s="10">
        <f>IF(真實IC!BH24&gt;真實IC!BH$25,1,0)</f>
        <v>1</v>
      </c>
      <c r="BI24" s="10">
        <f>IF(真實IC!BI24&gt;真實IC!BI$25,1,0)</f>
        <v>1</v>
      </c>
      <c r="BJ24" s="10">
        <f>IF(真實IC!BJ24&gt;真實IC!BJ$25,1,0)</f>
        <v>0</v>
      </c>
      <c r="BK24" s="10">
        <f>IF(真實IC!BK24&gt;真實IC!BK$25,1,0)</f>
        <v>0</v>
      </c>
      <c r="BL24" s="10">
        <f>IF(真實IC!BL24&gt;真實IC!BL$25,1,0)</f>
        <v>1</v>
      </c>
      <c r="BM24" s="10">
        <f>IF(真實IC!BM24&gt;真實IC!BM$25,1,0)</f>
        <v>1</v>
      </c>
      <c r="BN24" s="10">
        <f>IF(真實IC!BN24&gt;真實IC!BN$25,1,0)</f>
        <v>1</v>
      </c>
      <c r="BO24" s="10">
        <f>IF(真實IC!BO24&gt;真實IC!BO$25,1,0)</f>
        <v>1</v>
      </c>
      <c r="BP24" s="10">
        <f>IF(真實IC!BP24&gt;真實IC!BP$25,1,0)</f>
        <v>1</v>
      </c>
      <c r="BQ24" s="10">
        <f>IF(真實IC!BQ24&gt;真實IC!BQ$25,1,0)</f>
        <v>0</v>
      </c>
      <c r="BR24" s="10">
        <f>IF(真實IC!BR24&gt;真實IC!BR$25,1,0)</f>
        <v>1</v>
      </c>
      <c r="BS24" s="10">
        <f>IF(真實IC!BS24&gt;真實IC!BS$25,1,0)</f>
        <v>0</v>
      </c>
      <c r="BT24" s="10">
        <f>IF(真實IC!BT24&gt;真實IC!BT$25,1,0)</f>
        <v>1</v>
      </c>
      <c r="BU24" s="10">
        <f>IF(真實IC!BU24&gt;真實IC!BU$25,1,0)</f>
        <v>0</v>
      </c>
      <c r="BV24" s="10">
        <f>IF(真實IC!BV24&gt;真實IC!BV$25,1,0)</f>
        <v>0</v>
      </c>
      <c r="BW24" s="10">
        <f>IF(真實IC!BW24&gt;真實IC!BW$25,1,0)</f>
        <v>1</v>
      </c>
      <c r="BX24" s="10">
        <f>IF(真實IC!BX24&gt;真實IC!BX$25,1,0)</f>
        <v>0</v>
      </c>
      <c r="BY24" s="10">
        <f>IF(真實IC!BY24&gt;真實IC!BY$25,1,0)</f>
        <v>1</v>
      </c>
      <c r="BZ24" s="10">
        <f>IF(真實IC!BZ24&gt;真實IC!BZ$25,1,0)</f>
        <v>1</v>
      </c>
      <c r="CA24" s="10">
        <f>IF(真實IC!CA24&gt;真實IC!CA$25,1,0)</f>
        <v>0</v>
      </c>
      <c r="CB24" s="10">
        <f>IF(真實IC!CB24&gt;真實IC!CB$25,1,0)</f>
        <v>1</v>
      </c>
      <c r="CC24" s="10">
        <f>IF(真實IC!CC24&gt;真實IC!CC$25,1,0)</f>
        <v>0</v>
      </c>
      <c r="CD24" s="10">
        <f>IF(真實IC!CD24&gt;真實IC!CD$25,1,0)</f>
        <v>1</v>
      </c>
      <c r="CE24" s="10">
        <f>IF(真實IC!CE24&gt;真實IC!CE$25,1,0)</f>
        <v>0</v>
      </c>
      <c r="CF24" s="10">
        <f>IF(真實IC!CF24&gt;真實IC!CF$25,1,0)</f>
        <v>1</v>
      </c>
      <c r="CG24" s="10">
        <f>IF(真實IC!CG24&gt;真實IC!CG$25,1,0)</f>
        <v>1</v>
      </c>
      <c r="CH24" s="10">
        <f>IF(真實IC!CH24&gt;真實IC!CH$25,1,0)</f>
        <v>0</v>
      </c>
      <c r="CI24" s="10">
        <f>IF(真實IC!CI24&gt;真實IC!CI$25,1,0)</f>
        <v>0</v>
      </c>
      <c r="CJ24" s="10">
        <f>IF(真實IC!CJ24&gt;真實IC!CJ$25,1,0)</f>
        <v>0</v>
      </c>
      <c r="CK24" s="10">
        <f>IF(真實IC!CK24&gt;真實IC!CK$25,1,0)</f>
        <v>1</v>
      </c>
      <c r="CL24" s="10">
        <f>IF(真實IC!CL24&gt;真實IC!CL$25,1,0)</f>
        <v>0</v>
      </c>
      <c r="CM24" s="10">
        <f>IF(真實IC!CM24&gt;真實IC!CM$25,1,0)</f>
        <v>1</v>
      </c>
      <c r="CN24" s="10">
        <f>IF(真實IC!CN24&gt;真實IC!CN$25,1,0)</f>
        <v>1</v>
      </c>
      <c r="CO24" s="10">
        <f>IF(真實IC!CO24&gt;真實IC!CO$25,1,0)</f>
        <v>1</v>
      </c>
      <c r="CP24" s="10">
        <f>IF(真實IC!CP24&gt;真實IC!CP$25,1,0)</f>
        <v>1</v>
      </c>
      <c r="CQ24" s="10">
        <f>IF(真實IC!CQ24&gt;真實IC!CQ$25,1,0)</f>
        <v>1</v>
      </c>
      <c r="CR24" s="10">
        <f>IF(真實IC!CR24&gt;真實IC!CR$25,1,0)</f>
        <v>1</v>
      </c>
      <c r="CS24" s="10">
        <f>IF(真實IC!CS24&gt;真實IC!CS$25,1,0)</f>
        <v>0</v>
      </c>
      <c r="CT24" s="10">
        <f>IF(真實IC!CT24&gt;真實IC!CT$25,1,0)</f>
        <v>0</v>
      </c>
      <c r="CU24" s="10">
        <f>IF(真實IC!CU24&gt;真實IC!CU$25,1,0)</f>
        <v>1</v>
      </c>
      <c r="CV24" s="10">
        <f>IF(真實IC!CV24&gt;真實IC!CV$25,1,0)</f>
        <v>0</v>
      </c>
      <c r="CW24" s="10">
        <f>IF(真實IC!CW24&gt;真實IC!CW$25,1,0)</f>
        <v>1</v>
      </c>
      <c r="CX24" s="10">
        <f>IF(真實IC!CX24&gt;真實IC!CX$25,1,0)</f>
        <v>1</v>
      </c>
      <c r="CY24" s="10">
        <f>IF(真實IC!CY24&gt;真實IC!CY$25,1,0)</f>
        <v>1</v>
      </c>
      <c r="CZ24" s="10">
        <f>IF(真實IC!CZ24&gt;真實IC!CZ$25,1,0)</f>
        <v>1</v>
      </c>
      <c r="DA24" s="10">
        <f>IF(真實IC!DA24&gt;真實IC!DA$25,1,0)</f>
        <v>1</v>
      </c>
      <c r="DB24" s="10">
        <f>IF(真實IC!DB24&gt;真實IC!DB$25,1,0)</f>
        <v>1</v>
      </c>
      <c r="DC24" s="10">
        <f>IF(真實IC!DC24&gt;真實IC!DC$25,1,0)</f>
        <v>1</v>
      </c>
      <c r="DD24" s="10">
        <f>IF(真實IC!DD24&gt;真實IC!DD$25,1,0)</f>
        <v>0</v>
      </c>
      <c r="DE24" s="10">
        <f>IF(真實IC!DE24&gt;真實IC!DE$25,1,0)</f>
        <v>1</v>
      </c>
      <c r="DF24" s="10">
        <f>IF(真實IC!DF24&gt;真實IC!DF$25,1,0)</f>
        <v>1</v>
      </c>
      <c r="DG24" s="10">
        <f>IF(真實IC!DG24&gt;真實IC!DG$25,1,0)</f>
        <v>1</v>
      </c>
      <c r="DH24" s="10">
        <f>IF(真實IC!DH24&gt;真實IC!DH$25,1,0)</f>
        <v>0</v>
      </c>
      <c r="DI24" s="10">
        <f>IF(真實IC!DI24&gt;真實IC!DI$25,1,0)</f>
        <v>0</v>
      </c>
      <c r="DJ24" s="10">
        <f>IF(真實IC!DJ24&gt;真實IC!DJ$25,1,0)</f>
        <v>0</v>
      </c>
      <c r="DK24" s="10">
        <f>IF(真實IC!DK24&gt;真實IC!DK$25,1,0)</f>
        <v>0</v>
      </c>
      <c r="DL24" s="10">
        <f>IF(真實IC!DL24&gt;真實IC!DL$25,1,0)</f>
        <v>1</v>
      </c>
      <c r="DM24" s="10">
        <f>IF(真實IC!DM24&gt;真實IC!DM$25,1,0)</f>
        <v>0</v>
      </c>
      <c r="DN24" s="10">
        <f>IF(真實IC!DN24&gt;真實IC!DN$25,1,0)</f>
        <v>1</v>
      </c>
      <c r="DO24" s="10">
        <f>IF(真實IC!DO24&gt;真實IC!DO$25,1,0)</f>
        <v>1</v>
      </c>
      <c r="DP24" s="10">
        <f>IF(真實IC!DP24&gt;真實IC!DP$25,1,0)</f>
        <v>1</v>
      </c>
      <c r="DQ24" s="10">
        <f>IF(真實IC!DQ24&gt;真實IC!DQ$25,1,0)</f>
        <v>1</v>
      </c>
      <c r="DR24" s="10">
        <f>IF(真實IC!DR24&gt;真實IC!DR$25,1,0)</f>
        <v>0</v>
      </c>
      <c r="DS24" s="10">
        <f>IF(真實IC!DS24&gt;真實IC!DS$25,1,0)</f>
        <v>0</v>
      </c>
      <c r="DT24" s="10">
        <f>IF(真實IC!DT24&gt;真實IC!DT$25,1,0)</f>
        <v>0</v>
      </c>
      <c r="DU24" s="10">
        <f>IF(真實IC!DU24&gt;真實IC!DU$25,1,0)</f>
        <v>1</v>
      </c>
      <c r="DV24" s="10">
        <f>IF(真實IC!DV24&gt;真實IC!DV$25,1,0)</f>
        <v>1</v>
      </c>
      <c r="DW24" s="10">
        <f>IF(真實IC!DW24&gt;真實IC!DW$25,1,0)</f>
        <v>1</v>
      </c>
      <c r="DX24" s="10">
        <f>IF(真實IC!DX24&gt;真實IC!DX$25,1,0)</f>
        <v>0</v>
      </c>
      <c r="DY24" s="10">
        <f>IF(真實IC!DY24&gt;真實IC!DY$25,1,0)</f>
        <v>1</v>
      </c>
      <c r="DZ24" s="10">
        <f>IF(真實IC!DZ24&gt;真實IC!DZ$25,1,0)</f>
        <v>0</v>
      </c>
      <c r="EA24" s="10">
        <f>IF(真實IC!EA24&gt;真實IC!EA$25,1,0)</f>
        <v>0</v>
      </c>
      <c r="EB24" s="10">
        <f>IF(真實IC!EB24&gt;真實IC!EB$25,1,0)</f>
        <v>0</v>
      </c>
      <c r="EC24" s="10">
        <f>IF(真實IC!EC24&gt;真實IC!EC$25,1,0)</f>
        <v>1</v>
      </c>
      <c r="ED24" s="10">
        <f>IF(真實IC!ED24&gt;真實IC!ED$25,1,0)</f>
        <v>1</v>
      </c>
      <c r="EE24" s="10">
        <f>IF(真實IC!EE24&gt;真實IC!EE$25,1,0)</f>
        <v>1</v>
      </c>
      <c r="EF24" s="10">
        <f>IF(真實IC!EF24&gt;真實IC!EF$25,1,0)</f>
        <v>1</v>
      </c>
      <c r="EG24" s="10">
        <f>IF(真實IC!EG24&gt;真實IC!EG$25,1,0)</f>
        <v>1</v>
      </c>
      <c r="EH24" s="10">
        <f>IF(真實IC!EH24&gt;真實IC!EH$25,1,0)</f>
        <v>0</v>
      </c>
      <c r="EI24" s="10">
        <f>IF(真實IC!EI24&gt;真實IC!EI$25,1,0)</f>
        <v>1</v>
      </c>
      <c r="EJ24" s="10">
        <f>IF(真實IC!EJ24&gt;真實IC!EJ$25,1,0)</f>
        <v>1</v>
      </c>
      <c r="EK24" s="10">
        <f>IF(真實IC!EK24&gt;真實IC!EK$25,1,0)</f>
        <v>1</v>
      </c>
      <c r="EL24" s="10">
        <f>IF(真實IC!EL24&gt;真實IC!EL$25,1,0)</f>
        <v>0</v>
      </c>
      <c r="EM24" s="6">
        <f t="shared" si="11"/>
        <v>89</v>
      </c>
      <c r="EN24" s="13">
        <f t="shared" si="12"/>
        <v>0.63571428571428568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1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0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L164"/>
  <sheetViews>
    <sheetView topLeftCell="DU1" zoomScale="130" zoomScaleNormal="130" workbookViewId="0">
      <selection activeCell="EN22" sqref="EN22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14" t="s">
        <v>146</v>
      </c>
      <c r="B6" s="15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14" t="s">
        <v>147</v>
      </c>
      <c r="B10" s="15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1">
        <v>10</v>
      </c>
      <c r="B12" s="11">
        <f t="shared" ref="B12:B24" si="10">ROUND($D$10/A12,0)</f>
        <v>105</v>
      </c>
      <c r="C12" s="2">
        <v>9.8199501924411306E-2</v>
      </c>
      <c r="D12" s="2">
        <f>C12+真實IC!D12</f>
        <v>0.2002592903022179</v>
      </c>
      <c r="E12" s="2">
        <f>D12+真實IC!E12</f>
        <v>0.23986879725366572</v>
      </c>
      <c r="F12" s="2">
        <f>E12+真實IC!F12</f>
        <v>0.26892447941723729</v>
      </c>
      <c r="G12" s="2">
        <f>F12+真實IC!G12</f>
        <v>0.28838936929478143</v>
      </c>
      <c r="H12" s="2">
        <f>G12+真實IC!H12</f>
        <v>0.33135999599960597</v>
      </c>
      <c r="I12" s="2">
        <f>H12+真實IC!I12</f>
        <v>0.37860738008877848</v>
      </c>
      <c r="J12" s="2">
        <f>I12+真實IC!J12</f>
        <v>0.42502170797482075</v>
      </c>
      <c r="K12" s="2">
        <f>J12+真實IC!K12</f>
        <v>0.44868060482105609</v>
      </c>
      <c r="L12" s="2">
        <f>K12+真實IC!L12</f>
        <v>0.47667885191574988</v>
      </c>
      <c r="M12" s="2">
        <f>L12+真實IC!M12</f>
        <v>0.49580180399126783</v>
      </c>
      <c r="N12" s="2">
        <f>M12+真實IC!N12</f>
        <v>0.58136536185456533</v>
      </c>
      <c r="O12" s="2">
        <f>N12+真實IC!O12</f>
        <v>0.59200142641955233</v>
      </c>
      <c r="P12" s="2">
        <f>O12+真實IC!P12</f>
        <v>0.6006625130312373</v>
      </c>
      <c r="Q12" s="2">
        <f>P12+真實IC!Q12</f>
        <v>0.63476921319203483</v>
      </c>
      <c r="R12" s="2">
        <f>Q12+真實IC!R12</f>
        <v>0.63969818240001275</v>
      </c>
      <c r="S12" s="2">
        <f>R12+真實IC!S12</f>
        <v>0.69453593758507803</v>
      </c>
      <c r="T12" s="2">
        <f>S12+真實IC!T12</f>
        <v>0.74712360688090584</v>
      </c>
      <c r="U12" s="2">
        <f>T12+真實IC!U12</f>
        <v>0.76879151262606193</v>
      </c>
      <c r="V12" s="2">
        <f>U12+真實IC!V12</f>
        <v>0.81022026694606786</v>
      </c>
      <c r="W12" s="2">
        <f>V12+真實IC!W12</f>
        <v>0.87393053511065943</v>
      </c>
      <c r="X12" s="2">
        <f>W12+真實IC!X12</f>
        <v>0.97782669147002343</v>
      </c>
      <c r="Y12" s="2">
        <f>X12+真實IC!Y12</f>
        <v>1.0290784724407962</v>
      </c>
      <c r="Z12" s="2">
        <f>Y12+真實IC!Z12</f>
        <v>1.0993088723440096</v>
      </c>
      <c r="AA12" s="2">
        <f>Z12+真實IC!AA12</f>
        <v>1.133434277326886</v>
      </c>
      <c r="AB12" s="2">
        <f>AA12+真實IC!AB12</f>
        <v>1.1517325910227389</v>
      </c>
      <c r="AC12" s="2">
        <f>AB12+真實IC!AC12</f>
        <v>1.1876131310376772</v>
      </c>
      <c r="AD12" s="2">
        <f>AC12+真實IC!AD12</f>
        <v>1.2084695402590471</v>
      </c>
      <c r="AE12" s="2">
        <f>AD12+真實IC!AE12</f>
        <v>1.2544867394438524</v>
      </c>
      <c r="AF12" s="2">
        <f>AE12+真實IC!AF12</f>
        <v>1.2948491427081263</v>
      </c>
      <c r="AG12" s="2">
        <f>AF12+真實IC!AG12</f>
        <v>1.3384869430270776</v>
      </c>
      <c r="AH12" s="2">
        <f>AG12+真實IC!AH12</f>
        <v>1.3622475609543929</v>
      </c>
      <c r="AI12" s="2">
        <f>AH12+真實IC!AI12</f>
        <v>1.3768096146211917</v>
      </c>
      <c r="AJ12" s="2">
        <f>AI12+真實IC!AJ12</f>
        <v>1.3867663426364563</v>
      </c>
      <c r="AK12" s="2">
        <f>AJ12+真實IC!AK12</f>
        <v>1.4237134884542928</v>
      </c>
      <c r="AL12" s="2">
        <f>AK12+真實IC!AL12</f>
        <v>1.4659208595623414</v>
      </c>
      <c r="AM12" s="2">
        <f>AL12+真實IC!AM12</f>
        <v>1.5124345645012536</v>
      </c>
      <c r="AN12" s="2">
        <f>AM12+真實IC!AN12</f>
        <v>1.576787549905057</v>
      </c>
      <c r="AO12" s="2">
        <f>AN12+真實IC!AO12</f>
        <v>1.5949071268956538</v>
      </c>
      <c r="AP12" s="2">
        <f>AO12+真實IC!AP12</f>
        <v>1.6241646006812192</v>
      </c>
      <c r="AQ12" s="2">
        <f>AP12+真實IC!AQ12</f>
        <v>1.6388124318276829</v>
      </c>
      <c r="AR12" s="2">
        <f>AQ12+真實IC!AR12</f>
        <v>1.6663756352870855</v>
      </c>
      <c r="AS12" s="2">
        <f>AR12+真實IC!AS12</f>
        <v>1.7002120446719227</v>
      </c>
      <c r="AT12" s="2">
        <f>AS12+真實IC!AT12</f>
        <v>1.7788356101896172</v>
      </c>
      <c r="AU12" s="2">
        <f>AT12+真實IC!AU12</f>
        <v>1.8541805360645469</v>
      </c>
      <c r="AV12" s="2">
        <f>AU12+真實IC!AV12</f>
        <v>1.9159135828456051</v>
      </c>
      <c r="AW12" s="2">
        <f>AV12+真實IC!AW12</f>
        <v>1.9467335493355784</v>
      </c>
      <c r="AX12" s="2">
        <f>AW12+真實IC!AX12</f>
        <v>2.0100418832412319</v>
      </c>
      <c r="AY12" s="2">
        <f>AX12+真實IC!AY12</f>
        <v>2.0210875407858762</v>
      </c>
      <c r="AZ12" s="2">
        <f>AY12+真實IC!AZ12</f>
        <v>2.0780548474525857</v>
      </c>
      <c r="BA12" s="2">
        <f>AZ12+真實IC!BA12</f>
        <v>2.1617433504472494</v>
      </c>
      <c r="BB12" s="2">
        <f>BA12+真實IC!BB12</f>
        <v>2.2234059439757092</v>
      </c>
      <c r="BC12" s="2">
        <f>BB12+真實IC!BC12</f>
        <v>2.2370848221922341</v>
      </c>
      <c r="BD12" s="2">
        <f>BC12+真實IC!BD12</f>
        <v>2.291625300887798</v>
      </c>
      <c r="BE12" s="2">
        <f>BD12+真實IC!BE12</f>
        <v>2.3547551850843687</v>
      </c>
      <c r="BF12" s="2">
        <f>BE12+真實IC!BF12</f>
        <v>2.4234827876829117</v>
      </c>
      <c r="BG12" s="2">
        <f>BF12+真實IC!BG12</f>
        <v>2.4987272574914168</v>
      </c>
      <c r="BH12" s="2">
        <f>BG12+真實IC!BH12</f>
        <v>2.5601080117319506</v>
      </c>
      <c r="BI12" s="2">
        <f>BH12+真實IC!BI12</f>
        <v>2.6139383598523396</v>
      </c>
      <c r="BJ12" s="2">
        <f>BI12+真實IC!BJ12</f>
        <v>2.660931924410979</v>
      </c>
      <c r="BK12" s="2">
        <f>BJ12+真實IC!BK12</f>
        <v>2.6925968964637113</v>
      </c>
      <c r="BL12" s="2">
        <f>BK12+真實IC!BL12</f>
        <v>2.7346396364645122</v>
      </c>
      <c r="BM12" s="2">
        <f>BL12+真實IC!BM12</f>
        <v>2.7773159968997025</v>
      </c>
      <c r="BN12" s="2">
        <f>BM12+真實IC!BN12</f>
        <v>2.8196381120378686</v>
      </c>
      <c r="BO12" s="2">
        <f>BN12+真實IC!BO12</f>
        <v>2.8460306534700406</v>
      </c>
      <c r="BP12" s="2">
        <f>BO12+真實IC!BP12</f>
        <v>2.8694317893577237</v>
      </c>
      <c r="BQ12" s="2">
        <f>BP12+真實IC!BQ12</f>
        <v>2.8871615469816803</v>
      </c>
      <c r="BR12" s="2">
        <f>BQ12+真實IC!BR12</f>
        <v>2.9481640963509927</v>
      </c>
      <c r="BS12" s="2">
        <f>BR12+真實IC!BS12</f>
        <v>2.9727908404421224</v>
      </c>
      <c r="BT12" s="2">
        <f>BS12+真實IC!BT12</f>
        <v>3.0015137050725169</v>
      </c>
      <c r="BU12" s="2">
        <f>BT12+真實IC!BU12</f>
        <v>3.0374752709390789</v>
      </c>
      <c r="BV12" s="2">
        <f>BU12+真實IC!BV12</f>
        <v>3.0792375446562166</v>
      </c>
      <c r="BW12" s="2">
        <f>BV12+真實IC!BW12</f>
        <v>3.1218948079779425</v>
      </c>
      <c r="BX12" s="2">
        <f>BW12+真實IC!BX12</f>
        <v>3.1275163090650793</v>
      </c>
      <c r="BY12" s="2">
        <f>BX12+真實IC!BY12</f>
        <v>3.1777903002049066</v>
      </c>
      <c r="BZ12" s="2">
        <f>BY12+真實IC!BZ12</f>
        <v>3.2224370597580219</v>
      </c>
      <c r="CA12" s="2">
        <f>BZ12+真實IC!CA12</f>
        <v>3.2824097584648166</v>
      </c>
      <c r="CB12" s="2">
        <f>CA12+真實IC!CB12</f>
        <v>3.3466419580630178</v>
      </c>
      <c r="CC12" s="2">
        <f>CB12+真實IC!CC12</f>
        <v>3.3799724634633761</v>
      </c>
      <c r="CD12" s="2">
        <f>CC12+真實IC!CD12</f>
        <v>3.4558557883020673</v>
      </c>
      <c r="CE12" s="2">
        <f>CD12+真實IC!CE12</f>
        <v>3.5769856409871581</v>
      </c>
      <c r="CF12" s="2">
        <f>CE12+真實IC!CF12</f>
        <v>3.5930798755636895</v>
      </c>
      <c r="CG12" s="2">
        <f>CF12+真實IC!CG12</f>
        <v>3.6336447436910166</v>
      </c>
      <c r="CH12" s="2">
        <f>CG12+真實IC!CH12</f>
        <v>3.7159975927720765</v>
      </c>
      <c r="CI12" s="2">
        <f>CH12+真實IC!CI12</f>
        <v>3.7308201735070354</v>
      </c>
      <c r="CJ12" s="2">
        <f>CI12+真實IC!CJ12</f>
        <v>3.7937251796912093</v>
      </c>
      <c r="CK12" s="2">
        <f>CJ12+真實IC!CK12</f>
        <v>3.8581128833989853</v>
      </c>
      <c r="CL12" s="2">
        <f>CK12+真實IC!CL12</f>
        <v>4.0055373722295293</v>
      </c>
      <c r="CM12" s="2">
        <f>CL12+真實IC!CM12</f>
        <v>4.0795648431288249</v>
      </c>
      <c r="CN12" s="2">
        <f>CM12+真實IC!CN12</f>
        <v>4.1922840777872512</v>
      </c>
      <c r="CO12" s="2">
        <f>CN12+真實IC!CO12</f>
        <v>4.2776857396268735</v>
      </c>
      <c r="CP12" s="2">
        <f>CO12+真實IC!CP12</f>
        <v>4.3239248664575394</v>
      </c>
      <c r="CQ12" s="2">
        <f>CP12+真實IC!CQ12</f>
        <v>4.3891390045947904</v>
      </c>
      <c r="CR12" s="2">
        <f>CQ12+真實IC!CR12</f>
        <v>4.4592869718714887</v>
      </c>
      <c r="CS12" s="2">
        <f>CR12+真實IC!CS12</f>
        <v>4.5000425094858114</v>
      </c>
      <c r="CT12" s="2">
        <f>CS12+真實IC!CT12</f>
        <v>4.5308325452522551</v>
      </c>
      <c r="CU12" s="2">
        <f>CT12+真實IC!CU12</f>
        <v>4.6192255358659793</v>
      </c>
      <c r="CV12" s="2">
        <f>CU12+真實IC!CV12</f>
        <v>4.6923416136740626</v>
      </c>
      <c r="CW12" s="2">
        <f>CV12+真實IC!CW12</f>
        <v>4.7317532061446475</v>
      </c>
      <c r="CX12" s="2">
        <f>CW12+真實IC!CX12</f>
        <v>4.8149439513973871</v>
      </c>
      <c r="CY12" s="2">
        <f>CX12+真實IC!CY12</f>
        <v>4.8546389393857963</v>
      </c>
      <c r="CZ12" s="2">
        <f>CY12+真實IC!CZ12</f>
        <v>4.9712990319752004</v>
      </c>
      <c r="DA12" s="2">
        <f>CZ12+真實IC!DA12</f>
        <v>5.0103575283682851</v>
      </c>
      <c r="DB12" s="2">
        <f>DA12+真實IC!DB12</f>
        <v>5.081028319104397</v>
      </c>
      <c r="DC12" s="2">
        <f>DB12+真實IC!DC12</f>
        <v>5.1170823385487045</v>
      </c>
      <c r="DD12" s="2">
        <f>DC12+真實IC!DD12</f>
        <v>5.1584398331699344</v>
      </c>
      <c r="DE12" s="2">
        <f>DD12+真實IC!DE12</f>
        <v>5.1861737280813109</v>
      </c>
      <c r="DF12" s="2">
        <f>DE12+真實IC!DF12</f>
        <v>5.2421634779471669</v>
      </c>
      <c r="DG12" s="2">
        <f>DF12+真實IC!DG12</f>
        <v>5.2797324150029254</v>
      </c>
      <c r="DH12" s="2">
        <f>DG12+真實IC!DH12</f>
        <v>5.3250405914265393</v>
      </c>
      <c r="DI12" s="2">
        <f>DH12+真實IC!DI12</f>
        <v>5.3929162189041921</v>
      </c>
      <c r="DJ12" s="2">
        <f>DI12+真實IC!DJ12</f>
        <v>5.4091322500763486</v>
      </c>
      <c r="DK12" s="2">
        <f>DJ12+真實IC!DK12</f>
        <v>5.4513466476741153</v>
      </c>
      <c r="DL12" s="2">
        <f>DK12+真實IC!DL12</f>
        <v>5.4895660543457927</v>
      </c>
      <c r="DM12" s="2">
        <f>DL12+真實IC!DM12</f>
        <v>5.5217684481637068</v>
      </c>
      <c r="DN12" s="2">
        <f>DM12+真實IC!DN12</f>
        <v>5.5441819336334106</v>
      </c>
      <c r="DO12" s="2">
        <f>DN12+真實IC!DO12</f>
        <v>5.5802439307359046</v>
      </c>
      <c r="DP12" s="2">
        <f>DO12+真實IC!DP12</f>
        <v>5.6516080909609716</v>
      </c>
      <c r="DQ12" s="2">
        <f>DP12+真實IC!DQ12</f>
        <v>5.7209625662571604</v>
      </c>
      <c r="DR12" s="2">
        <f>DQ12+真實IC!DR12</f>
        <v>5.7445123266426439</v>
      </c>
      <c r="DS12" s="2">
        <f>DR12+真實IC!DS12</f>
        <v>5.826163886155558</v>
      </c>
      <c r="DT12" s="2">
        <f>DS12+真實IC!DT12</f>
        <v>5.8686840341474769</v>
      </c>
      <c r="DU12" s="2">
        <f>DT12+真實IC!DU12</f>
        <v>5.9210631291599682</v>
      </c>
      <c r="DV12" s="2">
        <f>DU12+真實IC!DV12</f>
        <v>5.9691898914234356</v>
      </c>
      <c r="DW12" s="2">
        <f>DV12+真實IC!DW12</f>
        <v>6.0316586443429845</v>
      </c>
      <c r="DX12" s="2">
        <f>DW12+真實IC!DX12</f>
        <v>6.0871142002255239</v>
      </c>
      <c r="DY12" s="2">
        <f>DX12+真實IC!DY12</f>
        <v>6.1436114700467188</v>
      </c>
      <c r="DZ12" s="2">
        <f>DY12+真實IC!DZ12</f>
        <v>6.1641119395772703</v>
      </c>
      <c r="EA12" s="2">
        <f>DZ12+真實IC!EA12</f>
        <v>6.2999878972801744</v>
      </c>
      <c r="EB12" s="2">
        <f>EA12+真實IC!EB12</f>
        <v>6.3358525713387026</v>
      </c>
      <c r="EC12" s="2">
        <f>EB12+真實IC!EC12</f>
        <v>6.3705119370694572</v>
      </c>
      <c r="ED12" s="2">
        <f>EC12+真實IC!ED12</f>
        <v>6.4142592197206989</v>
      </c>
      <c r="EE12" s="2">
        <f>ED12+真實IC!EE12</f>
        <v>6.4545145861631399</v>
      </c>
      <c r="EF12" s="2">
        <f>EE12+真實IC!EF12</f>
        <v>6.5062982947717023</v>
      </c>
      <c r="EG12" s="2">
        <f>EF12+真實IC!EG12</f>
        <v>6.6043245311305778</v>
      </c>
      <c r="EH12" s="2">
        <f>EG12+真實IC!EH12</f>
        <v>6.6177551922750855</v>
      </c>
      <c r="EI12" s="2">
        <f>EH12+真實IC!EI12</f>
        <v>6.6341889217321137</v>
      </c>
      <c r="EJ12" s="2">
        <f>EI12+真實IC!EJ12</f>
        <v>6.7004331309032112</v>
      </c>
      <c r="EK12" s="2">
        <f>EJ12+真實IC!EK12</f>
        <v>6.75288171063346</v>
      </c>
      <c r="EL12" s="2">
        <f>EK12+真實IC!EL12</f>
        <v>6.7908089688441375</v>
      </c>
    </row>
    <row r="13" spans="1:142" x14ac:dyDescent="0.3">
      <c r="A13" s="11">
        <v>20</v>
      </c>
      <c r="B13" s="11">
        <f t="shared" si="10"/>
        <v>53</v>
      </c>
      <c r="C13" s="2">
        <v>0.12107776166471761</v>
      </c>
      <c r="D13" s="2">
        <f>C13+真實IC!D13</f>
        <v>0.25190549423931863</v>
      </c>
      <c r="E13" s="2">
        <f>D13+真實IC!E13</f>
        <v>0.2908666957348981</v>
      </c>
      <c r="F13" s="2">
        <f>E13+真實IC!F13</f>
        <v>0.31509780584269087</v>
      </c>
      <c r="G13" s="2">
        <f>F13+真實IC!G13</f>
        <v>0.33090402694338289</v>
      </c>
      <c r="H13" s="2">
        <f>G13+真實IC!H13</f>
        <v>0.39011115204687902</v>
      </c>
      <c r="I13" s="2">
        <f>H13+真實IC!I13</f>
        <v>0.44841997666587768</v>
      </c>
      <c r="J13" s="2">
        <f>I13+真實IC!J13</f>
        <v>0.49432274947091304</v>
      </c>
      <c r="K13" s="2">
        <f>J13+真實IC!K13</f>
        <v>0.56144932679464588</v>
      </c>
      <c r="L13" s="2">
        <f>K13+真實IC!L13</f>
        <v>0.58426392902543067</v>
      </c>
      <c r="M13" s="2">
        <f>L13+真實IC!M13</f>
        <v>0.59084799680212052</v>
      </c>
      <c r="N13" s="2">
        <f>M13+真實IC!N13</f>
        <v>0.71561715827228578</v>
      </c>
      <c r="O13" s="2">
        <f>N13+真實IC!O13</f>
        <v>0.73045492332314521</v>
      </c>
      <c r="P13" s="2">
        <f>O13+真實IC!P13</f>
        <v>0.74509990834072204</v>
      </c>
      <c r="Q13" s="2">
        <f>P13+真實IC!Q13</f>
        <v>0.78004094027967019</v>
      </c>
      <c r="R13" s="2">
        <f>Q13+真實IC!R13</f>
        <v>0.77265275743251194</v>
      </c>
      <c r="S13" s="2">
        <f>R13+真實IC!S13</f>
        <v>0.83935781338902804</v>
      </c>
      <c r="T13" s="2">
        <f>S13+真實IC!T13</f>
        <v>0.9172068243547401</v>
      </c>
      <c r="U13" s="2">
        <f>T13+真實IC!U13</f>
        <v>0.96428926633070755</v>
      </c>
      <c r="V13" s="2">
        <f>U13+真實IC!V13</f>
        <v>1.0215783933816891</v>
      </c>
      <c r="W13" s="2">
        <f>V13+真實IC!W13</f>
        <v>1.1108269300541129</v>
      </c>
      <c r="X13" s="2">
        <f>W13+真實IC!X13</f>
        <v>1.2532241898998464</v>
      </c>
      <c r="Y13" s="2">
        <f>X13+真實IC!Y13</f>
        <v>1.2729308165036493</v>
      </c>
      <c r="Z13" s="2">
        <f>Y13+真實IC!Z13</f>
        <v>1.3753280468177937</v>
      </c>
      <c r="AA13" s="2">
        <f>Z13+真實IC!AA13</f>
        <v>1.415853455684329</v>
      </c>
      <c r="AB13" s="2">
        <f>AA13+真實IC!AB13</f>
        <v>1.4592471538223115</v>
      </c>
      <c r="AC13" s="2">
        <f>AB13+真實IC!AC13</f>
        <v>1.490721094881563</v>
      </c>
      <c r="AD13" s="2">
        <f>AC13+真實IC!AD13</f>
        <v>1.5049252392661645</v>
      </c>
      <c r="AE13" s="2">
        <f>AD13+真實IC!AE13</f>
        <v>1.5674452097940179</v>
      </c>
      <c r="AF13" s="2">
        <f>AE13+真實IC!AF13</f>
        <v>1.6307076619206406</v>
      </c>
      <c r="AG13" s="2">
        <f>AF13+真實IC!AG13</f>
        <v>1.661663997184015</v>
      </c>
      <c r="AH13" s="2">
        <f>AG13+真實IC!AH13</f>
        <v>1.6870992882139593</v>
      </c>
      <c r="AI13" s="2">
        <f>AH13+真實IC!AI13</f>
        <v>1.7096581038554755</v>
      </c>
      <c r="AJ13" s="2">
        <f>AI13+真實IC!AJ13</f>
        <v>1.7440879819094413</v>
      </c>
      <c r="AK13" s="2">
        <f>AJ13+真實IC!AK13</f>
        <v>1.7940450893675013</v>
      </c>
      <c r="AL13" s="2">
        <f>AK13+真實IC!AL13</f>
        <v>1.8383688509463176</v>
      </c>
      <c r="AM13" s="2">
        <f>AL13+真實IC!AM13</f>
        <v>1.8730200709872997</v>
      </c>
      <c r="AN13" s="2">
        <f>AM13+真實IC!AN13</f>
        <v>1.9686291018317998</v>
      </c>
      <c r="AO13" s="2">
        <f>AN13+真實IC!AO13</f>
        <v>1.9719662852451969</v>
      </c>
      <c r="AP13" s="2">
        <f>AO13+真實IC!AP13</f>
        <v>2.0208653839805808</v>
      </c>
      <c r="AQ13" s="2">
        <f>AP13+真實IC!AQ13</f>
        <v>2.0304530406116066</v>
      </c>
      <c r="AR13" s="2">
        <f>AQ13+真實IC!AR13</f>
        <v>2.0419550617106053</v>
      </c>
      <c r="AS13" s="2">
        <f>AR13+真實IC!AS13</f>
        <v>2.0660409098260115</v>
      </c>
      <c r="AT13" s="2">
        <f>AS13+真實IC!AT13</f>
        <v>2.1944601487849384</v>
      </c>
      <c r="AU13" s="2">
        <f>AT13+真實IC!AU13</f>
        <v>2.2686977922140144</v>
      </c>
      <c r="AV13" s="2">
        <f>AU13+真實IC!AV13</f>
        <v>2.3491844204516394</v>
      </c>
      <c r="AW13" s="2">
        <f>AV13+真實IC!AW13</f>
        <v>2.3934233654782933</v>
      </c>
      <c r="AX13" s="2">
        <f>AW13+真實IC!AX13</f>
        <v>2.4764097398478038</v>
      </c>
      <c r="AY13" s="2">
        <f>AX13+真實IC!AY13</f>
        <v>2.4821527630351334</v>
      </c>
      <c r="AZ13" s="2">
        <f>AY13+真實IC!AZ13</f>
        <v>2.5552530763260837</v>
      </c>
      <c r="BA13" s="2">
        <f>AZ13+真實IC!BA13</f>
        <v>2.6348324432274057</v>
      </c>
      <c r="BB13" s="2">
        <f>BA13+真實IC!BB13</f>
        <v>2.7195734892100996</v>
      </c>
      <c r="BC13" s="2">
        <f>BB13+真實IC!BC13</f>
        <v>2.7229778573769172</v>
      </c>
      <c r="BD13" s="2">
        <f>BC13+真實IC!BD13</f>
        <v>2.7549887613245949</v>
      </c>
      <c r="BE13" s="2">
        <f>BD13+真實IC!BE13</f>
        <v>2.81619223397115</v>
      </c>
      <c r="BF13" s="2">
        <f>BE13+真實IC!BF13</f>
        <v>2.9355806979903529</v>
      </c>
      <c r="BG13" s="2">
        <f>BF13+真實IC!BG13</f>
        <v>3.0464924590287379</v>
      </c>
      <c r="BH13" s="2">
        <f>BG13+真實IC!BH13</f>
        <v>3.1466157510597967</v>
      </c>
      <c r="BI13" s="2">
        <f>BH13+真實IC!BI13</f>
        <v>3.2179143193671673</v>
      </c>
      <c r="BJ13" s="2">
        <f>BI13+真實IC!BJ13</f>
        <v>3.2600120483700321</v>
      </c>
      <c r="BK13" s="2">
        <f>BJ13+真實IC!BK13</f>
        <v>3.2728713982461346</v>
      </c>
      <c r="BL13" s="2">
        <f>BK13+真實IC!BL13</f>
        <v>3.3115421552312263</v>
      </c>
      <c r="BM13" s="2">
        <f>BL13+真實IC!BM13</f>
        <v>3.3475779103595191</v>
      </c>
      <c r="BN13" s="2">
        <f>BM13+真實IC!BN13</f>
        <v>3.3894297314152579</v>
      </c>
      <c r="BO13" s="2">
        <f>BN13+真實IC!BO13</f>
        <v>3.419703711507863</v>
      </c>
      <c r="BP13" s="2">
        <f>BO13+真實IC!BP13</f>
        <v>3.4357338480985207</v>
      </c>
      <c r="BQ13" s="2">
        <f>BP13+真實IC!BQ13</f>
        <v>3.4407749661459994</v>
      </c>
      <c r="BR13" s="2">
        <f>BQ13+真實IC!BR13</f>
        <v>3.5000817411755709</v>
      </c>
      <c r="BS13" s="2">
        <f>BR13+真實IC!BS13</f>
        <v>3.5220864535927401</v>
      </c>
      <c r="BT13" s="2">
        <f>BS13+真實IC!BT13</f>
        <v>3.5307065219778488</v>
      </c>
      <c r="BU13" s="2">
        <f>BT13+真實IC!BU13</f>
        <v>3.5815996165934192</v>
      </c>
      <c r="BV13" s="2">
        <f>BU13+真實IC!BV13</f>
        <v>3.63714138034325</v>
      </c>
      <c r="BW13" s="2">
        <f>BV13+真實IC!BW13</f>
        <v>3.7072826376461396</v>
      </c>
      <c r="BX13" s="2">
        <f>BW13+真實IC!BX13</f>
        <v>3.7219869263447851</v>
      </c>
      <c r="BY13" s="2">
        <f>BX13+真實IC!BY13</f>
        <v>3.7946948939479475</v>
      </c>
      <c r="BZ13" s="2">
        <f>BY13+真實IC!BZ13</f>
        <v>3.8426368953596066</v>
      </c>
      <c r="CA13" s="2">
        <f>BZ13+真實IC!CA13</f>
        <v>3.9038732699754033</v>
      </c>
      <c r="CB13" s="2">
        <f>CA13+真實IC!CB13</f>
        <v>4.0153947956205815</v>
      </c>
      <c r="CC13" s="2">
        <f>CB13+真實IC!CC13</f>
        <v>4.0531457952364489</v>
      </c>
      <c r="CD13" s="2">
        <f>CC13+真實IC!CD13</f>
        <v>4.1422863677323924</v>
      </c>
      <c r="CE13" s="2">
        <f>CD13+真實IC!CE13</f>
        <v>4.294166576034125</v>
      </c>
      <c r="CF13" s="2">
        <f>CE13+真實IC!CF13</f>
        <v>4.3191593332831602</v>
      </c>
      <c r="CG13" s="2">
        <f>CF13+真實IC!CG13</f>
        <v>4.3859538549401176</v>
      </c>
      <c r="CH13" s="2">
        <f>CG13+真實IC!CH13</f>
        <v>4.4948590223629514</v>
      </c>
      <c r="CI13" s="2">
        <f>CH13+真實IC!CI13</f>
        <v>4.5245630266175718</v>
      </c>
      <c r="CJ13" s="2">
        <f>CI13+真實IC!CJ13</f>
        <v>4.5969716722221827</v>
      </c>
      <c r="CK13" s="2">
        <f>CJ13+真實IC!CK13</f>
        <v>4.6375784079436491</v>
      </c>
      <c r="CL13" s="2">
        <f>CK13+真實IC!CL13</f>
        <v>4.78349515579258</v>
      </c>
      <c r="CM13" s="2">
        <f>CL13+真實IC!CM13</f>
        <v>4.8648595836572497</v>
      </c>
      <c r="CN13" s="2">
        <f>CM13+真實IC!CN13</f>
        <v>4.9672170391075126</v>
      </c>
      <c r="CO13" s="2">
        <f>CN13+真實IC!CO13</f>
        <v>5.06852862520548</v>
      </c>
      <c r="CP13" s="2">
        <f>CO13+真實IC!CP13</f>
        <v>5.1307489214501105</v>
      </c>
      <c r="CQ13" s="2">
        <f>CP13+真實IC!CQ13</f>
        <v>5.2012960460063757</v>
      </c>
      <c r="CR13" s="2">
        <f>CQ13+真實IC!CR13</f>
        <v>5.3053350252649336</v>
      </c>
      <c r="CS13" s="2">
        <f>CR13+真實IC!CS13</f>
        <v>5.3413146783203667</v>
      </c>
      <c r="CT13" s="2">
        <f>CS13+真實IC!CT13</f>
        <v>5.3881944127952428</v>
      </c>
      <c r="CU13" s="2">
        <f>CT13+真實IC!CU13</f>
        <v>5.5092935385264203</v>
      </c>
      <c r="CV13" s="2">
        <f>CU13+真實IC!CV13</f>
        <v>5.5892079745101801</v>
      </c>
      <c r="CW13" s="2">
        <f>CV13+真實IC!CW13</f>
        <v>5.6415037287668106</v>
      </c>
      <c r="CX13" s="2">
        <f>CW13+真實IC!CX13</f>
        <v>5.7155441956193132</v>
      </c>
      <c r="CY13" s="2">
        <f>CX13+真實IC!CY13</f>
        <v>5.7589538956779238</v>
      </c>
      <c r="CZ13" s="2">
        <f>CY13+真實IC!CZ13</f>
        <v>5.8876384380189464</v>
      </c>
      <c r="DA13" s="2">
        <f>CZ13+真實IC!DA13</f>
        <v>5.9114810228070835</v>
      </c>
      <c r="DB13" s="2">
        <f>DA13+真實IC!DB13</f>
        <v>6.022270037531853</v>
      </c>
      <c r="DC13" s="2">
        <f>DB13+真實IC!DC13</f>
        <v>6.0712376937119892</v>
      </c>
      <c r="DD13" s="2">
        <f>DC13+真實IC!DD13</f>
        <v>6.1532926732955735</v>
      </c>
      <c r="DE13" s="2">
        <f>DD13+真實IC!DE13</f>
        <v>6.1869761391097047</v>
      </c>
      <c r="DF13" s="2">
        <f>DE13+真實IC!DF13</f>
        <v>6.2653496817964953</v>
      </c>
      <c r="DG13" s="2">
        <f>DF13+真實IC!DG13</f>
        <v>6.3038597442949902</v>
      </c>
      <c r="DH13" s="2">
        <f>DG13+真實IC!DH13</f>
        <v>6.3704449904933993</v>
      </c>
      <c r="DI13" s="2">
        <f>DH13+真實IC!DI13</f>
        <v>6.4366588619430747</v>
      </c>
      <c r="DJ13" s="2">
        <f>DI13+真實IC!DJ13</f>
        <v>6.4679035285115836</v>
      </c>
      <c r="DK13" s="2">
        <f>DJ13+真實IC!DK13</f>
        <v>6.504311351149406</v>
      </c>
      <c r="DL13" s="2">
        <f>DK13+真實IC!DL13</f>
        <v>6.550451639746834</v>
      </c>
      <c r="DM13" s="2">
        <f>DL13+真實IC!DM13</f>
        <v>6.6006821513533938</v>
      </c>
      <c r="DN13" s="2">
        <f>DM13+真實IC!DN13</f>
        <v>6.6338676150137399</v>
      </c>
      <c r="DO13" s="2">
        <f>DN13+真實IC!DO13</f>
        <v>6.698486334795466</v>
      </c>
      <c r="DP13" s="2">
        <f>DO13+真實IC!DP13</f>
        <v>6.8096935338456701</v>
      </c>
      <c r="DQ13" s="2">
        <f>DP13+真實IC!DQ13</f>
        <v>6.8974265982020952</v>
      </c>
      <c r="DR13" s="2">
        <f>DQ13+真實IC!DR13</f>
        <v>6.908816172067147</v>
      </c>
      <c r="DS13" s="2">
        <f>DR13+真實IC!DS13</f>
        <v>6.9881925409265166</v>
      </c>
      <c r="DT13" s="2">
        <f>DS13+真實IC!DT13</f>
        <v>7.0298792094356184</v>
      </c>
      <c r="DU13" s="2">
        <f>DT13+真實IC!DU13</f>
        <v>7.0531793915034013</v>
      </c>
      <c r="DV13" s="2">
        <f>DU13+真實IC!DV13</f>
        <v>7.1255822102171784</v>
      </c>
      <c r="DW13" s="2">
        <f>DV13+真實IC!DW13</f>
        <v>7.2127042317374332</v>
      </c>
      <c r="DX13" s="2">
        <f>DW13+真實IC!DX13</f>
        <v>7.2672050083056137</v>
      </c>
      <c r="DY13" s="2">
        <f>DX13+真實IC!DY13</f>
        <v>7.3458833612977683</v>
      </c>
      <c r="DZ13" s="2">
        <f>DY13+真實IC!DZ13</f>
        <v>7.3408157381784447</v>
      </c>
      <c r="EA13" s="2">
        <f>DZ13+真實IC!EA13</f>
        <v>7.4715188643455885</v>
      </c>
      <c r="EB13" s="2">
        <f>EA13+真實IC!EB13</f>
        <v>7.5304421598098363</v>
      </c>
      <c r="EC13" s="2">
        <f>EB13+真實IC!EC13</f>
        <v>7.5412864967589863</v>
      </c>
      <c r="ED13" s="2">
        <f>EC13+真實IC!ED13</f>
        <v>7.6018513160648684</v>
      </c>
      <c r="EE13" s="2">
        <f>ED13+真實IC!EE13</f>
        <v>7.6456036702253805</v>
      </c>
      <c r="EF13" s="2">
        <f>EE13+真實IC!EF13</f>
        <v>7.702158102865921</v>
      </c>
      <c r="EG13" s="2">
        <f>EF13+真實IC!EG13</f>
        <v>7.819028283553985</v>
      </c>
      <c r="EH13" s="2">
        <f>EG13+真實IC!EH13</f>
        <v>7.8385258683249228</v>
      </c>
      <c r="EI13" s="2">
        <f>EH13+真實IC!EI13</f>
        <v>7.8623458427078656</v>
      </c>
      <c r="EJ13" s="2">
        <f>EI13+真實IC!EJ13</f>
        <v>7.9423728110883971</v>
      </c>
      <c r="EK13" s="2">
        <f>EJ13+真實IC!EK13</f>
        <v>8.0010934041278912</v>
      </c>
      <c r="EL13" s="2">
        <f>EK13+真實IC!EL13</f>
        <v>8.0309207769754458</v>
      </c>
    </row>
    <row r="14" spans="1:142" x14ac:dyDescent="0.3">
      <c r="A14" s="11">
        <v>50</v>
      </c>
      <c r="B14" s="11">
        <f t="shared" si="10"/>
        <v>21</v>
      </c>
      <c r="C14" s="2">
        <v>0.13220513330973041</v>
      </c>
      <c r="D14" s="2">
        <f>C14+真實IC!D14</f>
        <v>0.29635559593892979</v>
      </c>
      <c r="E14" s="2">
        <f>D14+真實IC!E14</f>
        <v>0.34622419154853451</v>
      </c>
      <c r="F14" s="2">
        <f>E14+真實IC!F14</f>
        <v>0.35263536143674928</v>
      </c>
      <c r="G14" s="2">
        <f>F14+真實IC!G14</f>
        <v>0.3964298444776761</v>
      </c>
      <c r="H14" s="2">
        <f>G14+真實IC!H14</f>
        <v>0.42855066005506343</v>
      </c>
      <c r="I14" s="2">
        <f>H14+真實IC!I14</f>
        <v>0.48580308199712297</v>
      </c>
      <c r="J14" s="2">
        <f>I14+真實IC!J14</f>
        <v>0.5421993285884098</v>
      </c>
      <c r="K14" s="2">
        <f>J14+真實IC!K14</f>
        <v>0.58687858746230215</v>
      </c>
      <c r="L14" s="2">
        <f>K14+真實IC!L14</f>
        <v>0.58145820056391273</v>
      </c>
      <c r="M14" s="2">
        <f>L14+真實IC!M14</f>
        <v>0.61820010067659081</v>
      </c>
      <c r="N14" s="2">
        <f>M14+真實IC!N14</f>
        <v>0.71424503998545785</v>
      </c>
      <c r="O14" s="2">
        <f>N14+真實IC!O14</f>
        <v>0.69050459917545681</v>
      </c>
      <c r="P14" s="2">
        <f>O14+真實IC!P14</f>
        <v>0.67746075542551265</v>
      </c>
      <c r="Q14" s="2">
        <f>P14+真實IC!Q14</f>
        <v>0.7497897502766826</v>
      </c>
      <c r="R14" s="2">
        <f>Q14+真實IC!R14</f>
        <v>0.76263035397262702</v>
      </c>
      <c r="S14" s="2">
        <f>R14+真實IC!S14</f>
        <v>0.7928036788244347</v>
      </c>
      <c r="T14" s="2">
        <f>S14+真實IC!T14</f>
        <v>0.85438783364506976</v>
      </c>
      <c r="U14" s="2">
        <f>T14+真實IC!U14</f>
        <v>0.93564479468498696</v>
      </c>
      <c r="V14" s="2">
        <f>U14+真實IC!V14</f>
        <v>0.95168653536311698</v>
      </c>
      <c r="W14" s="2">
        <f>V14+真實IC!W14</f>
        <v>1.0506931773098167</v>
      </c>
      <c r="X14" s="2">
        <f>W14+真實IC!X14</f>
        <v>1.2138178439853564</v>
      </c>
      <c r="Y14" s="2">
        <f>X14+真實IC!Y14</f>
        <v>1.2114743772019778</v>
      </c>
      <c r="Z14" s="2">
        <f>Y14+真實IC!Z14</f>
        <v>1.3025485212383281</v>
      </c>
      <c r="AA14" s="2">
        <f>Z14+真實IC!AA14</f>
        <v>1.3734186951645464</v>
      </c>
      <c r="AB14" s="2">
        <f>AA14+真實IC!AB14</f>
        <v>1.4188259173012896</v>
      </c>
      <c r="AC14" s="2">
        <f>AB14+真實IC!AC14</f>
        <v>1.4193533983740336</v>
      </c>
      <c r="AD14" s="2">
        <f>AC14+真實IC!AD14</f>
        <v>1.4116916175118539</v>
      </c>
      <c r="AE14" s="2">
        <f>AD14+真實IC!AE14</f>
        <v>1.4969495065765688</v>
      </c>
      <c r="AF14" s="2">
        <f>AE14+真實IC!AF14</f>
        <v>1.5829782810180848</v>
      </c>
      <c r="AG14" s="2">
        <f>AF14+真實IC!AG14</f>
        <v>1.6519685917521834</v>
      </c>
      <c r="AH14" s="2">
        <f>AG14+真實IC!AH14</f>
        <v>1.6597827531951785</v>
      </c>
      <c r="AI14" s="2">
        <f>AH14+真實IC!AI14</f>
        <v>1.6935070633079508</v>
      </c>
      <c r="AJ14" s="2">
        <f>AI14+真實IC!AJ14</f>
        <v>1.7179154485415729</v>
      </c>
      <c r="AK14" s="2">
        <f>AJ14+真實IC!AK14</f>
        <v>1.7495661617638198</v>
      </c>
      <c r="AL14" s="2">
        <f>AK14+真實IC!AL14</f>
        <v>1.7989386879589193</v>
      </c>
      <c r="AM14" s="2">
        <f>AL14+真實IC!AM14</f>
        <v>1.8516863198861637</v>
      </c>
      <c r="AN14" s="2">
        <f>AM14+真實IC!AN14</f>
        <v>1.950914227384493</v>
      </c>
      <c r="AO14" s="2">
        <f>AN14+真實IC!AO14</f>
        <v>1.9832103989145562</v>
      </c>
      <c r="AP14" s="2">
        <f>AO14+真實IC!AP14</f>
        <v>2.0519782837001106</v>
      </c>
      <c r="AQ14" s="2">
        <f>AP14+真實IC!AQ14</f>
        <v>2.0669098416932132</v>
      </c>
      <c r="AR14" s="2">
        <f>AQ14+真實IC!AR14</f>
        <v>2.1432314780173929</v>
      </c>
      <c r="AS14" s="2">
        <f>AR14+真實IC!AS14</f>
        <v>2.1644044582227018</v>
      </c>
      <c r="AT14" s="2">
        <f>AS14+真實IC!AT14</f>
        <v>2.3067596593938795</v>
      </c>
      <c r="AU14" s="2">
        <f>AT14+真實IC!AU14</f>
        <v>2.409055312173626</v>
      </c>
      <c r="AV14" s="2">
        <f>AU14+真實IC!AV14</f>
        <v>2.463283166793917</v>
      </c>
      <c r="AW14" s="2">
        <f>AV14+真實IC!AW14</f>
        <v>2.4975028927390248</v>
      </c>
      <c r="AX14" s="2">
        <f>AW14+真實IC!AX14</f>
        <v>2.58967021367843</v>
      </c>
      <c r="AY14" s="2">
        <f>AX14+真實IC!AY14</f>
        <v>2.6193279461647152</v>
      </c>
      <c r="AZ14" s="2">
        <f>AY14+真實IC!AZ14</f>
        <v>2.6858642270233628</v>
      </c>
      <c r="BA14" s="2">
        <f>AZ14+真實IC!BA14</f>
        <v>2.781277036710045</v>
      </c>
      <c r="BB14" s="2">
        <f>BA14+真實IC!BB14</f>
        <v>2.9055064796914012</v>
      </c>
      <c r="BC14" s="2">
        <f>BB14+真實IC!BC14</f>
        <v>2.8877385230551855</v>
      </c>
      <c r="BD14" s="2">
        <f>BC14+真實IC!BD14</f>
        <v>2.9185791947184052</v>
      </c>
      <c r="BE14" s="2">
        <f>BD14+真實IC!BE14</f>
        <v>2.9595565526828471</v>
      </c>
      <c r="BF14" s="2">
        <f>BE14+真實IC!BF14</f>
        <v>3.1318166314129203</v>
      </c>
      <c r="BG14" s="2">
        <f>BF14+真實IC!BG14</f>
        <v>3.2768828604995508</v>
      </c>
      <c r="BH14" s="2">
        <f>BG14+真實IC!BH14</f>
        <v>3.3543111040152582</v>
      </c>
      <c r="BI14" s="2">
        <f>BH14+真實IC!BI14</f>
        <v>3.4376245142821906</v>
      </c>
      <c r="BJ14" s="2">
        <f>BI14+真實IC!BJ14</f>
        <v>3.4775218917121924</v>
      </c>
      <c r="BK14" s="2">
        <f>BJ14+真實IC!BK14</f>
        <v>3.4563604163000621</v>
      </c>
      <c r="BL14" s="2">
        <f>BK14+真實IC!BL14</f>
        <v>3.5030253806457932</v>
      </c>
      <c r="BM14" s="2">
        <f>BL14+真實IC!BM14</f>
        <v>3.5483488109310182</v>
      </c>
      <c r="BN14" s="2">
        <f>BM14+真實IC!BN14</f>
        <v>3.5814889516290909</v>
      </c>
      <c r="BO14" s="2">
        <f>BN14+真實IC!BO14</f>
        <v>3.5768194946033796</v>
      </c>
      <c r="BP14" s="2">
        <f>BO14+真實IC!BP14</f>
        <v>3.5649080391689849</v>
      </c>
      <c r="BQ14" s="2">
        <f>BP14+真實IC!BQ14</f>
        <v>3.6013081993101657</v>
      </c>
      <c r="BR14" s="2">
        <f>BQ14+真實IC!BR14</f>
        <v>3.6735359614115661</v>
      </c>
      <c r="BS14" s="2">
        <f>BR14+真實IC!BS14</f>
        <v>3.6945925255737184</v>
      </c>
      <c r="BT14" s="2">
        <f>BS14+真實IC!BT14</f>
        <v>3.6363093463959228</v>
      </c>
      <c r="BU14" s="2">
        <f>BT14+真實IC!BU14</f>
        <v>3.6712188063618947</v>
      </c>
      <c r="BV14" s="2">
        <f>BU14+真實IC!BV14</f>
        <v>3.7132491810988459</v>
      </c>
      <c r="BW14" s="2">
        <f>BV14+真實IC!BW14</f>
        <v>3.8745264938344497</v>
      </c>
      <c r="BX14" s="2">
        <f>BW14+真實IC!BX14</f>
        <v>3.8738723745459236</v>
      </c>
      <c r="BY14" s="2">
        <f>BX14+真實IC!BY14</f>
        <v>3.9964251775358535</v>
      </c>
      <c r="BZ14" s="2">
        <f>BY14+真實IC!BZ14</f>
        <v>4.0693976913565795</v>
      </c>
      <c r="CA14" s="2">
        <f>BZ14+真實IC!CA14</f>
        <v>4.0921344999548026</v>
      </c>
      <c r="CB14" s="2">
        <f>CA14+真實IC!CB14</f>
        <v>4.1844306137454286</v>
      </c>
      <c r="CC14" s="2">
        <f>CB14+真實IC!CC14</f>
        <v>4.1736962767183794</v>
      </c>
      <c r="CD14" s="2">
        <f>CC14+真實IC!CD14</f>
        <v>4.2946029211197487</v>
      </c>
      <c r="CE14" s="2">
        <f>CD14+真實IC!CE14</f>
        <v>4.5570650233291268</v>
      </c>
      <c r="CF14" s="2">
        <f>CE14+真實IC!CF14</f>
        <v>4.60388880016224</v>
      </c>
      <c r="CG14" s="2">
        <f>CF14+真實IC!CG14</f>
        <v>4.6630528675161012</v>
      </c>
      <c r="CH14" s="2">
        <f>CG14+真實IC!CH14</f>
        <v>4.7382546130423062</v>
      </c>
      <c r="CI14" s="2">
        <f>CH14+真實IC!CI14</f>
        <v>4.7592149261774175</v>
      </c>
      <c r="CJ14" s="2">
        <f>CI14+真實IC!CJ14</f>
        <v>4.8056245435008318</v>
      </c>
      <c r="CK14" s="2">
        <f>CJ14+真實IC!CK14</f>
        <v>4.8617741900323326</v>
      </c>
      <c r="CL14" s="2">
        <f>CK14+真實IC!CL14</f>
        <v>4.9544451067169177</v>
      </c>
      <c r="CM14" s="2">
        <f>CL14+真實IC!CM14</f>
        <v>5.04192763194858</v>
      </c>
      <c r="CN14" s="2">
        <f>CM14+真實IC!CN14</f>
        <v>5.1814865341479805</v>
      </c>
      <c r="CO14" s="2">
        <f>CN14+真實IC!CO14</f>
        <v>5.3154964253933414</v>
      </c>
      <c r="CP14" s="2">
        <f>CO14+真實IC!CP14</f>
        <v>5.3999927068989351</v>
      </c>
      <c r="CQ14" s="2">
        <f>CP14+真實IC!CQ14</f>
        <v>5.4845668759150703</v>
      </c>
      <c r="CR14" s="2">
        <f>CQ14+真實IC!CR14</f>
        <v>5.6416227096381579</v>
      </c>
      <c r="CS14" s="2">
        <f>CR14+真實IC!CS14</f>
        <v>5.6775061827586031</v>
      </c>
      <c r="CT14" s="2">
        <f>CS14+真實IC!CT14</f>
        <v>5.7490742585730761</v>
      </c>
      <c r="CU14" s="2">
        <f>CT14+真實IC!CU14</f>
        <v>5.9038854046365481</v>
      </c>
      <c r="CV14" s="2">
        <f>CU14+真實IC!CV14</f>
        <v>6.0361592933391766</v>
      </c>
      <c r="CW14" s="2">
        <f>CV14+真實IC!CW14</f>
        <v>6.1073885265043595</v>
      </c>
      <c r="CX14" s="2">
        <f>CW14+真實IC!CX14</f>
        <v>6.2155697913529524</v>
      </c>
      <c r="CY14" s="2">
        <f>CX14+真實IC!CY14</f>
        <v>6.2673849814850708</v>
      </c>
      <c r="CZ14" s="2">
        <f>CY14+真實IC!CZ14</f>
        <v>6.4216832245338491</v>
      </c>
      <c r="DA14" s="2">
        <f>CZ14+真實IC!DA14</f>
        <v>6.4843810632727923</v>
      </c>
      <c r="DB14" s="2">
        <f>DA14+真實IC!DB14</f>
        <v>6.64969872767161</v>
      </c>
      <c r="DC14" s="2">
        <f>DB14+真實IC!DC14</f>
        <v>6.6807465932239225</v>
      </c>
      <c r="DD14" s="2">
        <f>DC14+真實IC!DD14</f>
        <v>6.776908087759697</v>
      </c>
      <c r="DE14" s="2">
        <f>DD14+真實IC!DE14</f>
        <v>6.8141000939213363</v>
      </c>
      <c r="DF14" s="2">
        <f>DE14+真實IC!DF14</f>
        <v>6.9753196040384742</v>
      </c>
      <c r="DG14" s="2">
        <f>DF14+真實IC!DG14</f>
        <v>7.0260592933157575</v>
      </c>
      <c r="DH14" s="2">
        <f>DG14+真實IC!DH14</f>
        <v>7.1350884910210457</v>
      </c>
      <c r="DI14" s="2">
        <f>DH14+真實IC!DI14</f>
        <v>7.2641247607194854</v>
      </c>
      <c r="DJ14" s="2">
        <f>DI14+真實IC!DJ14</f>
        <v>7.310171086000234</v>
      </c>
      <c r="DK14" s="2">
        <f>DJ14+真實IC!DK14</f>
        <v>7.3337988691721527</v>
      </c>
      <c r="DL14" s="2">
        <f>DK14+真實IC!DL14</f>
        <v>7.3940797927686637</v>
      </c>
      <c r="DM14" s="2">
        <f>DL14+真實IC!DM14</f>
        <v>7.4666106642035084</v>
      </c>
      <c r="DN14" s="2">
        <f>DM14+真實IC!DN14</f>
        <v>7.5120515340216274</v>
      </c>
      <c r="DO14" s="2">
        <f>DN14+真實IC!DO14</f>
        <v>7.6254827576008841</v>
      </c>
      <c r="DP14" s="2">
        <f>DO14+真實IC!DP14</f>
        <v>7.7404154714618834</v>
      </c>
      <c r="DQ14" s="2">
        <f>DP14+真實IC!DQ14</f>
        <v>7.8045703459906601</v>
      </c>
      <c r="DR14" s="2">
        <f>DQ14+真實IC!DR14</f>
        <v>7.8129479380202316</v>
      </c>
      <c r="DS14" s="2">
        <f>DR14+真實IC!DS14</f>
        <v>7.8822184981575631</v>
      </c>
      <c r="DT14" s="2">
        <f>DS14+真實IC!DT14</f>
        <v>7.8947045217499223</v>
      </c>
      <c r="DU14" s="2">
        <f>DT14+真實IC!DU14</f>
        <v>7.8667641042906169</v>
      </c>
      <c r="DV14" s="2">
        <f>DU14+真實IC!DV14</f>
        <v>7.9843107988876953</v>
      </c>
      <c r="DW14" s="2">
        <f>DV14+真實IC!DW14</f>
        <v>8.0732213851201013</v>
      </c>
      <c r="DX14" s="2">
        <f>DW14+真實IC!DX14</f>
        <v>8.130000614600684</v>
      </c>
      <c r="DY14" s="2">
        <f>DX14+真實IC!DY14</f>
        <v>8.2099274454553672</v>
      </c>
      <c r="DZ14" s="2">
        <f>DY14+真實IC!DZ14</f>
        <v>8.1966526750557644</v>
      </c>
      <c r="EA14" s="2">
        <f>DZ14+真實IC!EA14</f>
        <v>8.228468516566096</v>
      </c>
      <c r="EB14" s="2">
        <f>EA14+真實IC!EB14</f>
        <v>8.3063175383105197</v>
      </c>
      <c r="EC14" s="2">
        <f>EB14+真實IC!EC14</f>
        <v>8.2853371907156728</v>
      </c>
      <c r="ED14" s="2">
        <f>EC14+真實IC!ED14</f>
        <v>8.3487350676148662</v>
      </c>
      <c r="EE14" s="2">
        <f>ED14+真實IC!EE14</f>
        <v>8.4004118922831577</v>
      </c>
      <c r="EF14" s="2">
        <f>EE14+真實IC!EF14</f>
        <v>8.4929954421604208</v>
      </c>
      <c r="EG14" s="2">
        <f>EF14+真實IC!EG14</f>
        <v>8.6901092461498575</v>
      </c>
      <c r="EH14" s="2">
        <f>EG14+真實IC!EH14</f>
        <v>8.7126093394335822</v>
      </c>
      <c r="EI14" s="2">
        <f>EH14+真實IC!EI14</f>
        <v>8.7593676884340574</v>
      </c>
      <c r="EJ14" s="2">
        <f>EI14+真實IC!EJ14</f>
        <v>8.8214709099738666</v>
      </c>
      <c r="EK14" s="2">
        <f>EJ14+真實IC!EK14</f>
        <v>8.9272710295919495</v>
      </c>
      <c r="EL14" s="2">
        <f>EK14+真實IC!EL14</f>
        <v>8.9711517324516414</v>
      </c>
    </row>
    <row r="15" spans="1:142" x14ac:dyDescent="0.3">
      <c r="A15" s="11">
        <v>110</v>
      </c>
      <c r="B15" s="11">
        <f t="shared" si="10"/>
        <v>10</v>
      </c>
      <c r="C15" s="2">
        <v>0.24155842264248281</v>
      </c>
      <c r="D15" s="2">
        <f>C15+真實IC!D15</f>
        <v>0.38776409161070702</v>
      </c>
      <c r="E15" s="2">
        <f>D15+真實IC!E15</f>
        <v>0.52373385584994581</v>
      </c>
      <c r="F15" s="2">
        <f>E15+真實IC!F15</f>
        <v>0.53708467322487186</v>
      </c>
      <c r="G15" s="2">
        <f>F15+真實IC!G15</f>
        <v>0.58329327605160264</v>
      </c>
      <c r="H15" s="2">
        <f>G15+真實IC!H15</f>
        <v>0.65235240218021917</v>
      </c>
      <c r="I15" s="2">
        <f>H15+真實IC!I15</f>
        <v>0.71577230581055973</v>
      </c>
      <c r="J15" s="2">
        <f>I15+真實IC!J15</f>
        <v>0.79407397648533584</v>
      </c>
      <c r="K15" s="2">
        <f>J15+真實IC!K15</f>
        <v>0.86508794546211987</v>
      </c>
      <c r="L15" s="2">
        <f>K15+真實IC!L15</f>
        <v>0.8277770639881451</v>
      </c>
      <c r="M15" s="2">
        <f>L15+真實IC!M15</f>
        <v>0.82026910227733063</v>
      </c>
      <c r="N15" s="2">
        <f>M15+真實IC!N15</f>
        <v>0.94428619137877279</v>
      </c>
      <c r="O15" s="2">
        <f>N15+真實IC!O15</f>
        <v>0.92259754421855211</v>
      </c>
      <c r="P15" s="2">
        <f>O15+真實IC!P15</f>
        <v>0.9302637150360582</v>
      </c>
      <c r="Q15" s="2">
        <f>P15+真實IC!Q15</f>
        <v>0.9146409897392096</v>
      </c>
      <c r="R15" s="2">
        <f>Q15+真實IC!R15</f>
        <v>0.85469444231998049</v>
      </c>
      <c r="S15" s="2">
        <f>R15+真實IC!S15</f>
        <v>0.9184914262642907</v>
      </c>
      <c r="T15" s="2">
        <f>S15+真實IC!T15</f>
        <v>0.97223326848410163</v>
      </c>
      <c r="U15" s="2">
        <f>T15+真實IC!U15</f>
        <v>1.0010099335139415</v>
      </c>
      <c r="V15" s="2">
        <f>U15+真實IC!V15</f>
        <v>0.9721691126617904</v>
      </c>
      <c r="W15" s="2">
        <f>V15+真實IC!W15</f>
        <v>1.0787383330094829</v>
      </c>
      <c r="X15" s="2">
        <f>W15+真實IC!X15</f>
        <v>1.2563447910140384</v>
      </c>
      <c r="Y15" s="2">
        <f>X15+真實IC!Y15</f>
        <v>1.2967231485967288</v>
      </c>
      <c r="Z15" s="2">
        <f>Y15+真實IC!Z15</f>
        <v>1.3914495659681125</v>
      </c>
      <c r="AA15" s="2">
        <f>Z15+真實IC!AA15</f>
        <v>1.5037070100528864</v>
      </c>
      <c r="AB15" s="2">
        <f>AA15+真實IC!AB15</f>
        <v>1.5731095494142284</v>
      </c>
      <c r="AC15" s="2">
        <f>AB15+真實IC!AC15</f>
        <v>1.5992429393943888</v>
      </c>
      <c r="AD15" s="2">
        <f>AC15+真實IC!AD15</f>
        <v>1.5904113905763171</v>
      </c>
      <c r="AE15" s="2">
        <f>AD15+真實IC!AE15</f>
        <v>1.6142488151022611</v>
      </c>
      <c r="AF15" s="2">
        <f>AE15+真實IC!AF15</f>
        <v>1.7271027227369216</v>
      </c>
      <c r="AG15" s="2">
        <f>AF15+真實IC!AG15</f>
        <v>1.7839636224427133</v>
      </c>
      <c r="AH15" s="2">
        <f>AG15+真實IC!AH15</f>
        <v>1.7840300568392331</v>
      </c>
      <c r="AI15" s="2">
        <f>AH15+真實IC!AI15</f>
        <v>1.8479084750798007</v>
      </c>
      <c r="AJ15" s="2">
        <f>AI15+真實IC!AJ15</f>
        <v>1.8841405799865525</v>
      </c>
      <c r="AK15" s="2">
        <f>AJ15+真實IC!AK15</f>
        <v>1.9325703683060749</v>
      </c>
      <c r="AL15" s="2">
        <f>AK15+真實IC!AL15</f>
        <v>1.9978004179468036</v>
      </c>
      <c r="AM15" s="2">
        <f>AL15+真實IC!AM15</f>
        <v>2.029334707523871</v>
      </c>
      <c r="AN15" s="2">
        <f>AM15+真實IC!AN15</f>
        <v>2.1431796363930546</v>
      </c>
      <c r="AO15" s="2">
        <f>AN15+真實IC!AO15</f>
        <v>2.1888596891727863</v>
      </c>
      <c r="AP15" s="2">
        <f>AO15+真實IC!AP15</f>
        <v>2.1769845753772552</v>
      </c>
      <c r="AQ15" s="2">
        <f>AP15+真實IC!AQ15</f>
        <v>2.1727756157603246</v>
      </c>
      <c r="AR15" s="2">
        <f>AQ15+真實IC!AR15</f>
        <v>2.2661870823689747</v>
      </c>
      <c r="AS15" s="2">
        <f>AR15+真實IC!AS15</f>
        <v>2.2637630343608945</v>
      </c>
      <c r="AT15" s="2">
        <f>AS15+真實IC!AT15</f>
        <v>2.4708514003353486</v>
      </c>
      <c r="AU15" s="2">
        <f>AT15+真實IC!AU15</f>
        <v>2.5976246285870381</v>
      </c>
      <c r="AV15" s="2">
        <f>AU15+真實IC!AV15</f>
        <v>2.6996636626743902</v>
      </c>
      <c r="AW15" s="2">
        <f>AV15+真實IC!AW15</f>
        <v>2.7956028607699333</v>
      </c>
      <c r="AX15" s="2">
        <f>AW15+真實IC!AX15</f>
        <v>2.9151074045214402</v>
      </c>
      <c r="AY15" s="2">
        <f>AX15+真實IC!AY15</f>
        <v>2.9740256165345769</v>
      </c>
      <c r="AZ15" s="2">
        <f>AY15+真實IC!AZ15</f>
        <v>3.0737303162595597</v>
      </c>
      <c r="BA15" s="2">
        <f>AZ15+真實IC!BA15</f>
        <v>3.2188490687476525</v>
      </c>
      <c r="BB15" s="2">
        <f>BA15+真實IC!BB15</f>
        <v>3.3581219900301167</v>
      </c>
      <c r="BC15" s="2">
        <f>BB15+真實IC!BC15</f>
        <v>3.303043674613261</v>
      </c>
      <c r="BD15" s="2">
        <f>BC15+真實IC!BD15</f>
        <v>3.2947940525500821</v>
      </c>
      <c r="BE15" s="2">
        <f>BD15+真實IC!BE15</f>
        <v>3.3533865301419454</v>
      </c>
      <c r="BF15" s="2">
        <f>BE15+真實IC!BF15</f>
        <v>3.5858254386120603</v>
      </c>
      <c r="BG15" s="2">
        <f>BF15+真實IC!BG15</f>
        <v>3.6948843112707674</v>
      </c>
      <c r="BH15" s="2">
        <f>BG15+真實IC!BH15</f>
        <v>3.7459224744636757</v>
      </c>
      <c r="BI15" s="2">
        <f>BH15+真實IC!BI15</f>
        <v>3.870561034886022</v>
      </c>
      <c r="BJ15" s="2">
        <f>BI15+真實IC!BJ15</f>
        <v>3.9537454805662371</v>
      </c>
      <c r="BK15" s="2">
        <f>BJ15+真實IC!BK15</f>
        <v>3.9695874569068548</v>
      </c>
      <c r="BL15" s="2">
        <f>BK15+真實IC!BL15</f>
        <v>4.0334676902276092</v>
      </c>
      <c r="BM15" s="2">
        <f>BL15+真實IC!BM15</f>
        <v>4.0727435122014572</v>
      </c>
      <c r="BN15" s="2">
        <f>BM15+真實IC!BN15</f>
        <v>4.0702579741957612</v>
      </c>
      <c r="BO15" s="2">
        <f>BN15+真實IC!BO15</f>
        <v>4.0651615066129958</v>
      </c>
      <c r="BP15" s="2">
        <f>BO15+真實IC!BP15</f>
        <v>4.0377197070911883</v>
      </c>
      <c r="BQ15" s="2">
        <f>BP15+真實IC!BQ15</f>
        <v>4.102252333978341</v>
      </c>
      <c r="BR15" s="2">
        <f>BQ15+真實IC!BR15</f>
        <v>4.2268040039444896</v>
      </c>
      <c r="BS15" s="2">
        <f>BR15+真實IC!BS15</f>
        <v>4.302271386615641</v>
      </c>
      <c r="BT15" s="2">
        <f>BS15+真實IC!BT15</f>
        <v>4.1999600343960548</v>
      </c>
      <c r="BU15" s="2">
        <f>BT15+真實IC!BU15</f>
        <v>4.3183826537455632</v>
      </c>
      <c r="BV15" s="2">
        <f>BU15+真實IC!BV15</f>
        <v>4.3779448183554539</v>
      </c>
      <c r="BW15" s="2">
        <f>BV15+真實IC!BW15</f>
        <v>4.6997671081473511</v>
      </c>
      <c r="BX15" s="2">
        <f>BW15+真實IC!BX15</f>
        <v>4.6975016340270557</v>
      </c>
      <c r="BY15" s="2">
        <f>BX15+真實IC!BY15</f>
        <v>4.8193215122008857</v>
      </c>
      <c r="BZ15" s="2">
        <f>BY15+真實IC!BZ15</f>
        <v>4.9300682726122345</v>
      </c>
      <c r="CA15" s="2">
        <f>BZ15+真實IC!CA15</f>
        <v>4.9446315752540402</v>
      </c>
      <c r="CB15" s="2">
        <f>CA15+真實IC!CB15</f>
        <v>4.9944690416973607</v>
      </c>
      <c r="CC15" s="2">
        <f>CB15+真實IC!CC15</f>
        <v>5.0356975783326403</v>
      </c>
      <c r="CD15" s="2">
        <f>CC15+真實IC!CD15</f>
        <v>5.1748245921552529</v>
      </c>
      <c r="CE15" s="2">
        <f>CD15+真實IC!CE15</f>
        <v>5.4485024457154996</v>
      </c>
      <c r="CF15" s="2">
        <f>CE15+真實IC!CF15</f>
        <v>5.5138105616036563</v>
      </c>
      <c r="CG15" s="2">
        <f>CF15+真實IC!CG15</f>
        <v>5.6573743099945393</v>
      </c>
      <c r="CH15" s="2">
        <f>CG15+真實IC!CH15</f>
        <v>5.867654282971273</v>
      </c>
      <c r="CI15" s="2">
        <f>CH15+真實IC!CI15</f>
        <v>5.9193782987722949</v>
      </c>
      <c r="CJ15" s="2">
        <f>CI15+真實IC!CJ15</f>
        <v>5.9925892369782447</v>
      </c>
      <c r="CK15" s="2">
        <f>CJ15+真實IC!CK15</f>
        <v>6.0145604696178001</v>
      </c>
      <c r="CL15" s="2">
        <f>CK15+真實IC!CL15</f>
        <v>6.0886252178611588</v>
      </c>
      <c r="CM15" s="2">
        <f>CL15+真實IC!CM15</f>
        <v>6.1267602882543937</v>
      </c>
      <c r="CN15" s="2">
        <f>CM15+真實IC!CN15</f>
        <v>6.345959951712822</v>
      </c>
      <c r="CO15" s="2">
        <f>CN15+真實IC!CO15</f>
        <v>6.5739212870879244</v>
      </c>
      <c r="CP15" s="2">
        <f>CO15+真實IC!CP15</f>
        <v>6.6979287358620638</v>
      </c>
      <c r="CQ15" s="2">
        <f>CP15+真實IC!CQ15</f>
        <v>6.8024939635875095</v>
      </c>
      <c r="CR15" s="2">
        <f>CQ15+真實IC!CR15</f>
        <v>7.0278875908263592</v>
      </c>
      <c r="CS15" s="2">
        <f>CR15+真實IC!CS15</f>
        <v>7.0622778664783956</v>
      </c>
      <c r="CT15" s="2">
        <f>CS15+真實IC!CT15</f>
        <v>7.1388451133048996</v>
      </c>
      <c r="CU15" s="2">
        <f>CT15+真實IC!CU15</f>
        <v>7.3071354457427269</v>
      </c>
      <c r="CV15" s="2">
        <f>CU15+真實IC!CV15</f>
        <v>7.4496033210095334</v>
      </c>
      <c r="CW15" s="2">
        <f>CV15+真實IC!CW15</f>
        <v>7.5282519388786646</v>
      </c>
      <c r="CX15" s="2">
        <f>CW15+真實IC!CX15</f>
        <v>7.6489194230982172</v>
      </c>
      <c r="CY15" s="2">
        <f>CX15+真實IC!CY15</f>
        <v>7.6705776244622603</v>
      </c>
      <c r="CZ15" s="2">
        <f>CY15+真實IC!CZ15</f>
        <v>7.8889043070218774</v>
      </c>
      <c r="DA15" s="2">
        <f>CZ15+真實IC!DA15</f>
        <v>7.9233408025684513</v>
      </c>
      <c r="DB15" s="2">
        <f>DA15+真實IC!DB15</f>
        <v>8.1719889360270699</v>
      </c>
      <c r="DC15" s="2">
        <f>DB15+真實IC!DC15</f>
        <v>8.1741938013950577</v>
      </c>
      <c r="DD15" s="2">
        <f>DC15+真實IC!DD15</f>
        <v>8.2813752745084681</v>
      </c>
      <c r="DE15" s="2">
        <f>DD15+真實IC!DE15</f>
        <v>8.3723014968501221</v>
      </c>
      <c r="DF15" s="2">
        <f>DE15+真實IC!DF15</f>
        <v>8.5128413473131435</v>
      </c>
      <c r="DG15" s="2">
        <f>DF15+真實IC!DG15</f>
        <v>8.5763700571694645</v>
      </c>
      <c r="DH15" s="2">
        <f>DG15+真實IC!DH15</f>
        <v>8.6265056635654087</v>
      </c>
      <c r="DI15" s="2">
        <f>DH15+真實IC!DI15</f>
        <v>8.6374339941130227</v>
      </c>
      <c r="DJ15" s="2">
        <f>DI15+真實IC!DJ15</f>
        <v>8.663143259259277</v>
      </c>
      <c r="DK15" s="2">
        <f>DJ15+真實IC!DK15</f>
        <v>8.6731260849344167</v>
      </c>
      <c r="DL15" s="2">
        <f>DK15+真實IC!DL15</f>
        <v>8.7013153356532893</v>
      </c>
      <c r="DM15" s="2">
        <f>DL15+真實IC!DM15</f>
        <v>8.7629612053467483</v>
      </c>
      <c r="DN15" s="2">
        <f>DM15+真實IC!DN15</f>
        <v>8.7744533995723923</v>
      </c>
      <c r="DO15" s="2">
        <f>DN15+真實IC!DO15</f>
        <v>8.8606698113841098</v>
      </c>
      <c r="DP15" s="2">
        <f>DO15+真實IC!DP15</f>
        <v>8.9844516841977402</v>
      </c>
      <c r="DQ15" s="2">
        <f>DP15+真實IC!DQ15</f>
        <v>9.0742086237793593</v>
      </c>
      <c r="DR15" s="2">
        <f>DQ15+真實IC!DR15</f>
        <v>9.0765938481256487</v>
      </c>
      <c r="DS15" s="2">
        <f>DR15+真實IC!DS15</f>
        <v>9.1677711896811989</v>
      </c>
      <c r="DT15" s="2">
        <f>DS15+真實IC!DT15</f>
        <v>9.1441917579267944</v>
      </c>
      <c r="DU15" s="2">
        <f>DT15+真實IC!DU15</f>
        <v>9.2537338195827825</v>
      </c>
      <c r="DV15" s="2">
        <f>DU15+真實IC!DV15</f>
        <v>9.3748236431046355</v>
      </c>
      <c r="DW15" s="2">
        <f>DV15+真實IC!DW15</f>
        <v>9.4219032403194216</v>
      </c>
      <c r="DX15" s="2">
        <f>DW15+真實IC!DX15</f>
        <v>9.5669108989311411</v>
      </c>
      <c r="DY15" s="2">
        <f>DX15+真實IC!DY15</f>
        <v>9.6082898353300461</v>
      </c>
      <c r="DZ15" s="2">
        <f>DY15+真實IC!DZ15</f>
        <v>9.606328181252989</v>
      </c>
      <c r="EA15" s="2">
        <f>DZ15+真實IC!EA15</f>
        <v>9.6059322608281565</v>
      </c>
      <c r="EB15" s="2">
        <f>EA15+真實IC!EB15</f>
        <v>9.7015813879236301</v>
      </c>
      <c r="EC15" s="2">
        <f>EB15+真實IC!EC15</f>
        <v>9.6610045821402029</v>
      </c>
      <c r="ED15" s="2">
        <f>EC15+真實IC!ED15</f>
        <v>9.8029146813599848</v>
      </c>
      <c r="EE15" s="2">
        <f>ED15+真實IC!EE15</f>
        <v>9.8528960273608455</v>
      </c>
      <c r="EF15" s="2">
        <f>EE15+真實IC!EF15</f>
        <v>9.9893260888047735</v>
      </c>
      <c r="EG15" s="2">
        <f>EF15+真實IC!EG15</f>
        <v>10.302528875868425</v>
      </c>
      <c r="EH15" s="2">
        <f>EG15+真實IC!EH15</f>
        <v>10.292292377914805</v>
      </c>
      <c r="EI15" s="2">
        <f>EH15+真實IC!EI15</f>
        <v>10.329540311794496</v>
      </c>
      <c r="EJ15" s="2">
        <f>EI15+真實IC!EJ15</f>
        <v>10.410208703784154</v>
      </c>
      <c r="EK15" s="2">
        <f>EJ15+真實IC!EK15</f>
        <v>10.539896329967808</v>
      </c>
      <c r="EL15" s="2">
        <f>EK15+真實IC!EL15</f>
        <v>10.536911326566008</v>
      </c>
    </row>
    <row r="16" spans="1:142" x14ac:dyDescent="0.3">
      <c r="A16" s="11">
        <v>120</v>
      </c>
      <c r="B16" s="11">
        <f t="shared" si="10"/>
        <v>9</v>
      </c>
      <c r="C16" s="2">
        <v>0.26072770983563209</v>
      </c>
      <c r="D16" s="2">
        <f>C16+真實IC!D16</f>
        <v>0.40392515263617257</v>
      </c>
      <c r="E16" s="2">
        <f>D16+真實IC!E16</f>
        <v>0.46968556233235248</v>
      </c>
      <c r="F16" s="2">
        <f>E16+真實IC!F16</f>
        <v>0.4427773279528574</v>
      </c>
      <c r="G16" s="2">
        <f>F16+真實IC!G16</f>
        <v>0.4900213914464458</v>
      </c>
      <c r="H16" s="2">
        <f>G16+真實IC!H16</f>
        <v>0.55811216937983676</v>
      </c>
      <c r="I16" s="2">
        <f>H16+真實IC!I16</f>
        <v>0.61285271391080864</v>
      </c>
      <c r="J16" s="2">
        <f>I16+真實IC!J16</f>
        <v>0.69109628377082288</v>
      </c>
      <c r="K16" s="2">
        <f>J16+真實IC!K16</f>
        <v>0.73090392397241077</v>
      </c>
      <c r="L16" s="2">
        <f>K16+真實IC!L16</f>
        <v>0.69418210752012965</v>
      </c>
      <c r="M16" s="2">
        <f>L16+真實IC!M16</f>
        <v>0.68219305420584686</v>
      </c>
      <c r="N16" s="2">
        <f>M16+真實IC!N16</f>
        <v>0.80712144064406044</v>
      </c>
      <c r="O16" s="2">
        <f>N16+真實IC!O16</f>
        <v>0.78575037181691365</v>
      </c>
      <c r="P16" s="2">
        <f>O16+真實IC!P16</f>
        <v>0.78609611664670664</v>
      </c>
      <c r="Q16" s="2">
        <f>P16+真實IC!Q16</f>
        <v>0.78334891387538519</v>
      </c>
      <c r="R16" s="2">
        <f>Q16+真實IC!R16</f>
        <v>0.72224407072776553</v>
      </c>
      <c r="S16" s="2">
        <f>R16+真實IC!S16</f>
        <v>0.80052237626101763</v>
      </c>
      <c r="T16" s="2">
        <f>S16+真實IC!T16</f>
        <v>0.84302393435386158</v>
      </c>
      <c r="U16" s="2">
        <f>T16+真實IC!U16</f>
        <v>0.84844446499746595</v>
      </c>
      <c r="V16" s="2">
        <f>U16+真實IC!V16</f>
        <v>0.84451214573174593</v>
      </c>
      <c r="W16" s="2">
        <f>V16+真實IC!W16</f>
        <v>0.9463362639697569</v>
      </c>
      <c r="X16" s="2">
        <f>W16+真實IC!X16</f>
        <v>1.1199612882404504</v>
      </c>
      <c r="Y16" s="2">
        <f>X16+真實IC!Y16</f>
        <v>1.1631660943159181</v>
      </c>
      <c r="Z16" s="2">
        <f>Y16+真實IC!Z16</f>
        <v>1.2687580191388892</v>
      </c>
      <c r="AA16" s="2">
        <f>Z16+真實IC!AA16</f>
        <v>1.400114498673485</v>
      </c>
      <c r="AB16" s="2">
        <f>AA16+真實IC!AB16</f>
        <v>1.4748602787521514</v>
      </c>
      <c r="AC16" s="2">
        <f>AB16+真實IC!AC16</f>
        <v>1.5017816736934633</v>
      </c>
      <c r="AD16" s="2">
        <f>AC16+真實IC!AD16</f>
        <v>1.481800181671528</v>
      </c>
      <c r="AE16" s="2">
        <f>AD16+真實IC!AE16</f>
        <v>1.509336817309713</v>
      </c>
      <c r="AF16" s="2">
        <f>AE16+真實IC!AF16</f>
        <v>1.6224408528474226</v>
      </c>
      <c r="AG16" s="2">
        <f>AF16+真實IC!AG16</f>
        <v>1.6625727650595876</v>
      </c>
      <c r="AH16" s="2">
        <f>AG16+真實IC!AH16</f>
        <v>1.6681619486048411</v>
      </c>
      <c r="AI16" s="2">
        <f>AH16+真實IC!AI16</f>
        <v>1.7395454904632044</v>
      </c>
      <c r="AJ16" s="2">
        <f>AI16+真實IC!AJ16</f>
        <v>1.7678363832408415</v>
      </c>
      <c r="AK16" s="2">
        <f>AJ16+真實IC!AK16</f>
        <v>1.7960168860481822</v>
      </c>
      <c r="AL16" s="2">
        <f>AK16+真實IC!AL16</f>
        <v>1.8562718630284323</v>
      </c>
      <c r="AM16" s="2">
        <f>AL16+真實IC!AM16</f>
        <v>1.8869293190451766</v>
      </c>
      <c r="AN16" s="2">
        <f>AM16+真實IC!AN16</f>
        <v>2.0132931407831203</v>
      </c>
      <c r="AO16" s="2">
        <f>AN16+真實IC!AO16</f>
        <v>2.0894144452654473</v>
      </c>
      <c r="AP16" s="2">
        <f>AO16+真實IC!AP16</f>
        <v>2.0556150794607331</v>
      </c>
      <c r="AQ16" s="2">
        <f>AP16+真實IC!AQ16</f>
        <v>2.0060321410485282</v>
      </c>
      <c r="AR16" s="2">
        <f>AQ16+真實IC!AR16</f>
        <v>2.1107371594066415</v>
      </c>
      <c r="AS16" s="2">
        <f>AR16+真實IC!AS16</f>
        <v>2.1162245648081557</v>
      </c>
      <c r="AT16" s="2">
        <f>AS16+真實IC!AT16</f>
        <v>2.3351591516096457</v>
      </c>
      <c r="AU16" s="2">
        <f>AT16+真實IC!AU16</f>
        <v>2.4491413477738244</v>
      </c>
      <c r="AV16" s="2">
        <f>AU16+真實IC!AV16</f>
        <v>2.5348670640893731</v>
      </c>
      <c r="AW16" s="2">
        <f>AV16+真實IC!AW16</f>
        <v>2.644143678815428</v>
      </c>
      <c r="AX16" s="2">
        <f>AW16+真實IC!AX16</f>
        <v>2.7927043070094739</v>
      </c>
      <c r="AY16" s="2">
        <f>AX16+真實IC!AY16</f>
        <v>2.8515794732251587</v>
      </c>
      <c r="AZ16" s="2">
        <f>AY16+真實IC!AZ16</f>
        <v>2.9778907160376722</v>
      </c>
      <c r="BA16" s="2">
        <f>AZ16+真實IC!BA16</f>
        <v>3.1338592322480765</v>
      </c>
      <c r="BB16" s="2">
        <f>BA16+真實IC!BB16</f>
        <v>3.3093498237921364</v>
      </c>
      <c r="BC16" s="2">
        <f>BB16+真實IC!BC16</f>
        <v>3.2765842233247828</v>
      </c>
      <c r="BD16" s="2">
        <f>BC16+真實IC!BD16</f>
        <v>3.2608601130063111</v>
      </c>
      <c r="BE16" s="2">
        <f>BD16+真實IC!BE16</f>
        <v>3.2989134903733839</v>
      </c>
      <c r="BF16" s="2">
        <f>BE16+真實IC!BF16</f>
        <v>3.4318819350144856</v>
      </c>
      <c r="BG16" s="2">
        <f>BF16+真實IC!BG16</f>
        <v>3.5407286977316246</v>
      </c>
      <c r="BH16" s="2">
        <f>BG16+真實IC!BH16</f>
        <v>3.61519530276686</v>
      </c>
      <c r="BI16" s="2">
        <f>BH16+真實IC!BI16</f>
        <v>3.7501887383210168</v>
      </c>
      <c r="BJ16" s="2">
        <f>BI16+真實IC!BJ16</f>
        <v>3.8194543487909596</v>
      </c>
      <c r="BK16" s="2">
        <f>BJ16+真實IC!BK16</f>
        <v>3.8338688113315227</v>
      </c>
      <c r="BL16" s="2">
        <f>BK16+真實IC!BL16</f>
        <v>3.9034493867369182</v>
      </c>
      <c r="BM16" s="2">
        <f>BL16+真實IC!BM16</f>
        <v>3.9432238063144216</v>
      </c>
      <c r="BN16" s="2">
        <f>BM16+真實IC!BN16</f>
        <v>3.9329194189608141</v>
      </c>
      <c r="BO16" s="2">
        <f>BN16+真實IC!BO16</f>
        <v>3.9246116249354324</v>
      </c>
      <c r="BP16" s="2">
        <f>BO16+真實IC!BP16</f>
        <v>3.9011318652485514</v>
      </c>
      <c r="BQ16" s="2">
        <f>BP16+真實IC!BQ16</f>
        <v>3.9631889539040466</v>
      </c>
      <c r="BR16" s="2">
        <f>BQ16+真實IC!BR16</f>
        <v>4.0648780171796774</v>
      </c>
      <c r="BS16" s="2">
        <f>BR16+真實IC!BS16</f>
        <v>4.1213087478426154</v>
      </c>
      <c r="BT16" s="2">
        <f>BS16+真實IC!BT16</f>
        <v>4.0082155261245491</v>
      </c>
      <c r="BU16" s="2">
        <f>BT16+真實IC!BU16</f>
        <v>4.1212365013497161</v>
      </c>
      <c r="BV16" s="2">
        <f>BU16+真實IC!BV16</f>
        <v>4.1775227627427265</v>
      </c>
      <c r="BW16" s="2">
        <f>BV16+真實IC!BW16</f>
        <v>4.5320748717324841</v>
      </c>
      <c r="BX16" s="2">
        <f>BW16+真實IC!BX16</f>
        <v>4.5232845087823046</v>
      </c>
      <c r="BY16" s="2">
        <f>BX16+真實IC!BY16</f>
        <v>4.625816012076899</v>
      </c>
      <c r="BZ16" s="2">
        <f>BY16+真實IC!BZ16</f>
        <v>4.7462662145388297</v>
      </c>
      <c r="CA16" s="2">
        <f>BZ16+真實IC!CA16</f>
        <v>4.7694987843576815</v>
      </c>
      <c r="CB16" s="2">
        <f>CA16+真實IC!CB16</f>
        <v>4.8081826119195421</v>
      </c>
      <c r="CC16" s="2">
        <f>CB16+真實IC!CC16</f>
        <v>4.8284984783561802</v>
      </c>
      <c r="CD16" s="2">
        <f>CC16+真實IC!CD16</f>
        <v>4.9673695766890695</v>
      </c>
      <c r="CE16" s="2">
        <f>CD16+真實IC!CE16</f>
        <v>5.2650308550027676</v>
      </c>
      <c r="CF16" s="2">
        <f>CE16+真實IC!CF16</f>
        <v>5.3309746870738355</v>
      </c>
      <c r="CG16" s="2">
        <f>CF16+真實IC!CG16</f>
        <v>5.4844751104996918</v>
      </c>
      <c r="CH16" s="2">
        <f>CG16+真實IC!CH16</f>
        <v>5.7241163021763173</v>
      </c>
      <c r="CI16" s="2">
        <f>CH16+真實IC!CI16</f>
        <v>5.7723317634188156</v>
      </c>
      <c r="CJ16" s="2">
        <f>CI16+真實IC!CJ16</f>
        <v>5.8176816839993659</v>
      </c>
      <c r="CK16" s="2">
        <f>CJ16+真實IC!CK16</f>
        <v>5.8503512353335276</v>
      </c>
      <c r="CL16" s="2">
        <f>CK16+真實IC!CL16</f>
        <v>5.9407138515879669</v>
      </c>
      <c r="CM16" s="2">
        <f>CL16+真實IC!CM16</f>
        <v>5.9757705220397099</v>
      </c>
      <c r="CN16" s="2">
        <f>CM16+真實IC!CN16</f>
        <v>6.2217272010402453</v>
      </c>
      <c r="CO16" s="2">
        <f>CN16+真實IC!CO16</f>
        <v>6.4340230156960745</v>
      </c>
      <c r="CP16" s="2">
        <f>CO16+真實IC!CP16</f>
        <v>6.5738460644967214</v>
      </c>
      <c r="CQ16" s="2">
        <f>CP16+真實IC!CQ16</f>
        <v>6.6717242479007206</v>
      </c>
      <c r="CR16" s="2">
        <f>CQ16+真實IC!CR16</f>
        <v>6.9250652107490733</v>
      </c>
      <c r="CS16" s="2">
        <f>CR16+真實IC!CS16</f>
        <v>6.9889174739086313</v>
      </c>
      <c r="CT16" s="2">
        <f>CS16+真實IC!CT16</f>
        <v>7.0697960921216634</v>
      </c>
      <c r="CU16" s="2">
        <f>CT16+真實IC!CU16</f>
        <v>7.2355640389845455</v>
      </c>
      <c r="CV16" s="2">
        <f>CU16+真實IC!CV16</f>
        <v>7.3275810985729048</v>
      </c>
      <c r="CW16" s="2">
        <f>CV16+真實IC!CW16</f>
        <v>7.4117293327795855</v>
      </c>
      <c r="CX16" s="2">
        <f>CW16+真實IC!CX16</f>
        <v>7.4959784897696737</v>
      </c>
      <c r="CY16" s="2">
        <f>CX16+真實IC!CY16</f>
        <v>7.5219140272324809</v>
      </c>
      <c r="CZ16" s="2">
        <f>CY16+真實IC!CZ16</f>
        <v>7.7174516313850461</v>
      </c>
      <c r="DA16" s="2">
        <f>CZ16+真實IC!DA16</f>
        <v>7.7426633751094096</v>
      </c>
      <c r="DB16" s="2">
        <f>DA16+真實IC!DB16</f>
        <v>8.0210287704945475</v>
      </c>
      <c r="DC16" s="2">
        <f>DB16+真實IC!DC16</f>
        <v>8.0143569425846781</v>
      </c>
      <c r="DD16" s="2">
        <f>DC16+真實IC!DD16</f>
        <v>8.1347706335168759</v>
      </c>
      <c r="DE16" s="2">
        <f>DD16+真實IC!DE16</f>
        <v>8.247813642500045</v>
      </c>
      <c r="DF16" s="2">
        <f>DE16+真實IC!DF16</f>
        <v>8.3868785076644468</v>
      </c>
      <c r="DG16" s="2">
        <f>DF16+真實IC!DG16</f>
        <v>8.4585886653476781</v>
      </c>
      <c r="DH16" s="2">
        <f>DG16+真實IC!DH16</f>
        <v>8.4927393707000487</v>
      </c>
      <c r="DI16" s="2">
        <f>DH16+真實IC!DI16</f>
        <v>8.5138127979716778</v>
      </c>
      <c r="DJ16" s="2">
        <f>DI16+真實IC!DJ16</f>
        <v>8.5476084854744165</v>
      </c>
      <c r="DK16" s="2">
        <f>DJ16+真實IC!DK16</f>
        <v>8.557149367827158</v>
      </c>
      <c r="DL16" s="2">
        <f>DK16+真實IC!DL16</f>
        <v>8.574723751275295</v>
      </c>
      <c r="DM16" s="2">
        <f>DL16+真實IC!DM16</f>
        <v>8.6475312191512224</v>
      </c>
      <c r="DN16" s="2">
        <f>DM16+真實IC!DN16</f>
        <v>8.6670725597114533</v>
      </c>
      <c r="DO16" s="2">
        <f>DN16+真實IC!DO16</f>
        <v>8.756937334843176</v>
      </c>
      <c r="DP16" s="2">
        <f>DO16+真實IC!DP16</f>
        <v>8.9018361870190361</v>
      </c>
      <c r="DQ16" s="2">
        <f>DP16+真實IC!DQ16</f>
        <v>8.9961284055496993</v>
      </c>
      <c r="DR16" s="2">
        <f>DQ16+真實IC!DR16</f>
        <v>9.0099641801723021</v>
      </c>
      <c r="DS16" s="2">
        <f>DR16+真實IC!DS16</f>
        <v>9.1052020760475401</v>
      </c>
      <c r="DT16" s="2">
        <f>DS16+真實IC!DT16</f>
        <v>9.082795820610631</v>
      </c>
      <c r="DU16" s="2">
        <f>DT16+真實IC!DU16</f>
        <v>9.1991006319893014</v>
      </c>
      <c r="DV16" s="2">
        <f>DU16+真實IC!DV16</f>
        <v>9.3204191142320454</v>
      </c>
      <c r="DW16" s="2">
        <f>DV16+真實IC!DW16</f>
        <v>9.3555559960681904</v>
      </c>
      <c r="DX16" s="2">
        <f>DW16+真實IC!DX16</f>
        <v>9.5059430552348552</v>
      </c>
      <c r="DY16" s="2">
        <f>DX16+真實IC!DY16</f>
        <v>9.5451929457761651</v>
      </c>
      <c r="DZ16" s="2">
        <f>DY16+真實IC!DZ16</f>
        <v>9.5479036212249007</v>
      </c>
      <c r="EA16" s="2">
        <f>DZ16+真實IC!EA16</f>
        <v>9.590283428549796</v>
      </c>
      <c r="EB16" s="2">
        <f>EA16+真實IC!EB16</f>
        <v>9.6923735297178837</v>
      </c>
      <c r="EC16" s="2">
        <f>EB16+真實IC!EC16</f>
        <v>9.6485798836588526</v>
      </c>
      <c r="ED16" s="2">
        <f>EC16+真實IC!ED16</f>
        <v>9.8061152216403134</v>
      </c>
      <c r="EE16" s="2">
        <f>ED16+真實IC!EE16</f>
        <v>9.855899114918099</v>
      </c>
      <c r="EF16" s="2">
        <f>EE16+真實IC!EF16</f>
        <v>10.010818029194157</v>
      </c>
      <c r="EG16" s="2">
        <f>EF16+真實IC!EG16</f>
        <v>10.353596818595165</v>
      </c>
      <c r="EH16" s="2">
        <f>EG16+真實IC!EH16</f>
        <v>10.342608475162345</v>
      </c>
      <c r="EI16" s="2">
        <f>EH16+真實IC!EI16</f>
        <v>10.38350666708722</v>
      </c>
      <c r="EJ16" s="2">
        <f>EI16+真實IC!EJ16</f>
        <v>10.471370115085893</v>
      </c>
      <c r="EK16" s="2">
        <f>EJ16+真實IC!EK16</f>
        <v>10.603283694283647</v>
      </c>
      <c r="EL16" s="2">
        <f>EK16+真實IC!EL16</f>
        <v>10.598705800560694</v>
      </c>
    </row>
    <row r="17" spans="1:142" x14ac:dyDescent="0.3">
      <c r="A17" s="11">
        <v>130</v>
      </c>
      <c r="B17" s="11">
        <f t="shared" si="10"/>
        <v>8</v>
      </c>
      <c r="C17" s="2">
        <v>0.2378970514581851</v>
      </c>
      <c r="D17" s="2">
        <f>C17+真實IC!D17</f>
        <v>0.41246874591575661</v>
      </c>
      <c r="E17" s="2">
        <f>D17+真實IC!E17</f>
        <v>0.47968432899099089</v>
      </c>
      <c r="F17" s="2">
        <f>E17+真實IC!F17</f>
        <v>0.4592606541308919</v>
      </c>
      <c r="G17" s="2">
        <f>F17+真實IC!G17</f>
        <v>0.50673463392089801</v>
      </c>
      <c r="H17" s="2">
        <f>G17+真實IC!H17</f>
        <v>0.58063403045119211</v>
      </c>
      <c r="I17" s="2">
        <f>H17+真實IC!I17</f>
        <v>0.63897020724812792</v>
      </c>
      <c r="J17" s="2">
        <f>I17+真實IC!J17</f>
        <v>0.73420559115013739</v>
      </c>
      <c r="K17" s="2">
        <f>J17+真實IC!K17</f>
        <v>0.80633235691621041</v>
      </c>
      <c r="L17" s="2">
        <f>K17+真實IC!L17</f>
        <v>0.77445024426375109</v>
      </c>
      <c r="M17" s="2">
        <f>L17+真實IC!M17</f>
        <v>0.73252688404894539</v>
      </c>
      <c r="N17" s="2">
        <f>M17+真實IC!N17</f>
        <v>0.86762319193517623</v>
      </c>
      <c r="O17" s="2">
        <f>N17+真實IC!O17</f>
        <v>0.85941411041675742</v>
      </c>
      <c r="P17" s="2">
        <f>O17+真實IC!P17</f>
        <v>0.85958535237640854</v>
      </c>
      <c r="Q17" s="2">
        <f>P17+真實IC!Q17</f>
        <v>0.83616595627070034</v>
      </c>
      <c r="R17" s="2">
        <f>Q17+真實IC!R17</f>
        <v>0.78055091359738205</v>
      </c>
      <c r="S17" s="2">
        <f>R17+真實IC!S17</f>
        <v>0.87355970734806454</v>
      </c>
      <c r="T17" s="2">
        <f>S17+真實IC!T17</f>
        <v>0.93386542397455075</v>
      </c>
      <c r="U17" s="2">
        <f>T17+真實IC!U17</f>
        <v>0.98397648845674468</v>
      </c>
      <c r="V17" s="2">
        <f>U17+真實IC!V17</f>
        <v>0.97825078186787096</v>
      </c>
      <c r="W17" s="2">
        <f>V17+真實IC!W17</f>
        <v>1.0893645545709698</v>
      </c>
      <c r="X17" s="2">
        <f>W17+真實IC!X17</f>
        <v>1.2355505479045081</v>
      </c>
      <c r="Y17" s="2">
        <f>X17+真實IC!Y17</f>
        <v>1.2775363217316591</v>
      </c>
      <c r="Z17" s="2">
        <f>Y17+真實IC!Z17</f>
        <v>1.3894541910753386</v>
      </c>
      <c r="AA17" s="2">
        <f>Z17+真實IC!AA17</f>
        <v>1.5105547703544022</v>
      </c>
      <c r="AB17" s="2">
        <f>AA17+真實IC!AB17</f>
        <v>1.5858115263105785</v>
      </c>
      <c r="AC17" s="2">
        <f>AB17+真實IC!AC17</f>
        <v>1.5983192454726713</v>
      </c>
      <c r="AD17" s="2">
        <f>AC17+真實IC!AD17</f>
        <v>1.5680346534038758</v>
      </c>
      <c r="AE17" s="2">
        <f>AD17+真實IC!AE17</f>
        <v>1.5929613963179441</v>
      </c>
      <c r="AF17" s="2">
        <f>AE17+真實IC!AF17</f>
        <v>1.7256602290626335</v>
      </c>
      <c r="AG17" s="2">
        <f>AF17+真實IC!AG17</f>
        <v>1.7677024919927069</v>
      </c>
      <c r="AH17" s="2">
        <f>AG17+真實IC!AH17</f>
        <v>1.7885743432966035</v>
      </c>
      <c r="AI17" s="2">
        <f>AH17+真實IC!AI17</f>
        <v>1.8394783621898767</v>
      </c>
      <c r="AJ17" s="2">
        <f>AI17+真實IC!AJ17</f>
        <v>1.8740902938439732</v>
      </c>
      <c r="AK17" s="2">
        <f>AJ17+真實IC!AK17</f>
        <v>1.8863251169104605</v>
      </c>
      <c r="AL17" s="2">
        <f>AK17+真實IC!AL17</f>
        <v>1.964888994433269</v>
      </c>
      <c r="AM17" s="2">
        <f>AL17+真實IC!AM17</f>
        <v>1.9891889176274706</v>
      </c>
      <c r="AN17" s="2">
        <f>AM17+真實IC!AN17</f>
        <v>2.1309705767906064</v>
      </c>
      <c r="AO17" s="2">
        <f>AN17+真實IC!AO17</f>
        <v>2.2254326526420831</v>
      </c>
      <c r="AP17" s="2">
        <f>AO17+真實IC!AP17</f>
        <v>2.1945015930518084</v>
      </c>
      <c r="AQ17" s="2">
        <f>AP17+真實IC!AQ17</f>
        <v>2.1148184162628891</v>
      </c>
      <c r="AR17" s="2">
        <f>AQ17+真實IC!AR17</f>
        <v>2.2366303798294496</v>
      </c>
      <c r="AS17" s="2">
        <f>AR17+真實IC!AS17</f>
        <v>2.2440292833014124</v>
      </c>
      <c r="AT17" s="2">
        <f>AS17+真實IC!AT17</f>
        <v>2.4942192043006042</v>
      </c>
      <c r="AU17" s="2">
        <f>AT17+真實IC!AU17</f>
        <v>2.6171682714437181</v>
      </c>
      <c r="AV17" s="2">
        <f>AU17+真實IC!AV17</f>
        <v>2.7040115501787292</v>
      </c>
      <c r="AW17" s="2">
        <f>AV17+真實IC!AW17</f>
        <v>2.6937678966915537</v>
      </c>
      <c r="AX17" s="2">
        <f>AW17+真實IC!AX17</f>
        <v>2.8291951952157262</v>
      </c>
      <c r="AY17" s="2">
        <f>AX17+真實IC!AY17</f>
        <v>2.8721783648128429</v>
      </c>
      <c r="AZ17" s="2">
        <f>AY17+真實IC!AZ17</f>
        <v>2.924375074677362</v>
      </c>
      <c r="BA17" s="2">
        <f>AZ17+真實IC!BA17</f>
        <v>3.1029530686563316</v>
      </c>
      <c r="BB17" s="2">
        <f>BA17+真實IC!BB17</f>
        <v>3.2503700390054138</v>
      </c>
      <c r="BC17" s="2">
        <f>BB17+真實IC!BC17</f>
        <v>3.1872205615361886</v>
      </c>
      <c r="BD17" s="2">
        <f>BC17+真實IC!BD17</f>
        <v>3.1701694977225228</v>
      </c>
      <c r="BE17" s="2">
        <f>BD17+真實IC!BE17</f>
        <v>3.2449756365328972</v>
      </c>
      <c r="BF17" s="2">
        <f>BE17+真實IC!BF17</f>
        <v>3.4002051911641953</v>
      </c>
      <c r="BG17" s="2">
        <f>BF17+真實IC!BG17</f>
        <v>3.495612891123816</v>
      </c>
      <c r="BH17" s="2">
        <f>BG17+真實IC!BH17</f>
        <v>3.5826227898165039</v>
      </c>
      <c r="BI17" s="2">
        <f>BH17+真實IC!BI17</f>
        <v>3.7187636748886255</v>
      </c>
      <c r="BJ17" s="2">
        <f>BI17+真實IC!BJ17</f>
        <v>3.7996569485586864</v>
      </c>
      <c r="BK17" s="2">
        <f>BJ17+真實IC!BK17</f>
        <v>3.7953818250527531</v>
      </c>
      <c r="BL17" s="2">
        <f>BK17+真實IC!BL17</f>
        <v>3.8561393551344878</v>
      </c>
      <c r="BM17" s="2">
        <f>BL17+真實IC!BM17</f>
        <v>3.8868578764044575</v>
      </c>
      <c r="BN17" s="2">
        <f>BM17+真實IC!BN17</f>
        <v>3.8763426414514939</v>
      </c>
      <c r="BO17" s="2">
        <f>BN17+真實IC!BO17</f>
        <v>3.873657531579191</v>
      </c>
      <c r="BP17" s="2">
        <f>BO17+真實IC!BP17</f>
        <v>3.8418500416618442</v>
      </c>
      <c r="BQ17" s="2">
        <f>BP17+真實IC!BQ17</f>
        <v>3.9098430719931301</v>
      </c>
      <c r="BR17" s="2">
        <f>BQ17+真實IC!BR17</f>
        <v>4.0290708285323058</v>
      </c>
      <c r="BS17" s="2">
        <f>BR17+真實IC!BS17</f>
        <v>4.0751094034055786</v>
      </c>
      <c r="BT17" s="2">
        <f>BS17+真實IC!BT17</f>
        <v>4.0915279027119444</v>
      </c>
      <c r="BU17" s="2">
        <f>BT17+真實IC!BU17</f>
        <v>4.2155943592915497</v>
      </c>
      <c r="BV17" s="2">
        <f>BU17+真實IC!BV17</f>
        <v>4.2888742445955694</v>
      </c>
      <c r="BW17" s="2">
        <f>BV17+真實IC!BW17</f>
        <v>4.7008395072846225</v>
      </c>
      <c r="BX17" s="2">
        <f>BW17+真實IC!BX17</f>
        <v>4.6956026034668916</v>
      </c>
      <c r="BY17" s="2">
        <f>BX17+真實IC!BY17</f>
        <v>4.8296344134106279</v>
      </c>
      <c r="BZ17" s="2">
        <f>BY17+真實IC!BZ17</f>
        <v>4.9501672593823942</v>
      </c>
      <c r="CA17" s="2">
        <f>BZ17+真實IC!CA17</f>
        <v>4.965246898353981</v>
      </c>
      <c r="CB17" s="2">
        <f>CA17+真實IC!CB17</f>
        <v>4.9946760806027983</v>
      </c>
      <c r="CC17" s="2">
        <f>CB17+真實IC!CC17</f>
        <v>5.0235540602768625</v>
      </c>
      <c r="CD17" s="2">
        <f>CC17+真實IC!CD17</f>
        <v>5.1723024027739113</v>
      </c>
      <c r="CE17" s="2">
        <f>CD17+真實IC!CE17</f>
        <v>5.5010480773605606</v>
      </c>
      <c r="CF17" s="2">
        <f>CE17+真實IC!CF17</f>
        <v>5.5409847999394923</v>
      </c>
      <c r="CG17" s="2">
        <f>CF17+真實IC!CG17</f>
        <v>5.7015643502619637</v>
      </c>
      <c r="CH17" s="2">
        <f>CG17+真實IC!CH17</f>
        <v>5.9379260813052346</v>
      </c>
      <c r="CI17" s="2">
        <f>CH17+真實IC!CI17</f>
        <v>5.9810758245665658</v>
      </c>
      <c r="CJ17" s="2">
        <f>CI17+真實IC!CJ17</f>
        <v>6.0122928997707934</v>
      </c>
      <c r="CK17" s="2">
        <f>CJ17+真實IC!CK17</f>
        <v>6.0577619602524138</v>
      </c>
      <c r="CL17" s="2">
        <f>CK17+真實IC!CL17</f>
        <v>6.1575082133986907</v>
      </c>
      <c r="CM17" s="2">
        <f>CL17+真實IC!CM17</f>
        <v>6.188972538322898</v>
      </c>
      <c r="CN17" s="2">
        <f>CM17+真實IC!CN17</f>
        <v>6.4762479555288666</v>
      </c>
      <c r="CO17" s="2">
        <f>CN17+真實IC!CO17</f>
        <v>6.7063613999809606</v>
      </c>
      <c r="CP17" s="2">
        <f>CO17+真實IC!CP17</f>
        <v>6.8314851678454982</v>
      </c>
      <c r="CQ17" s="2">
        <f>CP17+真實IC!CQ17</f>
        <v>6.9192443860879385</v>
      </c>
      <c r="CR17" s="2">
        <f>CQ17+真實IC!CR17</f>
        <v>7.218774911096868</v>
      </c>
      <c r="CS17" s="2">
        <f>CR17+真實IC!CS17</f>
        <v>7.2868728065953565</v>
      </c>
      <c r="CT17" s="2">
        <f>CS17+真實IC!CT17</f>
        <v>7.3895959788576269</v>
      </c>
      <c r="CU17" s="2">
        <f>CT17+真實IC!CU17</f>
        <v>7.5531231257321574</v>
      </c>
      <c r="CV17" s="2">
        <f>CU17+真實IC!CV17</f>
        <v>7.6421824836707035</v>
      </c>
      <c r="CW17" s="2">
        <f>CV17+真實IC!CW17</f>
        <v>7.7066126825233088</v>
      </c>
      <c r="CX17" s="2">
        <f>CW17+真實IC!CX17</f>
        <v>7.7804146000485739</v>
      </c>
      <c r="CY17" s="2">
        <f>CX17+真實IC!CY17</f>
        <v>7.7964947893272827</v>
      </c>
      <c r="CZ17" s="2">
        <f>CY17+真實IC!CZ17</f>
        <v>8.0217446953519538</v>
      </c>
      <c r="DA17" s="2">
        <f>CZ17+真實IC!DA17</f>
        <v>8.0616743342835182</v>
      </c>
      <c r="DB17" s="2">
        <f>DA17+真實IC!DB17</f>
        <v>8.3433275420548672</v>
      </c>
      <c r="DC17" s="2">
        <f>DB17+真實IC!DC17</f>
        <v>8.336885820356656</v>
      </c>
      <c r="DD17" s="2">
        <f>DC17+真實IC!DD17</f>
        <v>8.4341179755945745</v>
      </c>
      <c r="DE17" s="2">
        <f>DD17+真實IC!DE17</f>
        <v>8.5261676936632487</v>
      </c>
      <c r="DF17" s="2">
        <f>DE17+真實IC!DF17</f>
        <v>8.6823867538070001</v>
      </c>
      <c r="DG17" s="2">
        <f>DF17+真實IC!DG17</f>
        <v>8.7513879322799308</v>
      </c>
      <c r="DH17" s="2">
        <f>DG17+真實IC!DH17</f>
        <v>8.7888432534433516</v>
      </c>
      <c r="DI17" s="2">
        <f>DH17+真實IC!DI17</f>
        <v>8.8152690300103149</v>
      </c>
      <c r="DJ17" s="2">
        <f>DI17+真實IC!DJ17</f>
        <v>8.8543322030287221</v>
      </c>
      <c r="DK17" s="2">
        <f>DJ17+真實IC!DK17</f>
        <v>8.8622757879946423</v>
      </c>
      <c r="DL17" s="2">
        <f>DK17+真實IC!DL17</f>
        <v>8.8677526095467396</v>
      </c>
      <c r="DM17" s="2">
        <f>DL17+真實IC!DM17</f>
        <v>8.890306160615669</v>
      </c>
      <c r="DN17" s="2">
        <f>DM17+真實IC!DN17</f>
        <v>8.9134371294508874</v>
      </c>
      <c r="DO17" s="2">
        <f>DN17+真實IC!DO17</f>
        <v>9.0209450476045703</v>
      </c>
      <c r="DP17" s="2">
        <f>DO17+真實IC!DP17</f>
        <v>9.1603388882360441</v>
      </c>
      <c r="DQ17" s="2">
        <f>DP17+真實IC!DQ17</f>
        <v>9.2646765417961117</v>
      </c>
      <c r="DR17" s="2">
        <f>DQ17+真實IC!DR17</f>
        <v>9.2764845561213995</v>
      </c>
      <c r="DS17" s="2">
        <f>DR17+真實IC!DS17</f>
        <v>9.3601391373697567</v>
      </c>
      <c r="DT17" s="2">
        <f>DS17+真實IC!DT17</f>
        <v>9.3441956498819749</v>
      </c>
      <c r="DU17" s="2">
        <f>DT17+真實IC!DU17</f>
        <v>9.4666286511149167</v>
      </c>
      <c r="DV17" s="2">
        <f>DU17+真實IC!DV17</f>
        <v>9.6166178467563057</v>
      </c>
      <c r="DW17" s="2">
        <f>DV17+真實IC!DW17</f>
        <v>9.622783876038298</v>
      </c>
      <c r="DX17" s="2">
        <f>DW17+真實IC!DX17</f>
        <v>9.7880663219929431</v>
      </c>
      <c r="DY17" s="2">
        <f>DX17+真實IC!DY17</f>
        <v>9.8222848687508364</v>
      </c>
      <c r="DZ17" s="2">
        <f>DY17+真實IC!DZ17</f>
        <v>9.8128690460926702</v>
      </c>
      <c r="EA17" s="2">
        <f>DZ17+真實IC!EA17</f>
        <v>9.8582808843021041</v>
      </c>
      <c r="EB17" s="2">
        <f>EA17+真實IC!EB17</f>
        <v>9.9518997060716838</v>
      </c>
      <c r="EC17" s="2">
        <f>EB17+真實IC!EC17</f>
        <v>9.9142913740065914</v>
      </c>
      <c r="ED17" s="2">
        <f>EC17+真實IC!ED17</f>
        <v>10.086698828404892</v>
      </c>
      <c r="EE17" s="2">
        <f>ED17+真實IC!EE17</f>
        <v>10.156193745772187</v>
      </c>
      <c r="EF17" s="2">
        <f>EE17+真實IC!EF17</f>
        <v>10.331921072276948</v>
      </c>
      <c r="EG17" s="2">
        <f>EF17+真實IC!EG17</f>
        <v>10.739133880237302</v>
      </c>
      <c r="EH17" s="2">
        <f>EG17+真實IC!EH17</f>
        <v>10.744212711756431</v>
      </c>
      <c r="EI17" s="2">
        <f>EH17+真實IC!EI17</f>
        <v>10.787165947236451</v>
      </c>
      <c r="EJ17" s="2">
        <f>EI17+真實IC!EJ17</f>
        <v>10.873085711364388</v>
      </c>
      <c r="EK17" s="2">
        <f>EJ17+真實IC!EK17</f>
        <v>10.990021532175584</v>
      </c>
      <c r="EL17" s="2">
        <f>EK17+真實IC!EL17</f>
        <v>10.996724391328065</v>
      </c>
    </row>
    <row r="18" spans="1:142" x14ac:dyDescent="0.3">
      <c r="A18" s="11">
        <v>150</v>
      </c>
      <c r="B18" s="11">
        <f t="shared" si="10"/>
        <v>7</v>
      </c>
      <c r="C18" s="2">
        <v>0.24368728540115189</v>
      </c>
      <c r="D18" s="2">
        <f>C18+真實IC!D18</f>
        <v>0.34978544303036296</v>
      </c>
      <c r="E18" s="2">
        <f>D18+真實IC!E18</f>
        <v>0.41584244110061602</v>
      </c>
      <c r="F18" s="2">
        <f>E18+真實IC!F18</f>
        <v>0.43303098729999101</v>
      </c>
      <c r="G18" s="2">
        <f>F18+真實IC!G18</f>
        <v>0.47312817518654482</v>
      </c>
      <c r="H18" s="2">
        <f>G18+真實IC!H18</f>
        <v>0.52707433097995271</v>
      </c>
      <c r="I18" s="2">
        <f>H18+真實IC!I18</f>
        <v>0.55123383922595959</v>
      </c>
      <c r="J18" s="2">
        <f>I18+真實IC!J18</f>
        <v>0.68504436993968798</v>
      </c>
      <c r="K18" s="2">
        <f>J18+真實IC!K18</f>
        <v>0.79843117524253948</v>
      </c>
      <c r="L18" s="2">
        <f>K18+真實IC!L18</f>
        <v>0.76652726492045631</v>
      </c>
      <c r="M18" s="2">
        <f>L18+真實IC!M18</f>
        <v>0.7172696648690331</v>
      </c>
      <c r="N18" s="2">
        <f>M18+真實IC!N18</f>
        <v>0.86221033742198128</v>
      </c>
      <c r="O18" s="2">
        <f>N18+真實IC!O18</f>
        <v>0.85918676047435016</v>
      </c>
      <c r="P18" s="2">
        <f>O18+真實IC!P18</f>
        <v>0.84943496599501089</v>
      </c>
      <c r="Q18" s="2">
        <f>P18+真實IC!Q18</f>
        <v>0.76472739711652038</v>
      </c>
      <c r="R18" s="2">
        <f>Q18+真實IC!R18</f>
        <v>0.69850170380651244</v>
      </c>
      <c r="S18" s="2">
        <f>R18+真實IC!S18</f>
        <v>0.79162299815518533</v>
      </c>
      <c r="T18" s="2">
        <f>S18+真實IC!T18</f>
        <v>0.83535459753951524</v>
      </c>
      <c r="U18" s="2">
        <f>T18+真實IC!U18</f>
        <v>0.86670195782728665</v>
      </c>
      <c r="V18" s="2">
        <f>U18+真實IC!V18</f>
        <v>0.87719602441588895</v>
      </c>
      <c r="W18" s="2">
        <f>V18+真實IC!W18</f>
        <v>0.99273496450281884</v>
      </c>
      <c r="X18" s="2">
        <f>W18+真實IC!X18</f>
        <v>1.1687702767796542</v>
      </c>
      <c r="Y18" s="2">
        <f>X18+真實IC!Y18</f>
        <v>1.2088441285415596</v>
      </c>
      <c r="Z18" s="2">
        <f>Y18+真實IC!Z18</f>
        <v>1.3435914491830652</v>
      </c>
      <c r="AA18" s="2">
        <f>Z18+真實IC!AA18</f>
        <v>1.4745021536579443</v>
      </c>
      <c r="AB18" s="2">
        <f>AA18+真實IC!AB18</f>
        <v>1.5611292569680926</v>
      </c>
      <c r="AC18" s="2">
        <f>AB18+真實IC!AC18</f>
        <v>1.5729392584802173</v>
      </c>
      <c r="AD18" s="2">
        <f>AC18+真實IC!AD18</f>
        <v>1.5372954145415569</v>
      </c>
      <c r="AE18" s="2">
        <f>AD18+真實IC!AE18</f>
        <v>1.5835555901841012</v>
      </c>
      <c r="AF18" s="2">
        <f>AE18+真實IC!AF18</f>
        <v>1.7328232226654101</v>
      </c>
      <c r="AG18" s="2">
        <f>AF18+真實IC!AG18</f>
        <v>1.756453095173274</v>
      </c>
      <c r="AH18" s="2">
        <f>AG18+真實IC!AH18</f>
        <v>1.7482427653818322</v>
      </c>
      <c r="AI18" s="2">
        <f>AH18+真實IC!AI18</f>
        <v>1.7974464225663371</v>
      </c>
      <c r="AJ18" s="2">
        <f>AI18+真實IC!AJ18</f>
        <v>1.8158725313290729</v>
      </c>
      <c r="AK18" s="2">
        <f>AJ18+真實IC!AK18</f>
        <v>1.8242995373390767</v>
      </c>
      <c r="AL18" s="2">
        <f>AK18+真實IC!AL18</f>
        <v>1.9002694761706576</v>
      </c>
      <c r="AM18" s="2">
        <f>AL18+真實IC!AM18</f>
        <v>1.9245529614681844</v>
      </c>
      <c r="AN18" s="2">
        <f>AM18+真實IC!AN18</f>
        <v>2.0724832109804012</v>
      </c>
      <c r="AO18" s="2">
        <f>AN18+真實IC!AO18</f>
        <v>2.1909813455981317</v>
      </c>
      <c r="AP18" s="2">
        <f>AO18+真實IC!AP18</f>
        <v>2.1739390017482769</v>
      </c>
      <c r="AQ18" s="2">
        <f>AP18+真實IC!AQ18</f>
        <v>2.1332856405763971</v>
      </c>
      <c r="AR18" s="2">
        <f>AQ18+真實IC!AR18</f>
        <v>2.2574226150600336</v>
      </c>
      <c r="AS18" s="2">
        <f>AR18+真實IC!AS18</f>
        <v>2.2432660789844459</v>
      </c>
      <c r="AT18" s="2">
        <f>AS18+真實IC!AT18</f>
        <v>2.4909905716852632</v>
      </c>
      <c r="AU18" s="2">
        <f>AT18+真實IC!AU18</f>
        <v>2.6112551957998593</v>
      </c>
      <c r="AV18" s="2">
        <f>AU18+真實IC!AV18</f>
        <v>2.6865533388679763</v>
      </c>
      <c r="AW18" s="2">
        <f>AV18+真實IC!AW18</f>
        <v>2.678481689953168</v>
      </c>
      <c r="AX18" s="2">
        <f>AW18+真實IC!AX18</f>
        <v>2.8505099224659296</v>
      </c>
      <c r="AY18" s="2">
        <f>AX18+真實IC!AY18</f>
        <v>2.8510621600976833</v>
      </c>
      <c r="AZ18" s="2">
        <f>AY18+真實IC!AZ18</f>
        <v>2.9100587271930438</v>
      </c>
      <c r="BA18" s="2">
        <f>AZ18+真實IC!BA18</f>
        <v>3.0939510506892742</v>
      </c>
      <c r="BB18" s="2">
        <f>BA18+真實IC!BB18</f>
        <v>3.2492615744706597</v>
      </c>
      <c r="BC18" s="2">
        <f>BB18+真實IC!BC18</f>
        <v>3.3136726632895663</v>
      </c>
      <c r="BD18" s="2">
        <f>BC18+真實IC!BD18</f>
        <v>3.3074938303297277</v>
      </c>
      <c r="BE18" s="2">
        <f>BD18+真實IC!BE18</f>
        <v>3.3621104997929967</v>
      </c>
      <c r="BF18" s="2">
        <f>BE18+真實IC!BF18</f>
        <v>3.4937648071800096</v>
      </c>
      <c r="BG18" s="2">
        <f>BF18+真實IC!BG18</f>
        <v>3.5840386647579607</v>
      </c>
      <c r="BH18" s="2">
        <f>BG18+真實IC!BH18</f>
        <v>3.6474115321717662</v>
      </c>
      <c r="BI18" s="2">
        <f>BH18+真實IC!BI18</f>
        <v>3.8277278527523553</v>
      </c>
      <c r="BJ18" s="2">
        <f>BI18+真實IC!BJ18</f>
        <v>3.9138748954585525</v>
      </c>
      <c r="BK18" s="2">
        <f>BJ18+真實IC!BK18</f>
        <v>3.9181453863660849</v>
      </c>
      <c r="BL18" s="2">
        <f>BK18+真實IC!BL18</f>
        <v>3.9773173853629755</v>
      </c>
      <c r="BM18" s="2">
        <f>BL18+真實IC!BM18</f>
        <v>3.9948038982297893</v>
      </c>
      <c r="BN18" s="2">
        <f>BM18+真實IC!BN18</f>
        <v>3.9854892012601062</v>
      </c>
      <c r="BO18" s="2">
        <f>BN18+真實IC!BO18</f>
        <v>3.9690738314302201</v>
      </c>
      <c r="BP18" s="2">
        <f>BO18+真實IC!BP18</f>
        <v>3.9291049386847567</v>
      </c>
      <c r="BQ18" s="2">
        <f>BP18+真實IC!BQ18</f>
        <v>3.9959018097529735</v>
      </c>
      <c r="BR18" s="2">
        <f>BQ18+真實IC!BR18</f>
        <v>4.1350542634996161</v>
      </c>
      <c r="BS18" s="2">
        <f>BR18+真實IC!BS18</f>
        <v>4.1818246457970423</v>
      </c>
      <c r="BT18" s="2">
        <f>BS18+真實IC!BT18</f>
        <v>4.2229983696905684</v>
      </c>
      <c r="BU18" s="2">
        <f>BT18+真實IC!BU18</f>
        <v>4.3182709591040283</v>
      </c>
      <c r="BV18" s="2">
        <f>BU18+真實IC!BV18</f>
        <v>4.3588701751639851</v>
      </c>
      <c r="BW18" s="2">
        <f>BV18+真實IC!BW18</f>
        <v>4.8270132435118258</v>
      </c>
      <c r="BX18" s="2">
        <f>BW18+真實IC!BX18</f>
        <v>4.8218602289038461</v>
      </c>
      <c r="BY18" s="2">
        <f>BX18+真實IC!BY18</f>
        <v>4.9916199180933809</v>
      </c>
      <c r="BZ18" s="2">
        <f>BY18+真實IC!BZ18</f>
        <v>5.1448881231424712</v>
      </c>
      <c r="CA18" s="2">
        <f>BZ18+真實IC!CA18</f>
        <v>5.1784103645958472</v>
      </c>
      <c r="CB18" s="2">
        <f>CA18+真實IC!CB18</f>
        <v>5.1983725088456554</v>
      </c>
      <c r="CC18" s="2">
        <f>CB18+真實IC!CC18</f>
        <v>5.2116970327516841</v>
      </c>
      <c r="CD18" s="2">
        <f>CC18+真實IC!CD18</f>
        <v>5.3549954565973312</v>
      </c>
      <c r="CE18" s="2">
        <f>CD18+真實IC!CE18</f>
        <v>5.7185254533887795</v>
      </c>
      <c r="CF18" s="2">
        <f>CE18+真實IC!CF18</f>
        <v>5.7504159937893746</v>
      </c>
      <c r="CG18" s="2">
        <f>CF18+真實IC!CG18</f>
        <v>5.8643259069448366</v>
      </c>
      <c r="CH18" s="2">
        <f>CG18+真實IC!CH18</f>
        <v>6.1415664790294606</v>
      </c>
      <c r="CI18" s="2">
        <f>CH18+真實IC!CI18</f>
        <v>6.190744868904221</v>
      </c>
      <c r="CJ18" s="2">
        <f>CI18+真實IC!CJ18</f>
        <v>6.2069745231968518</v>
      </c>
      <c r="CK18" s="2">
        <f>CJ18+真實IC!CK18</f>
        <v>6.2301106832110564</v>
      </c>
      <c r="CL18" s="2">
        <f>CK18+真實IC!CL18</f>
        <v>6.31496219157862</v>
      </c>
      <c r="CM18" s="2">
        <f>CL18+真實IC!CM18</f>
        <v>6.3411889760077376</v>
      </c>
      <c r="CN18" s="2">
        <f>CM18+真實IC!CN18</f>
        <v>6.6893630484013054</v>
      </c>
      <c r="CO18" s="2">
        <f>CN18+真實IC!CO18</f>
        <v>6.9171626887273714</v>
      </c>
      <c r="CP18" s="2">
        <f>CO18+真實IC!CP18</f>
        <v>7.0193910329296498</v>
      </c>
      <c r="CQ18" s="2">
        <f>CP18+真實IC!CQ18</f>
        <v>7.1360962105890557</v>
      </c>
      <c r="CR18" s="2">
        <f>CQ18+真實IC!CR18</f>
        <v>7.4614605349252967</v>
      </c>
      <c r="CS18" s="2">
        <f>CR18+真實IC!CS18</f>
        <v>7.5408918545331298</v>
      </c>
      <c r="CT18" s="2">
        <f>CS18+真實IC!CT18</f>
        <v>7.6029291693615901</v>
      </c>
      <c r="CU18" s="2">
        <f>CT18+真實IC!CU18</f>
        <v>7.7799745428116793</v>
      </c>
      <c r="CV18" s="2">
        <f>CU18+真實IC!CV18</f>
        <v>7.8572066294662095</v>
      </c>
      <c r="CW18" s="2">
        <f>CV18+真實IC!CW18</f>
        <v>7.9418010460218715</v>
      </c>
      <c r="CX18" s="2">
        <f>CW18+真實IC!CX18</f>
        <v>8.0111173266333982</v>
      </c>
      <c r="CY18" s="2">
        <f>CX18+真實IC!CY18</f>
        <v>8.0484620164149785</v>
      </c>
      <c r="CZ18" s="2">
        <f>CY18+真實IC!CZ18</f>
        <v>8.2653767017878401</v>
      </c>
      <c r="DA18" s="2">
        <f>CZ18+真實IC!DA18</f>
        <v>8.2706934036969884</v>
      </c>
      <c r="DB18" s="2">
        <f>DA18+真實IC!DB18</f>
        <v>8.5648749639121284</v>
      </c>
      <c r="DC18" s="2">
        <f>DB18+真實IC!DC18</f>
        <v>8.56085055060821</v>
      </c>
      <c r="DD18" s="2">
        <f>DC18+真實IC!DD18</f>
        <v>8.6431571154503555</v>
      </c>
      <c r="DE18" s="2">
        <f>DD18+真實IC!DE18</f>
        <v>8.7182985170749099</v>
      </c>
      <c r="DF18" s="2">
        <f>DE18+真實IC!DF18</f>
        <v>8.8860874465952815</v>
      </c>
      <c r="DG18" s="2">
        <f>DF18+真實IC!DG18</f>
        <v>8.9642154421240381</v>
      </c>
      <c r="DH18" s="2">
        <f>DG18+真實IC!DH18</f>
        <v>9.0165345530901355</v>
      </c>
      <c r="DI18" s="2">
        <f>DH18+真實IC!DI18</f>
        <v>9.0485440246144559</v>
      </c>
      <c r="DJ18" s="2">
        <f>DI18+真實IC!DJ18</f>
        <v>9.0820380888333538</v>
      </c>
      <c r="DK18" s="2">
        <f>DJ18+真實IC!DK18</f>
        <v>9.101160350073533</v>
      </c>
      <c r="DL18" s="2">
        <f>DK18+真實IC!DL18</f>
        <v>9.1077793145636203</v>
      </c>
      <c r="DM18" s="2">
        <f>DL18+真實IC!DM18</f>
        <v>9.1874368718857244</v>
      </c>
      <c r="DN18" s="2">
        <f>DM18+真實IC!DN18</f>
        <v>9.2078590911995022</v>
      </c>
      <c r="DO18" s="2">
        <f>DN18+真實IC!DO18</f>
        <v>9.3120084308990787</v>
      </c>
      <c r="DP18" s="2">
        <f>DO18+真實IC!DP18</f>
        <v>9.4470121568902883</v>
      </c>
      <c r="DQ18" s="2">
        <f>DP18+真實IC!DQ18</f>
        <v>9.5460708166492587</v>
      </c>
      <c r="DR18" s="2">
        <f>DQ18+真實IC!DR18</f>
        <v>9.567736494854806</v>
      </c>
      <c r="DS18" s="2">
        <f>DR18+真實IC!DS18</f>
        <v>9.653572264939104</v>
      </c>
      <c r="DT18" s="2">
        <f>DS18+真實IC!DT18</f>
        <v>9.678107698212683</v>
      </c>
      <c r="DU18" s="2">
        <f>DT18+真實IC!DU18</f>
        <v>9.8127799713946349</v>
      </c>
      <c r="DV18" s="2">
        <f>DU18+真實IC!DV18</f>
        <v>9.9677631165825193</v>
      </c>
      <c r="DW18" s="2">
        <f>DV18+真實IC!DW18</f>
        <v>9.9935273489682928</v>
      </c>
      <c r="DX18" s="2">
        <f>DW18+真實IC!DX18</f>
        <v>10.181632304335466</v>
      </c>
      <c r="DY18" s="2">
        <f>DX18+真實IC!DY18</f>
        <v>10.23096677038129</v>
      </c>
      <c r="DZ18" s="2">
        <f>DY18+真實IC!DZ18</f>
        <v>10.196333891387178</v>
      </c>
      <c r="EA18" s="2">
        <f>DZ18+真實IC!EA18</f>
        <v>10.23799270831242</v>
      </c>
      <c r="EB18" s="2">
        <f>EA18+真實IC!EB18</f>
        <v>10.348253705170725</v>
      </c>
      <c r="EC18" s="2">
        <f>EB18+真實IC!EC18</f>
        <v>10.338207385841756</v>
      </c>
      <c r="ED18" s="2">
        <f>EC18+真實IC!ED18</f>
        <v>10.504844145581352</v>
      </c>
      <c r="EE18" s="2">
        <f>ED18+真實IC!EE18</f>
        <v>10.590083432735645</v>
      </c>
      <c r="EF18" s="2">
        <f>EE18+真實IC!EF18</f>
        <v>10.758201048907805</v>
      </c>
      <c r="EG18" s="2">
        <f>EF18+真實IC!EG18</f>
        <v>11.197536813014143</v>
      </c>
      <c r="EH18" s="2">
        <f>EG18+真實IC!EH18</f>
        <v>11.206428167132014</v>
      </c>
      <c r="EI18" s="2">
        <f>EH18+真實IC!EI18</f>
        <v>11.243433007147054</v>
      </c>
      <c r="EJ18" s="2">
        <f>EI18+真實IC!EJ18</f>
        <v>11.310272608441947</v>
      </c>
      <c r="EK18" s="2">
        <f>EJ18+真實IC!EK18</f>
        <v>11.435082942886723</v>
      </c>
      <c r="EL18" s="2">
        <f>EK18+真實IC!EL18</f>
        <v>11.449138404224655</v>
      </c>
    </row>
    <row r="19" spans="1:142" x14ac:dyDescent="0.3">
      <c r="A19" s="11">
        <v>180</v>
      </c>
      <c r="B19" s="11">
        <f t="shared" si="10"/>
        <v>6</v>
      </c>
      <c r="C19" s="2">
        <v>0.25825037374733928</v>
      </c>
      <c r="D19" s="2">
        <f>C19+真實IC!D19</f>
        <v>0.32890595657094557</v>
      </c>
      <c r="E19" s="2">
        <f>D19+真實IC!E19</f>
        <v>0.41264880920714325</v>
      </c>
      <c r="F19" s="2">
        <f>E19+真實IC!F19</f>
        <v>0.41283605410729834</v>
      </c>
      <c r="G19" s="2">
        <f>F19+真實IC!G19</f>
        <v>0.4282301187647673</v>
      </c>
      <c r="H19" s="2">
        <f>G19+真實IC!H19</f>
        <v>0.5038332552913809</v>
      </c>
      <c r="I19" s="2">
        <f>H19+真實IC!I19</f>
        <v>0.53724245939564963</v>
      </c>
      <c r="J19" s="2">
        <f>I19+真實IC!J19</f>
        <v>0.69721674216228569</v>
      </c>
      <c r="K19" s="2">
        <f>J19+真實IC!K19</f>
        <v>0.79365927188329755</v>
      </c>
      <c r="L19" s="2">
        <f>K19+真實IC!L19</f>
        <v>0.75199230430899155</v>
      </c>
      <c r="M19" s="2">
        <f>L19+真實IC!M19</f>
        <v>0.63210588013898861</v>
      </c>
      <c r="N19" s="2">
        <f>M19+真實IC!N19</f>
        <v>0.77794392881005037</v>
      </c>
      <c r="O19" s="2">
        <f>N19+真實IC!O19</f>
        <v>0.76171053324656468</v>
      </c>
      <c r="P19" s="2">
        <f>O19+真實IC!P19</f>
        <v>0.75395029002120539</v>
      </c>
      <c r="Q19" s="2">
        <f>P19+真實IC!Q19</f>
        <v>0.66373768461417137</v>
      </c>
      <c r="R19" s="2">
        <f>Q19+真實IC!R19</f>
        <v>0.59166637439194703</v>
      </c>
      <c r="S19" s="2">
        <f>R19+真實IC!S19</f>
        <v>0.65348260843129369</v>
      </c>
      <c r="T19" s="2">
        <f>S19+真實IC!T19</f>
        <v>0.67675447565428282</v>
      </c>
      <c r="U19" s="2">
        <f>T19+真實IC!U19</f>
        <v>0.68012769826092145</v>
      </c>
      <c r="V19" s="2">
        <f>U19+真實IC!V19</f>
        <v>0.66083819876112637</v>
      </c>
      <c r="W19" s="2">
        <f>V19+真實IC!W19</f>
        <v>0.7988972124459931</v>
      </c>
      <c r="X19" s="2">
        <f>W19+真實IC!X19</f>
        <v>1.0175771516698882</v>
      </c>
      <c r="Y19" s="2">
        <f>X19+真實IC!Y19</f>
        <v>1.0520503426720635</v>
      </c>
      <c r="Z19" s="2">
        <f>Y19+真實IC!Z19</f>
        <v>1.2083878089844999</v>
      </c>
      <c r="AA19" s="2">
        <f>Z19+真實IC!AA19</f>
        <v>1.3198373322295671</v>
      </c>
      <c r="AB19" s="2">
        <f>AA19+真實IC!AB19</f>
        <v>1.4107135726290863</v>
      </c>
      <c r="AC19" s="2">
        <f>AB19+真實IC!AC19</f>
        <v>1.4203800383227527</v>
      </c>
      <c r="AD19" s="2">
        <f>AC19+真實IC!AD19</f>
        <v>1.3798521949749811</v>
      </c>
      <c r="AE19" s="2">
        <f>AD19+真實IC!AE19</f>
        <v>1.4028601394133908</v>
      </c>
      <c r="AF19" s="2">
        <f>AE19+真實IC!AF19</f>
        <v>1.5005430451158022</v>
      </c>
      <c r="AG19" s="2">
        <f>AF19+真實IC!AG19</f>
        <v>1.5477394533120081</v>
      </c>
      <c r="AH19" s="2">
        <f>AG19+真實IC!AH19</f>
        <v>1.547180576359571</v>
      </c>
      <c r="AI19" s="2">
        <f>AH19+真實IC!AI19</f>
        <v>1.6066312960130908</v>
      </c>
      <c r="AJ19" s="2">
        <f>AI19+真實IC!AJ19</f>
        <v>1.6025145386117199</v>
      </c>
      <c r="AK19" s="2">
        <f>AJ19+真實IC!AK19</f>
        <v>1.5849911135555275</v>
      </c>
      <c r="AL19" s="2">
        <f>AK19+真實IC!AL19</f>
        <v>1.6577341552462284</v>
      </c>
      <c r="AM19" s="2">
        <f>AL19+真實IC!AM19</f>
        <v>1.6714199688977696</v>
      </c>
      <c r="AN19" s="2">
        <f>AM19+真實IC!AN19</f>
        <v>1.8089323828505559</v>
      </c>
      <c r="AO19" s="2">
        <f>AN19+真實IC!AO19</f>
        <v>1.931833297205416</v>
      </c>
      <c r="AP19" s="2">
        <f>AO19+真實IC!AP19</f>
        <v>1.9004180489537295</v>
      </c>
      <c r="AQ19" s="2">
        <f>AP19+真實IC!AQ19</f>
        <v>1.8356327432004689</v>
      </c>
      <c r="AR19" s="2">
        <f>AQ19+真實IC!AR19</f>
        <v>1.9743631625589935</v>
      </c>
      <c r="AS19" s="2">
        <f>AR19+真實IC!AS19</f>
        <v>1.9413490468871293</v>
      </c>
      <c r="AT19" s="2">
        <f>AS19+真實IC!AT19</f>
        <v>2.2089996249536448</v>
      </c>
      <c r="AU19" s="2">
        <f>AT19+真實IC!AU19</f>
        <v>2.3461760210624454</v>
      </c>
      <c r="AV19" s="2">
        <f>AU19+真實IC!AV19</f>
        <v>2.4349428512035174</v>
      </c>
      <c r="AW19" s="2">
        <f>AV19+真實IC!AW19</f>
        <v>2.4342331728408104</v>
      </c>
      <c r="AX19" s="2">
        <f>AW19+真實IC!AX19</f>
        <v>2.6132983850435449</v>
      </c>
      <c r="AY19" s="2">
        <f>AX19+真實IC!AY19</f>
        <v>2.5945893137223535</v>
      </c>
      <c r="AZ19" s="2">
        <f>AY19+真實IC!AZ19</f>
        <v>2.6755002225283806</v>
      </c>
      <c r="BA19" s="2">
        <f>AZ19+真實IC!BA19</f>
        <v>2.8670284574412834</v>
      </c>
      <c r="BB19" s="2">
        <f>BA19+真實IC!BB19</f>
        <v>3.0253339980686307</v>
      </c>
      <c r="BC19" s="2">
        <f>BB19+真實IC!BC19</f>
        <v>3.0747500424118828</v>
      </c>
      <c r="BD19" s="2">
        <f>BC19+真實IC!BD19</f>
        <v>3.0743689628619886</v>
      </c>
      <c r="BE19" s="2">
        <f>BD19+真實IC!BE19</f>
        <v>3.1121034190880166</v>
      </c>
      <c r="BF19" s="2">
        <f>BE19+真實IC!BF19</f>
        <v>3.2136823402963888</v>
      </c>
      <c r="BG19" s="2">
        <f>BF19+真實IC!BG19</f>
        <v>3.3427945002352923</v>
      </c>
      <c r="BH19" s="2">
        <f>BG19+真實IC!BH19</f>
        <v>3.3385803063675459</v>
      </c>
      <c r="BI19" s="2">
        <f>BH19+真實IC!BI19</f>
        <v>3.4917787636934943</v>
      </c>
      <c r="BJ19" s="2">
        <f>BI19+真實IC!BJ19</f>
        <v>3.5927859074016015</v>
      </c>
      <c r="BK19" s="2">
        <f>BJ19+真實IC!BK19</f>
        <v>3.5984780295798906</v>
      </c>
      <c r="BL19" s="2">
        <f>BK19+真實IC!BL19</f>
        <v>3.6648577151563861</v>
      </c>
      <c r="BM19" s="2">
        <f>BL19+真實IC!BM19</f>
        <v>3.7009961862719316</v>
      </c>
      <c r="BN19" s="2">
        <f>BM19+真實IC!BN19</f>
        <v>3.6944983468291168</v>
      </c>
      <c r="BO19" s="2">
        <f>BN19+真實IC!BO19</f>
        <v>3.6881281288975813</v>
      </c>
      <c r="BP19" s="2">
        <f>BO19+真實IC!BP19</f>
        <v>3.709300572456947</v>
      </c>
      <c r="BQ19" s="2">
        <f>BP19+真實IC!BQ19</f>
        <v>3.7833310035550682</v>
      </c>
      <c r="BR19" s="2">
        <f>BQ19+真實IC!BR19</f>
        <v>3.9517844192008238</v>
      </c>
      <c r="BS19" s="2">
        <f>BR19+真實IC!BS19</f>
        <v>4.002413811836373</v>
      </c>
      <c r="BT19" s="2">
        <f>BS19+真實IC!BT19</f>
        <v>4.0370882676306126</v>
      </c>
      <c r="BU19" s="2">
        <f>BT19+真實IC!BU19</f>
        <v>4.1570599158636066</v>
      </c>
      <c r="BV19" s="2">
        <f>BU19+真實IC!BV19</f>
        <v>4.204039809467667</v>
      </c>
      <c r="BW19" s="2">
        <f>BV19+真實IC!BW19</f>
        <v>4.7276275135284571</v>
      </c>
      <c r="BX19" s="2">
        <f>BW19+真實IC!BX19</f>
        <v>4.7297039405379495</v>
      </c>
      <c r="BY19" s="2">
        <f>BX19+真實IC!BY19</f>
        <v>4.8908114590528733</v>
      </c>
      <c r="BZ19" s="2">
        <f>BY19+真實IC!BZ19</f>
        <v>5.051369923962441</v>
      </c>
      <c r="CA19" s="2">
        <f>BZ19+真實IC!CA19</f>
        <v>5.0761910963838535</v>
      </c>
      <c r="CB19" s="2">
        <f>CA19+真實IC!CB19</f>
        <v>5.093031529360653</v>
      </c>
      <c r="CC19" s="2">
        <f>CB19+真實IC!CC19</f>
        <v>5.120729214774375</v>
      </c>
      <c r="CD19" s="2">
        <f>CC19+真實IC!CD19</f>
        <v>5.2813477174362937</v>
      </c>
      <c r="CE19" s="2">
        <f>CD19+真實IC!CE19</f>
        <v>5.4272658557809299</v>
      </c>
      <c r="CF19" s="2">
        <f>CE19+真實IC!CF19</f>
        <v>5.4278591032589896</v>
      </c>
      <c r="CG19" s="2">
        <f>CF19+真實IC!CG19</f>
        <v>5.5441110286880653</v>
      </c>
      <c r="CH19" s="2">
        <f>CG19+真實IC!CH19</f>
        <v>5.8222879575477204</v>
      </c>
      <c r="CI19" s="2">
        <f>CH19+真實IC!CI19</f>
        <v>5.8840387165954127</v>
      </c>
      <c r="CJ19" s="2">
        <f>CI19+真實IC!CJ19</f>
        <v>5.8784987473322152</v>
      </c>
      <c r="CK19" s="2">
        <f>CJ19+真實IC!CK19</f>
        <v>5.9025986064750358</v>
      </c>
      <c r="CL19" s="2">
        <f>CK19+真實IC!CL19</f>
        <v>5.999716600204513</v>
      </c>
      <c r="CM19" s="2">
        <f>CL19+真實IC!CM19</f>
        <v>6.0221444593453572</v>
      </c>
      <c r="CN19" s="2">
        <f>CM19+真實IC!CN19</f>
        <v>6.4238768260989314</v>
      </c>
      <c r="CO19" s="2">
        <f>CN19+真實IC!CO19</f>
        <v>6.6904577032100807</v>
      </c>
      <c r="CP19" s="2">
        <f>CO19+真實IC!CP19</f>
        <v>6.793903435958863</v>
      </c>
      <c r="CQ19" s="2">
        <f>CP19+真實IC!CQ19</f>
        <v>6.8977282639598503</v>
      </c>
      <c r="CR19" s="2">
        <f>CQ19+真實IC!CR19</f>
        <v>6.9655906185182248</v>
      </c>
      <c r="CS19" s="2">
        <f>CR19+真實IC!CS19</f>
        <v>7.0719130813465023</v>
      </c>
      <c r="CT19" s="2">
        <f>CS19+真實IC!CT19</f>
        <v>7.0761065499912297</v>
      </c>
      <c r="CU19" s="2">
        <f>CT19+真實IC!CU19</f>
        <v>7.2593549321694448</v>
      </c>
      <c r="CV19" s="2">
        <f>CU19+真實IC!CV19</f>
        <v>7.3388835242120125</v>
      </c>
      <c r="CW19" s="2">
        <f>CV19+真實IC!CW19</f>
        <v>7.4360259509494497</v>
      </c>
      <c r="CX19" s="2">
        <f>CW19+真實IC!CX19</f>
        <v>7.5095736670554087</v>
      </c>
      <c r="CY19" s="2">
        <f>CX19+真實IC!CY19</f>
        <v>7.56715311795727</v>
      </c>
      <c r="CZ19" s="2">
        <f>CY19+真實IC!CZ19</f>
        <v>7.8127303779650976</v>
      </c>
      <c r="DA19" s="2">
        <f>CZ19+真實IC!DA19</f>
        <v>7.8298412635658048</v>
      </c>
      <c r="DB19" s="2">
        <f>DA19+真實IC!DB19</f>
        <v>8.1900660754309822</v>
      </c>
      <c r="DC19" s="2">
        <f>DB19+真實IC!DC19</f>
        <v>8.1790451887596234</v>
      </c>
      <c r="DD19" s="2">
        <f>DC19+真實IC!DD19</f>
        <v>8.2926912218953586</v>
      </c>
      <c r="DE19" s="2">
        <f>DD19+真實IC!DE19</f>
        <v>8.3852590988161655</v>
      </c>
      <c r="DF19" s="2">
        <f>DE19+真實IC!DF19</f>
        <v>8.5692616891517037</v>
      </c>
      <c r="DG19" s="2">
        <f>DF19+真實IC!DG19</f>
        <v>8.6368729637231496</v>
      </c>
      <c r="DH19" s="2">
        <f>DG19+真實IC!DH19</f>
        <v>8.6823290107696653</v>
      </c>
      <c r="DI19" s="2">
        <f>DH19+真實IC!DI19</f>
        <v>8.6883234899001156</v>
      </c>
      <c r="DJ19" s="2">
        <f>DI19+真實IC!DJ19</f>
        <v>8.729794168702103</v>
      </c>
      <c r="DK19" s="2">
        <f>DJ19+真實IC!DK19</f>
        <v>8.7214246285731782</v>
      </c>
      <c r="DL19" s="2">
        <f>DK19+真實IC!DL19</f>
        <v>8.7428480291955601</v>
      </c>
      <c r="DM19" s="2">
        <f>DL19+真實IC!DM19</f>
        <v>8.8300566673155334</v>
      </c>
      <c r="DN19" s="2">
        <f>DM19+真實IC!DN19</f>
        <v>8.8562466956802677</v>
      </c>
      <c r="DO19" s="2">
        <f>DN19+真實IC!DO19</f>
        <v>8.9598484393061693</v>
      </c>
      <c r="DP19" s="2">
        <f>DO19+真實IC!DP19</f>
        <v>9.0999759186331133</v>
      </c>
      <c r="DQ19" s="2">
        <f>DP19+真實IC!DQ19</f>
        <v>9.2067778447333666</v>
      </c>
      <c r="DR19" s="2">
        <f>DQ19+真實IC!DR19</f>
        <v>9.2410692815004403</v>
      </c>
      <c r="DS19" s="2">
        <f>DR19+真實IC!DS19</f>
        <v>9.3143353243288303</v>
      </c>
      <c r="DT19" s="2">
        <f>DS19+真實IC!DT19</f>
        <v>9.3239381712189022</v>
      </c>
      <c r="DU19" s="2">
        <f>DT19+真實IC!DU19</f>
        <v>9.4617784247984975</v>
      </c>
      <c r="DV19" s="2">
        <f>DU19+真實IC!DV19</f>
        <v>9.6170328142130845</v>
      </c>
      <c r="DW19" s="2">
        <f>DV19+真實IC!DW19</f>
        <v>9.6078650430881467</v>
      </c>
      <c r="DX19" s="2">
        <f>DW19+真實IC!DX19</f>
        <v>9.8049767813156468</v>
      </c>
      <c r="DY19" s="2">
        <f>DX19+真實IC!DY19</f>
        <v>9.8541127315714707</v>
      </c>
      <c r="DZ19" s="2">
        <f>DY19+真實IC!DZ19</f>
        <v>9.8368357315623651</v>
      </c>
      <c r="EA19" s="2">
        <f>DZ19+真實IC!EA19</f>
        <v>9.8728616613340829</v>
      </c>
      <c r="EB19" s="2">
        <f>EA19+真實IC!EB19</f>
        <v>10.033004766994996</v>
      </c>
      <c r="EC19" s="2">
        <f>EB19+真實IC!EC19</f>
        <v>10.127888074790565</v>
      </c>
      <c r="ED19" s="2">
        <f>EC19+真實IC!ED19</f>
        <v>10.26717579361901</v>
      </c>
      <c r="EE19" s="2">
        <f>ED19+真實IC!EE19</f>
        <v>10.348529866769479</v>
      </c>
      <c r="EF19" s="2">
        <f>EE19+真實IC!EF19</f>
        <v>10.5091577769526</v>
      </c>
      <c r="EG19" s="2">
        <f>EF19+真實IC!EG19</f>
        <v>11.008185276172522</v>
      </c>
      <c r="EH19" s="2">
        <f>EG19+真實IC!EH19</f>
        <v>11.026023737545209</v>
      </c>
      <c r="EI19" s="2">
        <f>EH19+真實IC!EI19</f>
        <v>11.083416692466768</v>
      </c>
      <c r="EJ19" s="2">
        <f>EI19+真實IC!EJ19</f>
        <v>11.159940613982686</v>
      </c>
      <c r="EK19" s="2">
        <f>EJ19+真實IC!EK19</f>
        <v>11.328458146420591</v>
      </c>
      <c r="EL19" s="2">
        <f>EK19+真實IC!EL19</f>
        <v>11.383856324501915</v>
      </c>
    </row>
    <row r="20" spans="1:142" x14ac:dyDescent="0.3">
      <c r="A20" s="11">
        <v>200</v>
      </c>
      <c r="B20" s="11">
        <f t="shared" si="10"/>
        <v>5</v>
      </c>
      <c r="C20" s="2">
        <v>0.241035745977561</v>
      </c>
      <c r="D20" s="2">
        <f>C20+真實IC!D20</f>
        <v>0.31537791040123309</v>
      </c>
      <c r="E20" s="2">
        <f>D20+真實IC!E20</f>
        <v>0.34433205267850675</v>
      </c>
      <c r="F20" s="2">
        <f>E20+真實IC!F20</f>
        <v>0.29805050221498897</v>
      </c>
      <c r="G20" s="2">
        <f>F20+真實IC!G20</f>
        <v>0.42567225422234317</v>
      </c>
      <c r="H20" s="2">
        <f>G20+真實IC!H20</f>
        <v>0.46598150236809088</v>
      </c>
      <c r="I20" s="2">
        <f>H20+真實IC!I20</f>
        <v>0.4622584720588081</v>
      </c>
      <c r="J20" s="2">
        <f>I20+真實IC!J20</f>
        <v>0.66829303027878906</v>
      </c>
      <c r="K20" s="2">
        <f>J20+真實IC!K20</f>
        <v>0.82509406905449656</v>
      </c>
      <c r="L20" s="2">
        <f>K20+真實IC!L20</f>
        <v>0.7609140856709995</v>
      </c>
      <c r="M20" s="2">
        <f>L20+真實IC!M20</f>
        <v>0.59761535111494735</v>
      </c>
      <c r="N20" s="2">
        <f>M20+真實IC!N20</f>
        <v>0.74688962023122707</v>
      </c>
      <c r="O20" s="2">
        <f>N20+真實IC!O20</f>
        <v>0.74241814500318559</v>
      </c>
      <c r="P20" s="2">
        <f>O20+真實IC!P20</f>
        <v>0.7252272060523276</v>
      </c>
      <c r="Q20" s="2">
        <f>P20+真實IC!Q20</f>
        <v>0.64915327216981633</v>
      </c>
      <c r="R20" s="2">
        <f>Q20+真實IC!R20</f>
        <v>0.56177355302270582</v>
      </c>
      <c r="S20" s="2">
        <f>R20+真實IC!S20</f>
        <v>0.63476812989999376</v>
      </c>
      <c r="T20" s="2">
        <f>S20+真實IC!T20</f>
        <v>0.61757486251242544</v>
      </c>
      <c r="U20" s="2">
        <f>T20+真實IC!U20</f>
        <v>0.59867576450359317</v>
      </c>
      <c r="V20" s="2">
        <f>U20+真實IC!V20</f>
        <v>0.6019655468968137</v>
      </c>
      <c r="W20" s="2">
        <f>V20+真實IC!W20</f>
        <v>0.76812958181769242</v>
      </c>
      <c r="X20" s="2">
        <f>W20+真實IC!X20</f>
        <v>0.97165854605658863</v>
      </c>
      <c r="Y20" s="2">
        <f>X20+真實IC!Y20</f>
        <v>1.0374698023819648</v>
      </c>
      <c r="Z20" s="2">
        <f>Y20+真實IC!Z20</f>
        <v>1.1940140076131827</v>
      </c>
      <c r="AA20" s="2">
        <f>Z20+真實IC!AA20</f>
        <v>1.3138929193315068</v>
      </c>
      <c r="AB20" s="2">
        <f>AA20+真實IC!AB20</f>
        <v>1.3905171377276335</v>
      </c>
      <c r="AC20" s="2">
        <f>AB20+真實IC!AC20</f>
        <v>1.4085935294400345</v>
      </c>
      <c r="AD20" s="2">
        <f>AC20+真實IC!AD20</f>
        <v>1.361005661609251</v>
      </c>
      <c r="AE20" s="2">
        <f>AD20+真實IC!AE20</f>
        <v>1.377419054587903</v>
      </c>
      <c r="AF20" s="2">
        <f>AE20+真實IC!AF20</f>
        <v>1.497028248058113</v>
      </c>
      <c r="AG20" s="2">
        <f>AF20+真實IC!AG20</f>
        <v>1.5537532754570236</v>
      </c>
      <c r="AH20" s="2">
        <f>AG20+真實IC!AH20</f>
        <v>1.5429694717002642</v>
      </c>
      <c r="AI20" s="2">
        <f>AH20+真實IC!AI20</f>
        <v>1.6096453103932067</v>
      </c>
      <c r="AJ20" s="2">
        <f>AI20+真實IC!AJ20</f>
        <v>1.6337623381408604</v>
      </c>
      <c r="AK20" s="2">
        <f>AJ20+真實IC!AK20</f>
        <v>1.7144519722352654</v>
      </c>
      <c r="AL20" s="2">
        <f>AK20+真實IC!AL20</f>
        <v>1.7973177902658388</v>
      </c>
      <c r="AM20" s="2">
        <f>AL20+真實IC!AM20</f>
        <v>1.7757266875158528</v>
      </c>
      <c r="AN20" s="2">
        <f>AM20+真實IC!AN20</f>
        <v>1.9254961111816196</v>
      </c>
      <c r="AO20" s="2">
        <f>AN20+真實IC!AO20</f>
        <v>2.0926863765281469</v>
      </c>
      <c r="AP20" s="2">
        <f>AO20+真實IC!AP20</f>
        <v>2.068582991617403</v>
      </c>
      <c r="AQ20" s="2">
        <f>AP20+真實IC!AQ20</f>
        <v>2.0032031823815362</v>
      </c>
      <c r="AR20" s="2">
        <f>AQ20+真實IC!AR20</f>
        <v>2.2048279480956907</v>
      </c>
      <c r="AS20" s="2">
        <f>AR20+真實IC!AS20</f>
        <v>2.149510396991865</v>
      </c>
      <c r="AT20" s="2">
        <f>AS20+真實IC!AT20</f>
        <v>2.2554012302402913</v>
      </c>
      <c r="AU20" s="2">
        <f>AT20+真實IC!AU20</f>
        <v>2.4152231529384851</v>
      </c>
      <c r="AV20" s="2">
        <f>AU20+真實IC!AV20</f>
        <v>2.4948130744331292</v>
      </c>
      <c r="AW20" s="2">
        <f>AV20+真實IC!AW20</f>
        <v>2.5073768928156435</v>
      </c>
      <c r="AX20" s="2">
        <f>AW20+真實IC!AX20</f>
        <v>2.6998472153568134</v>
      </c>
      <c r="AY20" s="2">
        <f>AX20+真實IC!AY20</f>
        <v>2.6925657730941142</v>
      </c>
      <c r="AZ20" s="2">
        <f>AY20+真實IC!AZ20</f>
        <v>2.7479162063643101</v>
      </c>
      <c r="BA20" s="2">
        <f>AZ20+真實IC!BA20</f>
        <v>2.9380865084829422</v>
      </c>
      <c r="BB20" s="2">
        <f>BA20+真實IC!BB20</f>
        <v>3.104779722205127</v>
      </c>
      <c r="BC20" s="2">
        <f>BB20+真實IC!BC20</f>
        <v>3.1136247095119955</v>
      </c>
      <c r="BD20" s="2">
        <f>BC20+真實IC!BD20</f>
        <v>3.1393177533602694</v>
      </c>
      <c r="BE20" s="2">
        <f>BD20+真實IC!BE20</f>
        <v>3.2076315143254015</v>
      </c>
      <c r="BF20" s="2">
        <f>BE20+真實IC!BF20</f>
        <v>3.3050830477804931</v>
      </c>
      <c r="BG20" s="2">
        <f>BF20+真實IC!BG20</f>
        <v>3.4419360459274375</v>
      </c>
      <c r="BH20" s="2">
        <f>BG20+真實IC!BH20</f>
        <v>3.4175843898335665</v>
      </c>
      <c r="BI20" s="2">
        <f>BH20+真實IC!BI20</f>
        <v>3.5614073926402008</v>
      </c>
      <c r="BJ20" s="2">
        <f>BI20+真實IC!BJ20</f>
        <v>3.7054914609821985</v>
      </c>
      <c r="BK20" s="2">
        <f>BJ20+真實IC!BK20</f>
        <v>3.712636626365287</v>
      </c>
      <c r="BL20" s="2">
        <f>BK20+真實IC!BL20</f>
        <v>3.7676609286698408</v>
      </c>
      <c r="BM20" s="2">
        <f>BL20+真實IC!BM20</f>
        <v>3.7820722997118494</v>
      </c>
      <c r="BN20" s="2">
        <f>BM20+真實IC!BN20</f>
        <v>3.7550146824349588</v>
      </c>
      <c r="BO20" s="2">
        <f>BN20+真實IC!BO20</f>
        <v>3.7338779017810513</v>
      </c>
      <c r="BP20" s="2">
        <f>BO20+真實IC!BP20</f>
        <v>3.7450321987442843</v>
      </c>
      <c r="BQ20" s="2">
        <f>BP20+真實IC!BQ20</f>
        <v>3.804867383332371</v>
      </c>
      <c r="BR20" s="2">
        <f>BQ20+真實IC!BR20</f>
        <v>3.9513541366234533</v>
      </c>
      <c r="BS20" s="2">
        <f>BR20+真實IC!BS20</f>
        <v>3.9896063349330895</v>
      </c>
      <c r="BT20" s="2">
        <f>BS20+真實IC!BT20</f>
        <v>4.0409947971528117</v>
      </c>
      <c r="BU20" s="2">
        <f>BT20+真實IC!BU20</f>
        <v>4.1446361563756726</v>
      </c>
      <c r="BV20" s="2">
        <f>BU20+真實IC!BV20</f>
        <v>4.2168644825171535</v>
      </c>
      <c r="BW20" s="2">
        <f>BV20+真實IC!BW20</f>
        <v>4.795229198914595</v>
      </c>
      <c r="BX20" s="2">
        <f>BW20+真實IC!BX20</f>
        <v>4.806640090391193</v>
      </c>
      <c r="BY20" s="2">
        <f>BX20+真實IC!BY20</f>
        <v>5.0083346367842783</v>
      </c>
      <c r="BZ20" s="2">
        <f>BY20+真實IC!BZ20</f>
        <v>5.1644479471946836</v>
      </c>
      <c r="CA20" s="2">
        <f>BZ20+真實IC!CA20</f>
        <v>5.1328268040795519</v>
      </c>
      <c r="CB20" s="2">
        <f>CA20+真實IC!CB20</f>
        <v>5.1503973269307579</v>
      </c>
      <c r="CC20" s="2">
        <f>CB20+真實IC!CC20</f>
        <v>5.199045938474212</v>
      </c>
      <c r="CD20" s="2">
        <f>CC20+真實IC!CD20</f>
        <v>5.3787315111851441</v>
      </c>
      <c r="CE20" s="2">
        <f>CD20+真實IC!CE20</f>
        <v>5.5097458392554142</v>
      </c>
      <c r="CF20" s="2">
        <f>CE20+真實IC!CF20</f>
        <v>5.5020337760438371</v>
      </c>
      <c r="CG20" s="2">
        <f>CF20+真實IC!CG20</f>
        <v>5.6352321661871398</v>
      </c>
      <c r="CH20" s="2">
        <f>CG20+真實IC!CH20</f>
        <v>5.8271455645903432</v>
      </c>
      <c r="CI20" s="2">
        <f>CH20+真實IC!CI20</f>
        <v>5.8846565259714074</v>
      </c>
      <c r="CJ20" s="2">
        <f>CI20+真實IC!CJ20</f>
        <v>5.8652007338515544</v>
      </c>
      <c r="CK20" s="2">
        <f>CJ20+真實IC!CK20</f>
        <v>5.9686934853571296</v>
      </c>
      <c r="CL20" s="2">
        <f>CK20+真實IC!CL20</f>
        <v>6.0924930781135425</v>
      </c>
      <c r="CM20" s="2">
        <f>CL20+真實IC!CM20</f>
        <v>6.0782311582947717</v>
      </c>
      <c r="CN20" s="2">
        <f>CM20+真實IC!CN20</f>
        <v>6.5155028069100798</v>
      </c>
      <c r="CO20" s="2">
        <f>CN20+真實IC!CO20</f>
        <v>6.8170238444011781</v>
      </c>
      <c r="CP20" s="2">
        <f>CO20+真實IC!CP20</f>
        <v>6.9614648704830735</v>
      </c>
      <c r="CQ20" s="2">
        <f>CP20+真實IC!CQ20</f>
        <v>7.0948788397976932</v>
      </c>
      <c r="CR20" s="2">
        <f>CQ20+真實IC!CR20</f>
        <v>7.1898290021917077</v>
      </c>
      <c r="CS20" s="2">
        <f>CR20+真實IC!CS20</f>
        <v>7.2938787246121022</v>
      </c>
      <c r="CT20" s="2">
        <f>CS20+真實IC!CT20</f>
        <v>7.2439280182614194</v>
      </c>
      <c r="CU20" s="2">
        <f>CT20+真實IC!CU20</f>
        <v>7.4535317323878951</v>
      </c>
      <c r="CV20" s="2">
        <f>CU20+真實IC!CV20</f>
        <v>7.5442626336641725</v>
      </c>
      <c r="CW20" s="2">
        <f>CV20+真實IC!CW20</f>
        <v>7.6482120318849711</v>
      </c>
      <c r="CX20" s="2">
        <f>CW20+真實IC!CX20</f>
        <v>7.7375085920243896</v>
      </c>
      <c r="CY20" s="2">
        <f>CX20+真實IC!CY20</f>
        <v>7.7598236283721</v>
      </c>
      <c r="CZ20" s="2">
        <f>CY20+真實IC!CZ20</f>
        <v>8.0425511467410917</v>
      </c>
      <c r="DA20" s="2">
        <f>CZ20+真實IC!DA20</f>
        <v>8.1195865221563217</v>
      </c>
      <c r="DB20" s="2">
        <f>DA20+真實IC!DB20</f>
        <v>8.5584412244081438</v>
      </c>
      <c r="DC20" s="2">
        <f>DB20+真實IC!DC20</f>
        <v>8.5521720892465609</v>
      </c>
      <c r="DD20" s="2">
        <f>DC20+真實IC!DD20</f>
        <v>8.6938816260652558</v>
      </c>
      <c r="DE20" s="2">
        <f>DD20+真實IC!DE20</f>
        <v>8.797227452751871</v>
      </c>
      <c r="DF20" s="2">
        <f>DE20+真實IC!DF20</f>
        <v>9.0132717581104433</v>
      </c>
      <c r="DG20" s="2">
        <f>DF20+真實IC!DG20</f>
        <v>9.0926075407987916</v>
      </c>
      <c r="DH20" s="2">
        <f>DG20+真實IC!DH20</f>
        <v>9.1389055314741885</v>
      </c>
      <c r="DI20" s="2">
        <f>DH20+真實IC!DI20</f>
        <v>9.086426734346146</v>
      </c>
      <c r="DJ20" s="2">
        <f>DI20+真實IC!DJ20</f>
        <v>9.1300182486493409</v>
      </c>
      <c r="DK20" s="2">
        <f>DJ20+真實IC!DK20</f>
        <v>9.121362089293962</v>
      </c>
      <c r="DL20" s="2">
        <f>DK20+真實IC!DL20</f>
        <v>9.1427927898733721</v>
      </c>
      <c r="DM20" s="2">
        <f>DL20+真實IC!DM20</f>
        <v>9.2547889248106951</v>
      </c>
      <c r="DN20" s="2">
        <f>DM20+真實IC!DN20</f>
        <v>9.2698737970347338</v>
      </c>
      <c r="DO20" s="2">
        <f>DN20+真實IC!DO20</f>
        <v>9.3918095069857852</v>
      </c>
      <c r="DP20" s="2">
        <f>DO20+真實IC!DP20</f>
        <v>9.5188330410592314</v>
      </c>
      <c r="DQ20" s="2">
        <f>DP20+真實IC!DQ20</f>
        <v>9.6293568099724425</v>
      </c>
      <c r="DR20" s="2">
        <f>DQ20+真實IC!DR20</f>
        <v>9.6606705650348026</v>
      </c>
      <c r="DS20" s="2">
        <f>DR20+真實IC!DS20</f>
        <v>9.5928240624049561</v>
      </c>
      <c r="DT20" s="2">
        <f>DS20+真實IC!DT20</f>
        <v>9.6043690824444639</v>
      </c>
      <c r="DU20" s="2">
        <f>DT20+真實IC!DU20</f>
        <v>9.7506702955863105</v>
      </c>
      <c r="DV20" s="2">
        <f>DU20+真實IC!DV20</f>
        <v>9.8965963099117715</v>
      </c>
      <c r="DW20" s="2">
        <f>DV20+真實IC!DW20</f>
        <v>9.8439795139699342</v>
      </c>
      <c r="DX20" s="2">
        <f>DW20+真實IC!DX20</f>
        <v>10.092890996362618</v>
      </c>
      <c r="DY20" s="2">
        <f>DX20+真實IC!DY20</f>
        <v>10.152761292029805</v>
      </c>
      <c r="DZ20" s="2">
        <f>DY20+真實IC!DZ20</f>
        <v>10.153710066787635</v>
      </c>
      <c r="EA20" s="2">
        <f>DZ20+真實IC!EA20</f>
        <v>10.170914843564425</v>
      </c>
      <c r="EB20" s="2">
        <f>EA20+真實IC!EB20</f>
        <v>10.341916208923895</v>
      </c>
      <c r="EC20" s="2">
        <f>EB20+真實IC!EC20</f>
        <v>10.471255365406812</v>
      </c>
      <c r="ED20" s="2">
        <f>EC20+真實IC!ED20</f>
        <v>10.598051227883769</v>
      </c>
      <c r="EE20" s="2">
        <f>ED20+真實IC!EE20</f>
        <v>10.672277488510463</v>
      </c>
      <c r="EF20" s="2">
        <f>EE20+真實IC!EF20</f>
        <v>10.798097212801856</v>
      </c>
      <c r="EG20" s="2">
        <f>EF20+真實IC!EG20</f>
        <v>11.323767614492928</v>
      </c>
      <c r="EH20" s="2">
        <f>EG20+真實IC!EH20</f>
        <v>11.349575546789405</v>
      </c>
      <c r="EI20" s="2">
        <f>EH20+真實IC!EI20</f>
        <v>11.378801678275277</v>
      </c>
      <c r="EJ20" s="2">
        <f>EI20+真實IC!EJ20</f>
        <v>11.469241431717245</v>
      </c>
      <c r="EK20" s="2">
        <f>EJ20+真實IC!EK20</f>
        <v>11.643850669169847</v>
      </c>
      <c r="EL20" s="2">
        <f>EK20+真實IC!EL20</f>
        <v>11.70441142816165</v>
      </c>
    </row>
    <row r="21" spans="1:142" x14ac:dyDescent="0.3">
      <c r="A21" s="11">
        <v>256</v>
      </c>
      <c r="B21" s="11">
        <f t="shared" si="10"/>
        <v>4</v>
      </c>
      <c r="C21" s="2">
        <v>0.2490064650579937</v>
      </c>
      <c r="D21" s="2">
        <f>C21+真實IC!D21</f>
        <v>0.3065131219121256</v>
      </c>
      <c r="E21" s="2">
        <f>D21+真實IC!E21</f>
        <v>0.34309352027809925</v>
      </c>
      <c r="F21" s="2">
        <f>E21+真實IC!F21</f>
        <v>0.23059187980619483</v>
      </c>
      <c r="G21" s="2">
        <f>F21+真實IC!G21</f>
        <v>0.37586702236986713</v>
      </c>
      <c r="H21" s="2">
        <f>G21+真實IC!H21</f>
        <v>0.33622179613191089</v>
      </c>
      <c r="I21" s="2">
        <f>H21+真實IC!I21</f>
        <v>0.24930734763207196</v>
      </c>
      <c r="J21" s="2">
        <f>I21+真實IC!J21</f>
        <v>0.48076856873991086</v>
      </c>
      <c r="K21" s="2">
        <f>J21+真實IC!K21</f>
        <v>0.56683942779418806</v>
      </c>
      <c r="L21" s="2">
        <f>K21+真實IC!L21</f>
        <v>0.48979940686894863</v>
      </c>
      <c r="M21" s="2">
        <f>L21+真實IC!M21</f>
        <v>0.2384588116676829</v>
      </c>
      <c r="N21" s="2">
        <f>M21+真實IC!N21</f>
        <v>0.3693255922923695</v>
      </c>
      <c r="O21" s="2">
        <f>N21+真實IC!O21</f>
        <v>0.43863257171172393</v>
      </c>
      <c r="P21" s="2">
        <f>O21+真實IC!P21</f>
        <v>0.38687687221849792</v>
      </c>
      <c r="Q21" s="2">
        <f>P21+真實IC!Q21</f>
        <v>0.28888837328366979</v>
      </c>
      <c r="R21" s="2">
        <f>Q21+真實IC!R21</f>
        <v>0.18710367094140479</v>
      </c>
      <c r="S21" s="2">
        <f>R21+真實IC!S21</f>
        <v>0.27143246616171313</v>
      </c>
      <c r="T21" s="2">
        <f>S21+真實IC!T21</f>
        <v>0.20767420565627553</v>
      </c>
      <c r="U21" s="2">
        <f>T21+真實IC!U21</f>
        <v>0.17215021313605572</v>
      </c>
      <c r="V21" s="2">
        <f>U21+真實IC!V21</f>
        <v>0.15704687098232792</v>
      </c>
      <c r="W21" s="2">
        <f>V21+真實IC!W21</f>
        <v>0.32251691760889556</v>
      </c>
      <c r="X21" s="2">
        <f>W21+真實IC!X21</f>
        <v>0.56519245872444301</v>
      </c>
      <c r="Y21" s="2">
        <f>X21+真實IC!Y21</f>
        <v>0.67194078107618216</v>
      </c>
      <c r="Z21" s="2">
        <f>Y21+真實IC!Z21</f>
        <v>0.87520980731058884</v>
      </c>
      <c r="AA21" s="2">
        <f>Z21+真實IC!AA21</f>
        <v>1.0276877635936232</v>
      </c>
      <c r="AB21" s="2">
        <f>AA21+真實IC!AB21</f>
        <v>1.1307232623429391</v>
      </c>
      <c r="AC21" s="2">
        <f>AB21+真實IC!AC21</f>
        <v>1.1744813843885675</v>
      </c>
      <c r="AD21" s="2">
        <f>AC21+真實IC!AD21</f>
        <v>1.1531937108138879</v>
      </c>
      <c r="AE21" s="2">
        <f>AD21+真實IC!AE21</f>
        <v>1.1478641965848375</v>
      </c>
      <c r="AF21" s="2">
        <f>AE21+真實IC!AF21</f>
        <v>1.2209083251133199</v>
      </c>
      <c r="AG21" s="2">
        <f>AF21+真實IC!AG21</f>
        <v>1.2484849410952126</v>
      </c>
      <c r="AH21" s="2">
        <f>AG21+真實IC!AH21</f>
        <v>1.2349973493267752</v>
      </c>
      <c r="AI21" s="2">
        <f>AH21+真實IC!AI21</f>
        <v>1.2908266540841236</v>
      </c>
      <c r="AJ21" s="2">
        <f>AI21+真實IC!AJ21</f>
        <v>1.3332963748650972</v>
      </c>
      <c r="AK21" s="2">
        <f>AJ21+真實IC!AK21</f>
        <v>1.383486468895015</v>
      </c>
      <c r="AL21" s="2">
        <f>AK21+真實IC!AL21</f>
        <v>1.4690339114393989</v>
      </c>
      <c r="AM21" s="2">
        <f>AL21+真實IC!AM21</f>
        <v>1.4655320348722691</v>
      </c>
      <c r="AN21" s="2">
        <f>AM21+真實IC!AN21</f>
        <v>1.6059724535037541</v>
      </c>
      <c r="AO21" s="2">
        <f>AN21+真實IC!AO21</f>
        <v>1.8035894739018954</v>
      </c>
      <c r="AP21" s="2">
        <f>AO21+真實IC!AP21</f>
        <v>1.8070795883169422</v>
      </c>
      <c r="AQ21" s="2">
        <f>AP21+真實IC!AQ21</f>
        <v>1.7674186482743084</v>
      </c>
      <c r="AR21" s="2">
        <f>AQ21+真實IC!AR21</f>
        <v>1.8955734655927143</v>
      </c>
      <c r="AS21" s="2">
        <f>AR21+真實IC!AS21</f>
        <v>1.7878133964476668</v>
      </c>
      <c r="AT21" s="2">
        <f>AS21+真實IC!AT21</f>
        <v>1.9733172985041181</v>
      </c>
      <c r="AU21" s="2">
        <f>AT21+真實IC!AU21</f>
        <v>2.1842634510421912</v>
      </c>
      <c r="AV21" s="2">
        <f>AU21+真實IC!AV21</f>
        <v>2.2647978062207446</v>
      </c>
      <c r="AW21" s="2">
        <f>AV21+真實IC!AW21</f>
        <v>2.3079814121010163</v>
      </c>
      <c r="AX21" s="2">
        <f>AW21+真實IC!AX21</f>
        <v>2.5144880138060186</v>
      </c>
      <c r="AY21" s="2">
        <f>AX21+真實IC!AY21</f>
        <v>2.464257833650406</v>
      </c>
      <c r="AZ21" s="2">
        <f>AY21+真實IC!AZ21</f>
        <v>2.4988324585990886</v>
      </c>
      <c r="BA21" s="2">
        <f>AZ21+真實IC!BA21</f>
        <v>2.7174361665016136</v>
      </c>
      <c r="BB21" s="2">
        <f>BA21+真實IC!BB21</f>
        <v>2.8890453181567084</v>
      </c>
      <c r="BC21" s="2">
        <f>BB21+真實IC!BC21</f>
        <v>2.8894569024823418</v>
      </c>
      <c r="BD21" s="2">
        <f>BC21+真實IC!BD21</f>
        <v>2.9297540443675159</v>
      </c>
      <c r="BE21" s="2">
        <f>BD21+真實IC!BE21</f>
        <v>3.0151653571165475</v>
      </c>
      <c r="BF21" s="2">
        <f>BE21+真實IC!BF21</f>
        <v>3.0882151630698567</v>
      </c>
      <c r="BG21" s="2">
        <f>BF21+真實IC!BG21</f>
        <v>3.1468862624735743</v>
      </c>
      <c r="BH21" s="2">
        <f>BG21+真實IC!BH21</f>
        <v>3.0928529464743959</v>
      </c>
      <c r="BI21" s="2">
        <f>BH21+真實IC!BI21</f>
        <v>3.2230941796013086</v>
      </c>
      <c r="BJ21" s="2">
        <f>BI21+真實IC!BJ21</f>
        <v>3.1793547326248075</v>
      </c>
      <c r="BK21" s="2">
        <f>BJ21+真實IC!BK21</f>
        <v>3.1991724935323815</v>
      </c>
      <c r="BL21" s="2">
        <f>BK21+真實IC!BL21</f>
        <v>3.2730708545871634</v>
      </c>
      <c r="BM21" s="2">
        <f>BL21+真實IC!BM21</f>
        <v>3.2941014212856912</v>
      </c>
      <c r="BN21" s="2">
        <f>BM21+真實IC!BN21</f>
        <v>3.2471927795965252</v>
      </c>
      <c r="BO21" s="2">
        <f>BN21+真實IC!BO21</f>
        <v>3.2238634300446321</v>
      </c>
      <c r="BP21" s="2">
        <f>BO21+真實IC!BP21</f>
        <v>3.2311191331600901</v>
      </c>
      <c r="BQ21" s="2">
        <f>BP21+真實IC!BQ21</f>
        <v>3.284120934456964</v>
      </c>
      <c r="BR21" s="2">
        <f>BQ21+真實IC!BR21</f>
        <v>3.4002013820063959</v>
      </c>
      <c r="BS21" s="2">
        <f>BR21+真實IC!BS21</f>
        <v>3.4304419373984678</v>
      </c>
      <c r="BT21" s="2">
        <f>BS21+真實IC!BT21</f>
        <v>3.5013450430824666</v>
      </c>
      <c r="BU21" s="2">
        <f>BT21+真實IC!BU21</f>
        <v>3.6219906623420912</v>
      </c>
      <c r="BV21" s="2">
        <f>BU21+真實IC!BV21</f>
        <v>3.715741657855669</v>
      </c>
      <c r="BW21" s="2">
        <f>BV21+真實IC!BW21</f>
        <v>4.4598805728176547</v>
      </c>
      <c r="BX21" s="2">
        <f>BW21+真實IC!BX21</f>
        <v>4.471745134722064</v>
      </c>
      <c r="BY21" s="2">
        <f>BX21+真實IC!BY21</f>
        <v>4.6174456359288722</v>
      </c>
      <c r="BZ21" s="2">
        <f>BY21+真實IC!BZ21</f>
        <v>4.7529845180806296</v>
      </c>
      <c r="CA21" s="2">
        <f>BZ21+真實IC!CA21</f>
        <v>4.6885590659552516</v>
      </c>
      <c r="CB21" s="2">
        <f>CA21+真實IC!CB21</f>
        <v>4.7026670807188049</v>
      </c>
      <c r="CC21" s="2">
        <f>CB21+真實IC!CC21</f>
        <v>4.7162909145402132</v>
      </c>
      <c r="CD21" s="2">
        <f>CC21+真實IC!CD21</f>
        <v>4.8920214140515856</v>
      </c>
      <c r="CE21" s="2">
        <f>CD21+真實IC!CE21</f>
        <v>4.9903911498945925</v>
      </c>
      <c r="CF21" s="2">
        <f>CE21+真實IC!CF21</f>
        <v>4.9498020391262179</v>
      </c>
      <c r="CG21" s="2">
        <f>CF21+真實IC!CG21</f>
        <v>5.1090756337030578</v>
      </c>
      <c r="CH21" s="2">
        <f>CG21+真實IC!CH21</f>
        <v>5.3623699744495541</v>
      </c>
      <c r="CI21" s="2">
        <f>CH21+真實IC!CI21</f>
        <v>5.4278765247528247</v>
      </c>
      <c r="CJ21" s="2">
        <f>CI21+真實IC!CJ21</f>
        <v>5.4483399419225167</v>
      </c>
      <c r="CK21" s="2">
        <f>CJ21+真實IC!CK21</f>
        <v>5.5304696212745927</v>
      </c>
      <c r="CL21" s="2">
        <f>CK21+真實IC!CL21</f>
        <v>5.6840690954870849</v>
      </c>
      <c r="CM21" s="2">
        <f>CL21+真實IC!CM21</f>
        <v>5.669755534939017</v>
      </c>
      <c r="CN21" s="2">
        <f>CM21+真實IC!CN21</f>
        <v>6.0185659175634738</v>
      </c>
      <c r="CO21" s="2">
        <f>CN21+真實IC!CO21</f>
        <v>6.4012148942446885</v>
      </c>
      <c r="CP21" s="2">
        <f>CO21+真實IC!CP21</f>
        <v>6.5483524053190036</v>
      </c>
      <c r="CQ21" s="2">
        <f>CP21+真實IC!CQ21</f>
        <v>6.7209646091916353</v>
      </c>
      <c r="CR21" s="2">
        <f>CQ21+真實IC!CR21</f>
        <v>6.8309937767146822</v>
      </c>
      <c r="CS21" s="2">
        <f>CR21+真實IC!CS21</f>
        <v>6.9086683751436544</v>
      </c>
      <c r="CT21" s="2">
        <f>CS21+真實IC!CT21</f>
        <v>6.8502281389638195</v>
      </c>
      <c r="CU21" s="2">
        <f>CT21+真實IC!CU21</f>
        <v>7.0535001300336981</v>
      </c>
      <c r="CV21" s="2">
        <f>CU21+真實IC!CV21</f>
        <v>7.1776983058119557</v>
      </c>
      <c r="CW21" s="2">
        <f>CV21+真實IC!CW21</f>
        <v>7.2350171992557044</v>
      </c>
      <c r="CX21" s="2">
        <f>CW21+真實IC!CX21</f>
        <v>7.3250020036594687</v>
      </c>
      <c r="CY21" s="2">
        <f>CX21+真實IC!CY21</f>
        <v>7.3569060560651671</v>
      </c>
      <c r="CZ21" s="2">
        <f>CY21+真實IC!CZ21</f>
        <v>7.7105640666282946</v>
      </c>
      <c r="DA21" s="2">
        <f>CZ21+真實IC!DA21</f>
        <v>7.8747597813376125</v>
      </c>
      <c r="DB21" s="2">
        <f>DA21+真實IC!DB21</f>
        <v>8.4175442972262573</v>
      </c>
      <c r="DC21" s="2">
        <f>DB21+真實IC!DC21</f>
        <v>8.445372276649735</v>
      </c>
      <c r="DD21" s="2">
        <f>DC21+真實IC!DD21</f>
        <v>8.5926655672782797</v>
      </c>
      <c r="DE21" s="2">
        <f>DD21+真實IC!DE21</f>
        <v>8.7132447937941251</v>
      </c>
      <c r="DF21" s="2">
        <f>DE21+真實IC!DF21</f>
        <v>8.8729243468053927</v>
      </c>
      <c r="DG21" s="2">
        <f>DF21+真實IC!DG21</f>
        <v>8.9763633227865895</v>
      </c>
      <c r="DH21" s="2">
        <f>DG21+真實IC!DH21</f>
        <v>9.0344180637815708</v>
      </c>
      <c r="DI21" s="2">
        <f>DH21+真實IC!DI21</f>
        <v>8.9459277689901455</v>
      </c>
      <c r="DJ21" s="2">
        <f>DI21+真實IC!DJ21</f>
        <v>8.9798084852455027</v>
      </c>
      <c r="DK21" s="2">
        <f>DJ21+真實IC!DK21</f>
        <v>8.9718371821630001</v>
      </c>
      <c r="DL21" s="2">
        <f>DK21+真實IC!DL21</f>
        <v>8.9796281072178683</v>
      </c>
      <c r="DM21" s="2">
        <f>DL21+真實IC!DM21</f>
        <v>9.0070010785189929</v>
      </c>
      <c r="DN21" s="2">
        <f>DM21+真實IC!DN21</f>
        <v>9.0008073776919169</v>
      </c>
      <c r="DO21" s="2">
        <f>DN21+真實IC!DO21</f>
        <v>9.0920788873611933</v>
      </c>
      <c r="DP21" s="2">
        <f>DO21+真實IC!DP21</f>
        <v>9.2013636210577285</v>
      </c>
      <c r="DQ21" s="2">
        <f>DP21+真實IC!DQ21</f>
        <v>9.3167399073629635</v>
      </c>
      <c r="DR21" s="2">
        <f>DQ21+真實IC!DR21</f>
        <v>9.354555838133491</v>
      </c>
      <c r="DS21" s="2">
        <f>DR21+真實IC!DS21</f>
        <v>9.2428463453715626</v>
      </c>
      <c r="DT21" s="2">
        <f>DS21+真實IC!DT21</f>
        <v>9.2550600479017682</v>
      </c>
      <c r="DU21" s="2">
        <f>DT21+真實IC!DU21</f>
        <v>9.4247292176908459</v>
      </c>
      <c r="DV21" s="2">
        <f>DU21+真實IC!DV21</f>
        <v>9.5789697518502681</v>
      </c>
      <c r="DW21" s="2">
        <f>DV21+真實IC!DW21</f>
        <v>9.4989350959803929</v>
      </c>
      <c r="DX21" s="2">
        <f>DW21+真實IC!DX21</f>
        <v>9.7877623469230564</v>
      </c>
      <c r="DY21" s="2">
        <f>DX21+真實IC!DY21</f>
        <v>9.8732663448049323</v>
      </c>
      <c r="DZ21" s="2">
        <f>DY21+真實IC!DZ21</f>
        <v>9.8453864154865336</v>
      </c>
      <c r="EA21" s="2">
        <f>DZ21+真實IC!EA21</f>
        <v>9.8281246949663359</v>
      </c>
      <c r="EB21" s="2">
        <f>EA21+真實IC!EB21</f>
        <v>9.9416087372342083</v>
      </c>
      <c r="EC21" s="2">
        <f>EB21+真實IC!EC21</f>
        <v>10.064363888837992</v>
      </c>
      <c r="ED21" s="2">
        <f>EC21+真實IC!ED21</f>
        <v>10.194437549618163</v>
      </c>
      <c r="EE21" s="2">
        <f>ED21+真實IC!EE21</f>
        <v>10.271217189922968</v>
      </c>
      <c r="EF21" s="2">
        <f>EE21+真實IC!EF21</f>
        <v>10.413289547351589</v>
      </c>
      <c r="EG21" s="2">
        <f>EF21+真實IC!EG21</f>
        <v>11.058200128337772</v>
      </c>
      <c r="EH21" s="2">
        <f>EG21+真實IC!EH21</f>
        <v>11.074922547742561</v>
      </c>
      <c r="EI21" s="2">
        <f>EH21+真實IC!EI21</f>
        <v>11.154490461315362</v>
      </c>
      <c r="EJ21" s="2">
        <f>EI21+真實IC!EJ21</f>
        <v>11.261775245293464</v>
      </c>
      <c r="EK21" s="2">
        <f>EJ21+真實IC!EK21</f>
        <v>11.492569642377982</v>
      </c>
      <c r="EL21" s="2">
        <f>EK21+真實IC!EL21</f>
        <v>11.504929229610283</v>
      </c>
    </row>
    <row r="22" spans="1:142" x14ac:dyDescent="0.3">
      <c r="A22" s="11">
        <v>400</v>
      </c>
      <c r="B22" s="11">
        <f t="shared" si="10"/>
        <v>3</v>
      </c>
      <c r="C22" s="2">
        <v>0.28886619116808843</v>
      </c>
      <c r="D22" s="2">
        <f>C22+真實IC!D22</f>
        <v>0.38594482626239129</v>
      </c>
      <c r="E22" s="2">
        <f>D22+真實IC!E22</f>
        <v>0.44242825648012674</v>
      </c>
      <c r="F22" s="2">
        <f>E22+真實IC!F22</f>
        <v>0.21615655651888532</v>
      </c>
      <c r="G22" s="2">
        <f>F22+真實IC!G22</f>
        <v>0.317678012267676</v>
      </c>
      <c r="H22" s="2">
        <f>G22+真實IC!H22</f>
        <v>0.25375074023065902</v>
      </c>
      <c r="I22" s="2">
        <f>H22+真實IC!I22</f>
        <v>0.14205804689322044</v>
      </c>
      <c r="J22" s="2">
        <f>I22+真實IC!J22</f>
        <v>0.32941004753718262</v>
      </c>
      <c r="K22" s="2">
        <f>J22+真實IC!K22</f>
        <v>0.42959882677828704</v>
      </c>
      <c r="L22" s="2">
        <f>K22+真實IC!L22</f>
        <v>0.32644587537845665</v>
      </c>
      <c r="M22" s="2">
        <f>L22+真實IC!M22</f>
        <v>0.3523104457084853</v>
      </c>
      <c r="N22" s="2">
        <f>M22+真實IC!N22</f>
        <v>0.49655520050028168</v>
      </c>
      <c r="O22" s="2">
        <f>N22+真實IC!O22</f>
        <v>0.5759722492999827</v>
      </c>
      <c r="P22" s="2">
        <f>O22+真實IC!P22</f>
        <v>0.53625156592093104</v>
      </c>
      <c r="Q22" s="2">
        <f>P22+真實IC!Q22</f>
        <v>0.42906790510998061</v>
      </c>
      <c r="R22" s="2">
        <f>Q22+真實IC!R22</f>
        <v>0.30361166963209407</v>
      </c>
      <c r="S22" s="2">
        <f>R22+真實IC!S22</f>
        <v>0.45367461117096886</v>
      </c>
      <c r="T22" s="2">
        <f>S22+真實IC!T22</f>
        <v>0.32484982620169078</v>
      </c>
      <c r="U22" s="2">
        <f>T22+真實IC!U22</f>
        <v>0.3927735107918352</v>
      </c>
      <c r="V22" s="2">
        <f>U22+真實IC!V22</f>
        <v>0.40704726533229058</v>
      </c>
      <c r="W22" s="2">
        <f>V22+真實IC!W22</f>
        <v>0.57878038471286453</v>
      </c>
      <c r="X22" s="2">
        <f>W22+真實IC!X22</f>
        <v>0.8118355965214834</v>
      </c>
      <c r="Y22" s="2">
        <f>X22+真實IC!Y22</f>
        <v>0.96705007730595094</v>
      </c>
      <c r="Z22" s="2">
        <f>Y22+真實IC!Z22</f>
        <v>1.1678118273635989</v>
      </c>
      <c r="AA22" s="2">
        <f>Z22+真實IC!AA22</f>
        <v>1.3063083257198616</v>
      </c>
      <c r="AB22" s="2">
        <f>AA22+真實IC!AB22</f>
        <v>1.3911350189916238</v>
      </c>
      <c r="AC22" s="2">
        <f>AB22+真實IC!AC22</f>
        <v>1.4969090843466013</v>
      </c>
      <c r="AD22" s="2">
        <f>AC22+真實IC!AD22</f>
        <v>1.4967718057293844</v>
      </c>
      <c r="AE22" s="2">
        <f>AD22+真實IC!AE22</f>
        <v>1.5159480656659778</v>
      </c>
      <c r="AF22" s="2">
        <f>AE22+真實IC!AF22</f>
        <v>1.5389841325792246</v>
      </c>
      <c r="AG22" s="2">
        <f>AF22+真實IC!AG22</f>
        <v>1.5723350634751054</v>
      </c>
      <c r="AH22" s="2">
        <f>AG22+真實IC!AH22</f>
        <v>1.5340486900881913</v>
      </c>
      <c r="AI22" s="2">
        <f>AH22+真實IC!AI22</f>
        <v>1.5876259260352037</v>
      </c>
      <c r="AJ22" s="2">
        <f>AI22+真實IC!AJ22</f>
        <v>1.646436613032308</v>
      </c>
      <c r="AK22" s="2">
        <f>AJ22+真實IC!AK22</f>
        <v>1.6933929830058645</v>
      </c>
      <c r="AL22" s="2">
        <f>AK22+真實IC!AL22</f>
        <v>1.8162814643930525</v>
      </c>
      <c r="AM22" s="2">
        <f>AL22+真實IC!AM22</f>
        <v>1.7815085573061511</v>
      </c>
      <c r="AN22" s="2">
        <f>AM22+真實IC!AN22</f>
        <v>1.9401682083342191</v>
      </c>
      <c r="AO22" s="2">
        <f>AN22+真實IC!AO22</f>
        <v>2.1072747435564985</v>
      </c>
      <c r="AP22" s="2">
        <f>AO22+真實IC!AP22</f>
        <v>2.0719207133930229</v>
      </c>
      <c r="AQ22" s="2">
        <f>AP22+真實IC!AQ22</f>
        <v>2.0362445220882188</v>
      </c>
      <c r="AR22" s="2">
        <f>AQ22+真實IC!AR22</f>
        <v>2.1429507834453854</v>
      </c>
      <c r="AS22" s="2">
        <f>AR22+真實IC!AS22</f>
        <v>2.1084772936080411</v>
      </c>
      <c r="AT22" s="2">
        <f>AS22+真實IC!AT22</f>
        <v>2.2220816384675501</v>
      </c>
      <c r="AU22" s="2">
        <f>AT22+真實IC!AU22</f>
        <v>2.4771144071731799</v>
      </c>
      <c r="AV22" s="2">
        <f>AU22+真實IC!AV22</f>
        <v>2.5154888242831421</v>
      </c>
      <c r="AW22" s="2">
        <f>AV22+真實IC!AW22</f>
        <v>2.5969127370001126</v>
      </c>
      <c r="AX22" s="2">
        <f>AW22+真實IC!AX22</f>
        <v>2.5845600665972843</v>
      </c>
      <c r="AY22" s="2">
        <f>AX22+真實IC!AY22</f>
        <v>2.5025062081338483</v>
      </c>
      <c r="AZ22" s="2">
        <f>AY22+真實IC!AZ22</f>
        <v>2.5708431643281675</v>
      </c>
      <c r="BA22" s="2">
        <f>AZ22+真實IC!BA22</f>
        <v>2.7494320899384395</v>
      </c>
      <c r="BB22" s="2">
        <f>BA22+真實IC!BB22</f>
        <v>2.9694102108135128</v>
      </c>
      <c r="BC22" s="2">
        <f>BB22+真實IC!BC22</f>
        <v>2.9759198884631965</v>
      </c>
      <c r="BD22" s="2">
        <f>BC22+真實IC!BD22</f>
        <v>3.0145821218434095</v>
      </c>
      <c r="BE22" s="2">
        <f>BD22+真實IC!BE22</f>
        <v>3.1428291323718036</v>
      </c>
      <c r="BF22" s="2">
        <f>BE22+真實IC!BF22</f>
        <v>3.2190143666847426</v>
      </c>
      <c r="BG22" s="2">
        <f>BF22+真實IC!BG22</f>
        <v>3.2423342950423653</v>
      </c>
      <c r="BH22" s="2">
        <f>BG22+真實IC!BH22</f>
        <v>3.1644623824793956</v>
      </c>
      <c r="BI22" s="2">
        <f>BH22+真實IC!BI22</f>
        <v>3.3332890490081568</v>
      </c>
      <c r="BJ22" s="2">
        <f>BI22+真實IC!BJ22</f>
        <v>3.2851141585871284</v>
      </c>
      <c r="BK22" s="2">
        <f>BJ22+真實IC!BK22</f>
        <v>3.2494219238618678</v>
      </c>
      <c r="BL22" s="2">
        <f>BK22+真實IC!BL22</f>
        <v>3.361924013835615</v>
      </c>
      <c r="BM22" s="2">
        <f>BL22+真實IC!BM22</f>
        <v>3.3643544970811483</v>
      </c>
      <c r="BN22" s="2">
        <f>BM22+真實IC!BN22</f>
        <v>3.3013856139797708</v>
      </c>
      <c r="BO22" s="2">
        <f>BN22+真實IC!BO22</f>
        <v>3.2644016252708621</v>
      </c>
      <c r="BP22" s="2">
        <f>BO22+真實IC!BP22</f>
        <v>3.2651628472178453</v>
      </c>
      <c r="BQ22" s="2">
        <f>BP22+真實IC!BQ22</f>
        <v>3.3268111209598485</v>
      </c>
      <c r="BR22" s="2">
        <f>BQ22+真實IC!BR22</f>
        <v>3.3841190537042602</v>
      </c>
      <c r="BS22" s="2">
        <f>BR22+真實IC!BS22</f>
        <v>3.4112392148553479</v>
      </c>
      <c r="BT22" s="2">
        <f>BS22+真實IC!BT22</f>
        <v>3.4627390284924053</v>
      </c>
      <c r="BU22" s="2">
        <f>BT22+真實IC!BU22</f>
        <v>3.5968211234630201</v>
      </c>
      <c r="BV22" s="2">
        <f>BU22+真實IC!BV22</f>
        <v>3.6616215825041003</v>
      </c>
      <c r="BW22" s="2">
        <f>BV22+真實IC!BW22</f>
        <v>4.2701568795321672</v>
      </c>
      <c r="BX22" s="2">
        <f>BW22+真實IC!BX22</f>
        <v>4.2711976907980294</v>
      </c>
      <c r="BY22" s="2">
        <f>BX22+真實IC!BY22</f>
        <v>4.4425619991642904</v>
      </c>
      <c r="BZ22" s="2">
        <f>BY22+真實IC!BZ22</f>
        <v>4.6032104317961959</v>
      </c>
      <c r="CA22" s="2">
        <f>BZ22+真實IC!CA22</f>
        <v>4.4887261713162632</v>
      </c>
      <c r="CB22" s="2">
        <f>CA22+真實IC!CB22</f>
        <v>4.5424951954459374</v>
      </c>
      <c r="CC22" s="2">
        <f>CB22+真實IC!CC22</f>
        <v>4.5135099903713387</v>
      </c>
      <c r="CD22" s="2">
        <f>CC22+真實IC!CD22</f>
        <v>4.7026621301884015</v>
      </c>
      <c r="CE22" s="2">
        <f>CD22+真實IC!CE22</f>
        <v>4.6936161402694889</v>
      </c>
      <c r="CF22" s="2">
        <f>CE22+真實IC!CF22</f>
        <v>4.6528625572143421</v>
      </c>
      <c r="CG22" s="2">
        <f>CF22+真實IC!CG22</f>
        <v>4.8472829008260119</v>
      </c>
      <c r="CH22" s="2">
        <f>CG22+真實IC!CH22</f>
        <v>4.9710806353552357</v>
      </c>
      <c r="CI22" s="2">
        <f>CH22+真實IC!CI22</f>
        <v>4.9912140105832314</v>
      </c>
      <c r="CJ22" s="2">
        <f>CI22+真實IC!CJ22</f>
        <v>5.034173546357775</v>
      </c>
      <c r="CK22" s="2">
        <f>CJ22+真實IC!CK22</f>
        <v>5.1171125348336588</v>
      </c>
      <c r="CL22" s="2">
        <f>CK22+真實IC!CL22</f>
        <v>5.306961804545737</v>
      </c>
      <c r="CM22" s="2">
        <f>CL22+真實IC!CM22</f>
        <v>5.3344815375411141</v>
      </c>
      <c r="CN22" s="2">
        <f>CM22+真實IC!CN22</f>
        <v>5.7467099343571277</v>
      </c>
      <c r="CO22" s="2">
        <f>CN22+真實IC!CO22</f>
        <v>6.1164345160502736</v>
      </c>
      <c r="CP22" s="2">
        <f>CO22+真實IC!CP22</f>
        <v>6.3382675945193796</v>
      </c>
      <c r="CQ22" s="2">
        <f>CP22+真實IC!CQ22</f>
        <v>6.5353085002009488</v>
      </c>
      <c r="CR22" s="2">
        <f>CQ22+真實IC!CR22</f>
        <v>6.681384717714014</v>
      </c>
      <c r="CS22" s="2">
        <f>CR22+真實IC!CS22</f>
        <v>6.7123819257252686</v>
      </c>
      <c r="CT22" s="2">
        <f>CS22+真實IC!CT22</f>
        <v>6.6534709418965914</v>
      </c>
      <c r="CU22" s="2">
        <f>CT22+真實IC!CU22</f>
        <v>6.8799653447528648</v>
      </c>
      <c r="CV22" s="2">
        <f>CU22+真實IC!CV22</f>
        <v>7.0195010028243656</v>
      </c>
      <c r="CW22" s="2">
        <f>CV22+真實IC!CW22</f>
        <v>7.0221180227781996</v>
      </c>
      <c r="CX22" s="2">
        <f>CW22+真實IC!CX22</f>
        <v>7.0642293378349628</v>
      </c>
      <c r="CY22" s="2">
        <f>CX22+真實IC!CY22</f>
        <v>7.1641118798250414</v>
      </c>
      <c r="CZ22" s="2">
        <f>CY22+真實IC!CZ22</f>
        <v>7.481448244434584</v>
      </c>
      <c r="DA22" s="2">
        <f>CZ22+真實IC!DA22</f>
        <v>7.7310336756721307</v>
      </c>
      <c r="DB22" s="2">
        <f>DA22+真實IC!DB22</f>
        <v>8.1682704636265822</v>
      </c>
      <c r="DC22" s="2">
        <f>DB22+真實IC!DC22</f>
        <v>8.2229382928830983</v>
      </c>
      <c r="DD22" s="2">
        <f>DC22+真實IC!DD22</f>
        <v>8.4206054076677006</v>
      </c>
      <c r="DE22" s="2">
        <f>DD22+真實IC!DE22</f>
        <v>8.5809379921435447</v>
      </c>
      <c r="DF22" s="2">
        <f>DE22+真實IC!DF22</f>
        <v>8.7124495116686553</v>
      </c>
      <c r="DG22" s="2">
        <f>DF22+真實IC!DG22</f>
        <v>8.869522073017059</v>
      </c>
      <c r="DH22" s="2">
        <f>DG22+真實IC!DH22</f>
        <v>8.8899185186152003</v>
      </c>
      <c r="DI22" s="2">
        <f>DH22+真實IC!DI22</f>
        <v>8.7949171381593878</v>
      </c>
      <c r="DJ22" s="2">
        <f>DI22+真實IC!DJ22</f>
        <v>8.854342985666932</v>
      </c>
      <c r="DK22" s="2">
        <f>DJ22+真實IC!DK22</f>
        <v>8.942288990630411</v>
      </c>
      <c r="DL22" s="2">
        <f>DK22+真實IC!DL22</f>
        <v>8.9729123144927723</v>
      </c>
      <c r="DM22" s="2">
        <f>DL22+真實IC!DM22</f>
        <v>9.0032365936385261</v>
      </c>
      <c r="DN22" s="2">
        <f>DM22+真實IC!DN22</f>
        <v>8.9911419348580139</v>
      </c>
      <c r="DO22" s="2">
        <f>DN22+真實IC!DO22</f>
        <v>9.0677256267100113</v>
      </c>
      <c r="DP22" s="2">
        <f>DO22+真實IC!DP22</f>
        <v>9.2196829409338736</v>
      </c>
      <c r="DQ22" s="2">
        <f>DP22+真實IC!DQ22</f>
        <v>9.4260515349433245</v>
      </c>
      <c r="DR22" s="2">
        <f>DQ22+真實IC!DR22</f>
        <v>9.4293143148211094</v>
      </c>
      <c r="DS22" s="2">
        <f>DR22+真實IC!DS22</f>
        <v>9.2836554689359545</v>
      </c>
      <c r="DT22" s="2">
        <f>DS22+真實IC!DT22</f>
        <v>9.2793487915197659</v>
      </c>
      <c r="DU22" s="2">
        <f>DT22+真實IC!DU22</f>
        <v>9.3812978911178231</v>
      </c>
      <c r="DV22" s="2">
        <f>DU22+真實IC!DV22</f>
        <v>9.5621232944092842</v>
      </c>
      <c r="DW22" s="2">
        <f>DV22+真實IC!DW22</f>
        <v>9.4800385477680518</v>
      </c>
      <c r="DX22" s="2">
        <f>DW22+真實IC!DX22</f>
        <v>9.6585207459018179</v>
      </c>
      <c r="DY22" s="2">
        <f>DX22+真實IC!DY22</f>
        <v>9.7529523857167781</v>
      </c>
      <c r="DZ22" s="2">
        <f>DY22+真實IC!DZ22</f>
        <v>9.7016894092223467</v>
      </c>
      <c r="EA22" s="2">
        <f>DZ22+真實IC!EA22</f>
        <v>9.7159154360230868</v>
      </c>
      <c r="EB22" s="2">
        <f>EA22+真實IC!EB22</f>
        <v>9.9336437312332997</v>
      </c>
      <c r="EC22" s="2">
        <f>EB22+真實IC!EC22</f>
        <v>10.093965456244371</v>
      </c>
      <c r="ED22" s="2">
        <f>EC22+真實IC!ED22</f>
        <v>10.218031927638759</v>
      </c>
      <c r="EE22" s="2">
        <f>ED22+真實IC!EE22</f>
        <v>10.299950182099032</v>
      </c>
      <c r="EF22" s="2">
        <f>EE22+真實IC!EF22</f>
        <v>10.410569781988309</v>
      </c>
      <c r="EG22" s="2">
        <f>EF22+真實IC!EG22</f>
        <v>11.199930249943296</v>
      </c>
      <c r="EH22" s="2">
        <f>EG22+真實IC!EH22</f>
        <v>11.189477202162667</v>
      </c>
      <c r="EI22" s="2">
        <f>EH22+真實IC!EI22</f>
        <v>11.257218714245329</v>
      </c>
      <c r="EJ22" s="2">
        <f>EI22+真實IC!EJ22</f>
        <v>11.34837495964714</v>
      </c>
      <c r="EK22" s="2">
        <f>EJ22+真實IC!EK22</f>
        <v>11.528053376213382</v>
      </c>
      <c r="EL22" s="2">
        <f>EK22+真實IC!EL22</f>
        <v>11.546053741042591</v>
      </c>
    </row>
    <row r="23" spans="1:142" x14ac:dyDescent="0.3">
      <c r="A23" s="11">
        <v>512</v>
      </c>
      <c r="B23" s="11">
        <f t="shared" si="10"/>
        <v>2</v>
      </c>
      <c r="C23" s="2">
        <v>0.28298926569632887</v>
      </c>
      <c r="D23" s="2">
        <f>C23+真實IC!D23</f>
        <v>0.34985662895518099</v>
      </c>
      <c r="E23" s="2">
        <f>D23+真實IC!E23</f>
        <v>0.60470617022283402</v>
      </c>
      <c r="F23" s="2">
        <f>E23+真實IC!F23</f>
        <v>0.23606087514156993</v>
      </c>
      <c r="G23" s="2">
        <f>F23+真實IC!G23</f>
        <v>0.36408120164593494</v>
      </c>
      <c r="H23" s="2">
        <f>G23+真實IC!H23</f>
        <v>0.24887499722638062</v>
      </c>
      <c r="I23" s="2">
        <f>H23+真實IC!I23</f>
        <v>0.11237520486857713</v>
      </c>
      <c r="J23" s="2">
        <f>I23+真實IC!J23</f>
        <v>0.30321397042773801</v>
      </c>
      <c r="K23" s="2">
        <f>J23+真實IC!K23</f>
        <v>0.39571821184816175</v>
      </c>
      <c r="L23" s="2">
        <f>K23+真實IC!L23</f>
        <v>0.30513155011549237</v>
      </c>
      <c r="M23" s="2">
        <f>L23+真實IC!M23</f>
        <v>0.24744070031492016</v>
      </c>
      <c r="N23" s="2">
        <f>M23+真實IC!N23</f>
        <v>0.25947478144456931</v>
      </c>
      <c r="O23" s="2">
        <f>N23+真實IC!O23</f>
        <v>0.3983931411039513</v>
      </c>
      <c r="P23" s="2">
        <f>O23+真實IC!P23</f>
        <v>0.31765119787886931</v>
      </c>
      <c r="Q23" s="2">
        <f>P23+真實IC!Q23</f>
        <v>0.24464447205026041</v>
      </c>
      <c r="R23" s="2">
        <f>Q23+真實IC!R23</f>
        <v>0.20637327894900295</v>
      </c>
      <c r="S23" s="2">
        <f>R23+真實IC!S23</f>
        <v>0.33922972997836853</v>
      </c>
      <c r="T23" s="2">
        <f>S23+真實IC!T23</f>
        <v>0.23716771092746933</v>
      </c>
      <c r="U23" s="2">
        <f>T23+真實IC!U23</f>
        <v>0.31281941135545299</v>
      </c>
      <c r="V23" s="2">
        <f>U23+真實IC!V23</f>
        <v>0.27588870587949482</v>
      </c>
      <c r="W23" s="2">
        <f>V23+真實IC!W23</f>
        <v>0.32431272907520114</v>
      </c>
      <c r="X23" s="2">
        <f>W23+真實IC!X23</f>
        <v>0.53666640019165912</v>
      </c>
      <c r="Y23" s="2">
        <f>X23+真實IC!Y23</f>
        <v>0.77119947500711139</v>
      </c>
      <c r="Z23" s="2">
        <f>Y23+真實IC!Z23</f>
        <v>0.96822934624984902</v>
      </c>
      <c r="AA23" s="2">
        <f>Z23+真實IC!AA23</f>
        <v>1.1447294410233888</v>
      </c>
      <c r="AB23" s="2">
        <f>AA23+真實IC!AB23</f>
        <v>1.2854087886184258</v>
      </c>
      <c r="AC23" s="2">
        <f>AB23+真實IC!AC23</f>
        <v>1.4439217604462833</v>
      </c>
      <c r="AD23" s="2">
        <f>AC23+真實IC!AD23</f>
        <v>1.4674631240914495</v>
      </c>
      <c r="AE23" s="2">
        <f>AD23+真實IC!AE23</f>
        <v>1.505876735272446</v>
      </c>
      <c r="AF23" s="2">
        <f>AE23+真實IC!AF23</f>
        <v>1.5663678428907091</v>
      </c>
      <c r="AG23" s="2">
        <f>AF23+真實IC!AG23</f>
        <v>1.5451781537690115</v>
      </c>
      <c r="AH23" s="2">
        <f>AG23+真實IC!AH23</f>
        <v>1.507651523532433</v>
      </c>
      <c r="AI23" s="2">
        <f>AH23+真實IC!AI23</f>
        <v>1.5663181452370794</v>
      </c>
      <c r="AJ23" s="2">
        <f>AI23+真實IC!AJ23</f>
        <v>1.6665642324981196</v>
      </c>
      <c r="AK23" s="2">
        <f>AJ23+真實IC!AK23</f>
        <v>1.6996924922763696</v>
      </c>
      <c r="AL23" s="2">
        <f>AK23+真實IC!AL23</f>
        <v>1.8841182289607126</v>
      </c>
      <c r="AM23" s="2">
        <f>AL23+真實IC!AM23</f>
        <v>1.8893331659258787</v>
      </c>
      <c r="AN23" s="2">
        <f>AM23+真實IC!AN23</f>
        <v>2.1127055493958937</v>
      </c>
      <c r="AO23" s="2">
        <f>AN23+真實IC!AO23</f>
        <v>2.227670388965997</v>
      </c>
      <c r="AP23" s="2">
        <f>AO23+真實IC!AP23</f>
        <v>2.2540865464359103</v>
      </c>
      <c r="AQ23" s="2">
        <f>AP23+真實IC!AQ23</f>
        <v>2.1686665031062273</v>
      </c>
      <c r="AR23" s="2">
        <f>AQ23+真實IC!AR23</f>
        <v>2.3148026674455946</v>
      </c>
      <c r="AS23" s="2">
        <f>AR23+真實IC!AS23</f>
        <v>2.3005771189533251</v>
      </c>
      <c r="AT23" s="2">
        <f>AS23+真實IC!AT23</f>
        <v>2.4100830219182252</v>
      </c>
      <c r="AU23" s="2">
        <f>AT23+真實IC!AU23</f>
        <v>2.5889572015190065</v>
      </c>
      <c r="AV23" s="2">
        <f>AU23+真實IC!AV23</f>
        <v>2.6759550068500633</v>
      </c>
      <c r="AW23" s="2">
        <f>AV23+真實IC!AW23</f>
        <v>2.7780275694820964</v>
      </c>
      <c r="AX23" s="2">
        <f>AW23+真實IC!AX23</f>
        <v>2.7758731441630702</v>
      </c>
      <c r="AY23" s="2">
        <f>AX23+真實IC!AY23</f>
        <v>2.7865102288111512</v>
      </c>
      <c r="AZ23" s="2">
        <f>AY23+真實IC!AZ23</f>
        <v>2.857375189058879</v>
      </c>
      <c r="BA23" s="2">
        <f>AZ23+真實IC!BA23</f>
        <v>3.1006103949032755</v>
      </c>
      <c r="BB23" s="2">
        <f>BA23+真實IC!BB23</f>
        <v>3.5051350499105993</v>
      </c>
      <c r="BC23" s="2">
        <f>BB23+真實IC!BC23</f>
        <v>3.247021546796331</v>
      </c>
      <c r="BD23" s="2">
        <f>BC23+真實IC!BD23</f>
        <v>3.2681547192347966</v>
      </c>
      <c r="BE23" s="2">
        <f>BD23+真實IC!BE23</f>
        <v>3.4220350060556406</v>
      </c>
      <c r="BF23" s="2">
        <f>BE23+真實IC!BF23</f>
        <v>3.4895121783038152</v>
      </c>
      <c r="BG23" s="2">
        <f>BF23+真實IC!BG23</f>
        <v>3.3453542137414036</v>
      </c>
      <c r="BH23" s="2">
        <f>BG23+真實IC!BH23</f>
        <v>3.1970460934194835</v>
      </c>
      <c r="BI23" s="2">
        <f>BH23+真實IC!BI23</f>
        <v>3.325071154792707</v>
      </c>
      <c r="BJ23" s="2">
        <f>BI23+真實IC!BJ23</f>
        <v>3.2649155394302722</v>
      </c>
      <c r="BK23" s="2">
        <f>BJ23+真實IC!BK23</f>
        <v>3.2386566794675988</v>
      </c>
      <c r="BL23" s="2">
        <f>BK23+真實IC!BL23</f>
        <v>3.3530229696092677</v>
      </c>
      <c r="BM23" s="2">
        <f>BL23+真實IC!BM23</f>
        <v>3.4966186604824303</v>
      </c>
      <c r="BN23" s="2">
        <f>BM23+真實IC!BN23</f>
        <v>3.6112991343445504</v>
      </c>
      <c r="BO23" s="2">
        <f>BN23+真實IC!BO23</f>
        <v>3.6078109804394223</v>
      </c>
      <c r="BP23" s="2">
        <f>BO23+真實IC!BP23</f>
        <v>3.6082082699408424</v>
      </c>
      <c r="BQ23" s="2">
        <f>BP23+真實IC!BQ23</f>
        <v>3.6517548305793817</v>
      </c>
      <c r="BR23" s="2">
        <f>BQ23+真實IC!BR23</f>
        <v>3.728005830519038</v>
      </c>
      <c r="BS23" s="2">
        <f>BR23+真實IC!BS23</f>
        <v>3.6893215288918921</v>
      </c>
      <c r="BT23" s="2">
        <f>BS23+真實IC!BT23</f>
        <v>3.9755510957412659</v>
      </c>
      <c r="BU23" s="2">
        <f>BT23+真實IC!BU23</f>
        <v>3.944138288813114</v>
      </c>
      <c r="BV23" s="2">
        <f>BU23+真實IC!BV23</f>
        <v>4.0232308246523845</v>
      </c>
      <c r="BW23" s="2">
        <f>BV23+真實IC!BW23</f>
        <v>4.7357438691312232</v>
      </c>
      <c r="BX23" s="2">
        <f>BW23+真實IC!BX23</f>
        <v>4.730563398215029</v>
      </c>
      <c r="BY23" s="2">
        <f>BX23+真實IC!BY23</f>
        <v>4.9434375679672629</v>
      </c>
      <c r="BZ23" s="2">
        <f>BY23+真實IC!BZ23</f>
        <v>5.0798968984633355</v>
      </c>
      <c r="CA23" s="2">
        <f>BZ23+真實IC!CA23</f>
        <v>5.0059010662540402</v>
      </c>
      <c r="CB23" s="2">
        <f>CA23+真實IC!CB23</f>
        <v>5.0734430048989996</v>
      </c>
      <c r="CC23" s="2">
        <f>CB23+真實IC!CC23</f>
        <v>4.9679979993565091</v>
      </c>
      <c r="CD23" s="2">
        <f>CC23+真實IC!CD23</f>
        <v>5.1515632796049324</v>
      </c>
      <c r="CE23" s="2">
        <f>CD23+真實IC!CE23</f>
        <v>5.0959895445430758</v>
      </c>
      <c r="CF23" s="2">
        <f>CE23+真實IC!CF23</f>
        <v>5.070768808266445</v>
      </c>
      <c r="CG23" s="2">
        <f>CF23+真實IC!CG23</f>
        <v>5.2169439439001062</v>
      </c>
      <c r="CH23" s="2">
        <f>CG23+真實IC!CH23</f>
        <v>5.2889481611413878</v>
      </c>
      <c r="CI23" s="2">
        <f>CH23+真實IC!CI23</f>
        <v>5.3174909615461132</v>
      </c>
      <c r="CJ23" s="2">
        <f>CI23+真實IC!CJ23</f>
        <v>5.3955445595725928</v>
      </c>
      <c r="CK23" s="2">
        <f>CJ23+真實IC!CK23</f>
        <v>5.490089586941429</v>
      </c>
      <c r="CL23" s="2">
        <f>CK23+真實IC!CL23</f>
        <v>5.5974556503415434</v>
      </c>
      <c r="CM23" s="2">
        <f>CL23+真實IC!CM23</f>
        <v>5.5271163783104678</v>
      </c>
      <c r="CN23" s="2">
        <f>CM23+真實IC!CN23</f>
        <v>6.1933573602752459</v>
      </c>
      <c r="CO23" s="2">
        <f>CN23+真實IC!CO23</f>
        <v>6.5806289865232568</v>
      </c>
      <c r="CP23" s="2">
        <f>CO23+真實IC!CP23</f>
        <v>6.8008652095845674</v>
      </c>
      <c r="CQ23" s="2">
        <f>CP23+真實IC!CQ23</f>
        <v>7.0582400787146344</v>
      </c>
      <c r="CR23" s="2">
        <f>CQ23+真實IC!CR23</f>
        <v>7.1972852270797283</v>
      </c>
      <c r="CS23" s="2">
        <f>CR23+真實IC!CS23</f>
        <v>7.184908133191219</v>
      </c>
      <c r="CT23" s="2">
        <f>CS23+真實IC!CT23</f>
        <v>7.1580717038268169</v>
      </c>
      <c r="CU23" s="2">
        <f>CT23+真實IC!CU23</f>
        <v>7.4665417442916944</v>
      </c>
      <c r="CV23" s="2">
        <f>CU23+真實IC!CV23</f>
        <v>7.6139463105809826</v>
      </c>
      <c r="CW23" s="2">
        <f>CV23+真實IC!CW23</f>
        <v>7.6504036199819714</v>
      </c>
      <c r="CX23" s="2">
        <f>CW23+真實IC!CX23</f>
        <v>7.6414587146451121</v>
      </c>
      <c r="CY23" s="2">
        <f>CX23+真實IC!CY23</f>
        <v>7.7827303550825846</v>
      </c>
      <c r="CZ23" s="2">
        <f>CY23+真實IC!CZ23</f>
        <v>8.250235410774998</v>
      </c>
      <c r="DA23" s="2">
        <f>CZ23+真實IC!DA23</f>
        <v>8.5857819723511817</v>
      </c>
      <c r="DB23" s="2">
        <f>DA23+真實IC!DB23</f>
        <v>9.0582234965814834</v>
      </c>
      <c r="DC23" s="2">
        <f>DB23+真實IC!DC23</f>
        <v>9.1253678865010937</v>
      </c>
      <c r="DD23" s="2">
        <f>DC23+真實IC!DD23</f>
        <v>9.3158717953520167</v>
      </c>
      <c r="DE23" s="2">
        <f>DD23+真實IC!DE23</f>
        <v>9.4237626453014283</v>
      </c>
      <c r="DF23" s="2">
        <f>DE23+真實IC!DF23</f>
        <v>9.5324687199650864</v>
      </c>
      <c r="DG23" s="2">
        <f>DF23+真實IC!DG23</f>
        <v>9.6956400894071404</v>
      </c>
      <c r="DH23" s="2">
        <f>DG23+真實IC!DH23</f>
        <v>9.6761857471005932</v>
      </c>
      <c r="DI23" s="2">
        <f>DH23+真實IC!DI23</f>
        <v>9.6199367123851633</v>
      </c>
      <c r="DJ23" s="2">
        <f>DI23+真實IC!DJ23</f>
        <v>9.7028684794057458</v>
      </c>
      <c r="DK23" s="2">
        <f>DJ23+真實IC!DK23</f>
        <v>9.6388379306418059</v>
      </c>
      <c r="DL23" s="2">
        <f>DK23+真實IC!DL23</f>
        <v>9.6965376534160725</v>
      </c>
      <c r="DM23" s="2">
        <f>DL23+真實IC!DM23</f>
        <v>9.7354817392331618</v>
      </c>
      <c r="DN23" s="2">
        <f>DM23+真實IC!DN23</f>
        <v>9.6899259989963387</v>
      </c>
      <c r="DO23" s="2">
        <f>DN23+真實IC!DO23</f>
        <v>9.7741897224174732</v>
      </c>
      <c r="DP23" s="2">
        <f>DO23+真實IC!DP23</f>
        <v>10.018141618733685</v>
      </c>
      <c r="DQ23" s="2">
        <f>DP23+真實IC!DQ23</f>
        <v>10.304355042256033</v>
      </c>
      <c r="DR23" s="2">
        <f>DQ23+真實IC!DR23</f>
        <v>10.310321643234271</v>
      </c>
      <c r="DS23" s="2">
        <f>DR23+真實IC!DS23</f>
        <v>10.223282146342818</v>
      </c>
      <c r="DT23" s="2">
        <f>DS23+真實IC!DT23</f>
        <v>10.136445643029496</v>
      </c>
      <c r="DU23" s="2">
        <f>DT23+真實IC!DU23</f>
        <v>10.356374450553004</v>
      </c>
      <c r="DV23" s="2">
        <f>DU23+真實IC!DV23</f>
        <v>10.536292209735032</v>
      </c>
      <c r="DW23" s="2">
        <f>DV23+真實IC!DW23</f>
        <v>10.441708517237707</v>
      </c>
      <c r="DX23" s="2">
        <f>DW23+真實IC!DX23</f>
        <v>10.561170839397411</v>
      </c>
      <c r="DY23" s="2">
        <f>DX23+真實IC!DY23</f>
        <v>10.636644309036473</v>
      </c>
      <c r="DZ23" s="2">
        <f>DY23+真實IC!DZ23</f>
        <v>10.665020399305225</v>
      </c>
      <c r="EA23" s="2">
        <f>DZ23+真實IC!EA23</f>
        <v>10.594146944160517</v>
      </c>
      <c r="EB23" s="2">
        <f>EA23+真實IC!EB23</f>
        <v>10.585743075541675</v>
      </c>
      <c r="EC23" s="2">
        <f>EB23+真實IC!EC23</f>
        <v>10.712451852051315</v>
      </c>
      <c r="ED23" s="2">
        <f>EC23+真實IC!ED23</f>
        <v>10.907965855604351</v>
      </c>
      <c r="EE23" s="2">
        <f>ED23+真實IC!EE23</f>
        <v>10.983201409816175</v>
      </c>
      <c r="EF23" s="2">
        <f>EE23+真實IC!EF23</f>
        <v>11.106690315008109</v>
      </c>
      <c r="EG23" s="2">
        <f>EF23+真實IC!EG23</f>
        <v>11.118204718983549</v>
      </c>
      <c r="EH23" s="2">
        <f>EG23+真實IC!EH23</f>
        <v>11.074209006733845</v>
      </c>
      <c r="EI23" s="2">
        <f>EH23+真實IC!EI23</f>
        <v>11.15268977696849</v>
      </c>
      <c r="EJ23" s="2">
        <f>EI23+真實IC!EJ23</f>
        <v>11.221947968671122</v>
      </c>
      <c r="EK23" s="2">
        <f>EJ23+真實IC!EK23</f>
        <v>11.324179851991314</v>
      </c>
      <c r="EL23" s="2">
        <f>EK23+真實IC!EL23</f>
        <v>11.381148994460403</v>
      </c>
    </row>
    <row r="24" spans="1:142" x14ac:dyDescent="0.3">
      <c r="A24" s="11">
        <v>1051</v>
      </c>
      <c r="B24" s="11">
        <f t="shared" si="10"/>
        <v>1</v>
      </c>
      <c r="C24" s="2">
        <v>9.9113364206882743E-2</v>
      </c>
      <c r="D24" s="2">
        <f>C24+真實IC!D24</f>
        <v>0.11371015325652903</v>
      </c>
      <c r="E24" s="2">
        <f>D24+真實IC!E24</f>
        <v>0.39822265094703091</v>
      </c>
      <c r="F24" s="2">
        <f>E24+真實IC!F24</f>
        <v>0.24013340754084431</v>
      </c>
      <c r="G24" s="2">
        <f>F24+真實IC!G24</f>
        <v>0.23172999674446493</v>
      </c>
      <c r="H24" s="2">
        <f>G24+真實IC!H24</f>
        <v>0.18161452895098221</v>
      </c>
      <c r="I24" s="2">
        <f>H24+真實IC!I24</f>
        <v>0.17950259574783869</v>
      </c>
      <c r="J24" s="2">
        <f>I24+真實IC!J24</f>
        <v>0.2851650893635691</v>
      </c>
      <c r="K24" s="2">
        <f>J24+真實IC!K24</f>
        <v>0.29143820704392032</v>
      </c>
      <c r="L24" s="2">
        <f>K24+真實IC!L24</f>
        <v>0.19763851378716993</v>
      </c>
      <c r="M24" s="2">
        <f>L24+真實IC!M24</f>
        <v>5.0819174887661439E-2</v>
      </c>
      <c r="N24" s="2">
        <f>M24+真實IC!N24</f>
        <v>0.13618901984041762</v>
      </c>
      <c r="O24" s="2">
        <f>N24+真實IC!O24</f>
        <v>0.35604849595343752</v>
      </c>
      <c r="P24" s="2">
        <f>O24+真實IC!P24</f>
        <v>0.27964338371403219</v>
      </c>
      <c r="Q24" s="2">
        <f>P24+真實IC!Q24</f>
        <v>-4.1415168203939201E-2</v>
      </c>
      <c r="R24" s="2">
        <f>Q24+真實IC!R24</f>
        <v>4.668604735805916E-3</v>
      </c>
      <c r="S24" s="2">
        <f>R24+真實IC!S24</f>
        <v>4.0818693800706587E-2</v>
      </c>
      <c r="T24" s="2">
        <f>S24+真實IC!T24</f>
        <v>-4.7458345932236454E-2</v>
      </c>
      <c r="U24" s="2">
        <f>T24+真實IC!U24</f>
        <v>0.26173609476754034</v>
      </c>
      <c r="V24" s="2">
        <f>U24+真實IC!V24</f>
        <v>0.27508626862359697</v>
      </c>
      <c r="W24" s="2">
        <f>V24+真實IC!W24</f>
        <v>0.34682839388393344</v>
      </c>
      <c r="X24" s="2">
        <f>W24+真實IC!X24</f>
        <v>0.36790311671871601</v>
      </c>
      <c r="Y24" s="2">
        <f>X24+真實IC!Y24</f>
        <v>0.90365483826229098</v>
      </c>
      <c r="Z24" s="2">
        <f>Y24+真實IC!Z24</f>
        <v>1.0150510212238952</v>
      </c>
      <c r="AA24" s="2">
        <f>Z24+真實IC!AA24</f>
        <v>1.1797428537070205</v>
      </c>
      <c r="AB24" s="2">
        <f>AA24+真實IC!AB24</f>
        <v>1.2366763813659656</v>
      </c>
      <c r="AC24" s="2">
        <f>AB24+真實IC!AC24</f>
        <v>1.3641728432234517</v>
      </c>
      <c r="AD24" s="2">
        <f>AC24+真實IC!AD24</f>
        <v>1.3752521796755413</v>
      </c>
      <c r="AE24" s="2">
        <f>AD24+真實IC!AE24</f>
        <v>1.4704904513989074</v>
      </c>
      <c r="AF24" s="2">
        <f>AE24+真實IC!AF24</f>
        <v>1.5784571935645253</v>
      </c>
      <c r="AG24" s="2">
        <f>AF24+真實IC!AG24</f>
        <v>1.5604106552634711</v>
      </c>
      <c r="AH24" s="2">
        <f>AG24+真實IC!AH24</f>
        <v>1.4775229954577034</v>
      </c>
      <c r="AI24" s="2">
        <f>AH24+真實IC!AI24</f>
        <v>1.4664009992743341</v>
      </c>
      <c r="AJ24" s="2">
        <f>AI24+真實IC!AJ24</f>
        <v>1.4501166548186559</v>
      </c>
      <c r="AK24" s="2">
        <f>AJ24+真實IC!AK24</f>
        <v>1.4436441403130384</v>
      </c>
      <c r="AL24" s="2">
        <f>AK24+真實IC!AL24</f>
        <v>1.5018850600242153</v>
      </c>
      <c r="AM24" s="2">
        <f>AL24+真實IC!AM24</f>
        <v>1.4175308128554744</v>
      </c>
      <c r="AN24" s="2">
        <f>AM24+真實IC!AN24</f>
        <v>1.5525868641932203</v>
      </c>
      <c r="AO24" s="2">
        <f>AN24+真實IC!AO24</f>
        <v>1.8002214355157258</v>
      </c>
      <c r="AP24" s="2">
        <f>AO24+真實IC!AP24</f>
        <v>2.0131017362594825</v>
      </c>
      <c r="AQ24" s="2">
        <f>AP24+真實IC!AQ24</f>
        <v>1.9308259746741556</v>
      </c>
      <c r="AR24" s="2">
        <f>AQ24+真實IC!AR24</f>
        <v>2.1016593808449811</v>
      </c>
      <c r="AS24" s="2">
        <f>AR24+真實IC!AS24</f>
        <v>2.0137745561833578</v>
      </c>
      <c r="AT24" s="2">
        <f>AS24+真實IC!AT24</f>
        <v>2.1645435361090386</v>
      </c>
      <c r="AU24" s="2">
        <f>AT24+真實IC!AU24</f>
        <v>2.2312349106077107</v>
      </c>
      <c r="AV24" s="2">
        <f>AU24+真實IC!AV24</f>
        <v>2.3519621589056134</v>
      </c>
      <c r="AW24" s="2">
        <f>AV24+真實IC!AW24</f>
        <v>2.4785932985903782</v>
      </c>
      <c r="AX24" s="2">
        <f>AW24+真實IC!AX24</f>
        <v>2.535974930275926</v>
      </c>
      <c r="AY24" s="2">
        <f>AX24+真實IC!AY24</f>
        <v>2.6136479685941443</v>
      </c>
      <c r="AZ24" s="2">
        <f>AY24+真實IC!AZ24</f>
        <v>2.6271985756240728</v>
      </c>
      <c r="BA24" s="2">
        <f>AZ24+真實IC!BA24</f>
        <v>2.677689881036085</v>
      </c>
      <c r="BB24" s="2">
        <f>BA24+真實IC!BB24</f>
        <v>3.3881004277311448</v>
      </c>
      <c r="BC24" s="2">
        <f>BB24+真實IC!BC24</f>
        <v>3.4949407739468454</v>
      </c>
      <c r="BD24" s="2">
        <f>BC24+真實IC!BD24</f>
        <v>3.5135718080337091</v>
      </c>
      <c r="BE24" s="2">
        <f>BD24+真實IC!BE24</f>
        <v>3.6953170191530491</v>
      </c>
      <c r="BF24" s="2">
        <f>BE24+真實IC!BF24</f>
        <v>3.8085122119243118</v>
      </c>
      <c r="BG24" s="2">
        <f>BF24+真實IC!BG24</f>
        <v>3.7710583105758917</v>
      </c>
      <c r="BH24" s="2">
        <f>BG24+真實IC!BH24</f>
        <v>3.8356962567056732</v>
      </c>
      <c r="BI24" s="2">
        <f>BH24+真實IC!BI24</f>
        <v>3.915830583938217</v>
      </c>
      <c r="BJ24" s="2">
        <f>BI24+真實IC!BJ24</f>
        <v>3.8085015637077184</v>
      </c>
      <c r="BK24" s="2">
        <f>BJ24+真實IC!BK24</f>
        <v>3.7903996054648341</v>
      </c>
      <c r="BL24" s="2">
        <f>BK24+真實IC!BL24</f>
        <v>3.8965065256160005</v>
      </c>
      <c r="BM24" s="2">
        <f>BL24+真實IC!BM24</f>
        <v>3.9812894654549886</v>
      </c>
      <c r="BN24" s="2">
        <f>BM24+真實IC!BN24</f>
        <v>4.0902027257715359</v>
      </c>
      <c r="BO24" s="2">
        <f>BN24+真實IC!BO24</f>
        <v>4.0777346633346641</v>
      </c>
      <c r="BP24" s="2">
        <f>BO24+真實IC!BP24</f>
        <v>4.1095287676645542</v>
      </c>
      <c r="BQ24" s="2">
        <f>BP24+真實IC!BQ24</f>
        <v>4.0743031278481077</v>
      </c>
      <c r="BR24" s="2">
        <f>BQ24+真實IC!BR24</f>
        <v>4.1732240170333492</v>
      </c>
      <c r="BS24" s="2">
        <f>BR24+真實IC!BS24</f>
        <v>4.1124504655057343</v>
      </c>
      <c r="BT24" s="2">
        <f>BS24+真實IC!BT24</f>
        <v>4.3891694816459426</v>
      </c>
      <c r="BU24" s="2">
        <f>BT24+真實IC!BU24</f>
        <v>4.3979179739607881</v>
      </c>
      <c r="BV24" s="2">
        <f>BU24+真實IC!BV24</f>
        <v>4.4138186747387316</v>
      </c>
      <c r="BW24" s="2">
        <f>BV24+真實IC!BW24</f>
        <v>5.522830744776094</v>
      </c>
      <c r="BX24" s="2">
        <f>BW24+真實IC!BX24</f>
        <v>5.4723704170720016</v>
      </c>
      <c r="BY24" s="2">
        <f>BX24+真實IC!BY24</f>
        <v>5.8048147097805192</v>
      </c>
      <c r="BZ24" s="2">
        <f>BY24+真實IC!BZ24</f>
        <v>5.9513152860230596</v>
      </c>
      <c r="CA24" s="2">
        <f>BZ24+真實IC!CA24</f>
        <v>5.9201139551831794</v>
      </c>
      <c r="CB24" s="2">
        <f>CA24+真實IC!CB24</f>
        <v>6.0397072243783398</v>
      </c>
      <c r="CC24" s="2">
        <f>CB24+真實IC!CC24</f>
        <v>5.728399176023613</v>
      </c>
      <c r="CD24" s="2">
        <f>CC24+真實IC!CD24</f>
        <v>5.9026590126358247</v>
      </c>
      <c r="CE24" s="2">
        <f>CD24+真實IC!CE24</f>
        <v>5.8476542853334719</v>
      </c>
      <c r="CF24" s="2">
        <f>CE24+真實IC!CF24</f>
        <v>5.8689316837807572</v>
      </c>
      <c r="CG24" s="2">
        <f>CF24+真實IC!CG24</f>
        <v>6.088009753941753</v>
      </c>
      <c r="CH24" s="2">
        <f>CG24+真實IC!CH24</f>
        <v>5.9871069068235263</v>
      </c>
      <c r="CI24" s="2">
        <f>CH24+真實IC!CI24</f>
        <v>6.0112806510557473</v>
      </c>
      <c r="CJ24" s="2">
        <f>CI24+真實IC!CJ24</f>
        <v>5.7343506196297591</v>
      </c>
      <c r="CK24" s="2">
        <f>CJ24+真實IC!CK24</f>
        <v>6.057409884958143</v>
      </c>
      <c r="CL24" s="2">
        <f>CK24+真實IC!CL24</f>
        <v>6.0570112547910568</v>
      </c>
      <c r="CM24" s="2">
        <f>CL24+真實IC!CM24</f>
        <v>6.2512567792923655</v>
      </c>
      <c r="CN24" s="2">
        <f>CM24+真實IC!CN24</f>
        <v>6.8588164532695322</v>
      </c>
      <c r="CO24" s="2">
        <f>CN24+真實IC!CO24</f>
        <v>7.5745454619948926</v>
      </c>
      <c r="CP24" s="2">
        <f>CO24+真實IC!CP24</f>
        <v>7.9421805841652482</v>
      </c>
      <c r="CQ24" s="2">
        <f>CP24+真實IC!CQ24</f>
        <v>8.2001534097059956</v>
      </c>
      <c r="CR24" s="2">
        <f>CQ24+真實IC!CR24</f>
        <v>8.2377515167873607</v>
      </c>
      <c r="CS24" s="2">
        <f>CR24+真實IC!CS24</f>
        <v>8.0889712899436734</v>
      </c>
      <c r="CT24" s="2">
        <f>CS24+真實IC!CT24</f>
        <v>8.1168894314837967</v>
      </c>
      <c r="CU24" s="2">
        <f>CT24+真實IC!CU24</f>
        <v>8.3062699962582176</v>
      </c>
      <c r="CV24" s="2">
        <f>CU24+真實IC!CV24</f>
        <v>8.2780593706682666</v>
      </c>
      <c r="CW24" s="2">
        <f>CV24+真實IC!CW24</f>
        <v>8.532064986360739</v>
      </c>
      <c r="CX24" s="2">
        <f>CW24+真實IC!CX24</f>
        <v>8.6033337167685655</v>
      </c>
      <c r="CY24" s="2">
        <f>CX24+真實IC!CY24</f>
        <v>8.9627042531231744</v>
      </c>
      <c r="CZ24" s="2">
        <f>CY24+真實IC!CZ24</f>
        <v>9.5060928551467381</v>
      </c>
      <c r="DA24" s="2">
        <f>CZ24+真實IC!DA24</f>
        <v>10.141072560645426</v>
      </c>
      <c r="DB24" s="2">
        <f>DA24+真實IC!DB24</f>
        <v>10.953334963590759</v>
      </c>
      <c r="DC24" s="2">
        <f>DB24+真實IC!DC24</f>
        <v>11.130925369662258</v>
      </c>
      <c r="DD24" s="2">
        <f>DC24+真實IC!DD24</f>
        <v>11.03684931672314</v>
      </c>
      <c r="DE24" s="2">
        <f>DD24+真實IC!DE24</f>
        <v>11.283373316681415</v>
      </c>
      <c r="DF24" s="2">
        <f>DE24+真實IC!DF24</f>
        <v>11.398278788260534</v>
      </c>
      <c r="DG24" s="2">
        <f>DF24+真實IC!DG24</f>
        <v>11.573633515241005</v>
      </c>
      <c r="DH24" s="2">
        <f>DG24+真實IC!DH24</f>
        <v>11.516058532833281</v>
      </c>
      <c r="DI24" s="2">
        <f>DH24+真實IC!DI24</f>
        <v>11.35972658737392</v>
      </c>
      <c r="DJ24" s="2">
        <f>DI24+真實IC!DJ24</f>
        <v>11.131397798932246</v>
      </c>
      <c r="DK24" s="2">
        <f>DJ24+真實IC!DK24</f>
        <v>10.966939211462776</v>
      </c>
      <c r="DL24" s="2">
        <f>DK24+真實IC!DL24</f>
        <v>11.033400663794449</v>
      </c>
      <c r="DM24" s="2">
        <f>DL24+真實IC!DM24</f>
        <v>10.991047613343687</v>
      </c>
      <c r="DN24" s="2">
        <f>DM24+真實IC!DN24</f>
        <v>11.007741063416873</v>
      </c>
      <c r="DO24" s="2">
        <f>DN24+真實IC!DO24</f>
        <v>11.121882347690381</v>
      </c>
      <c r="DP24" s="2">
        <f>DO24+真實IC!DP24</f>
        <v>11.36951353055499</v>
      </c>
      <c r="DQ24" s="2">
        <f>DP24+真實IC!DQ24</f>
        <v>11.582869075503037</v>
      </c>
      <c r="DR24" s="2">
        <f>DQ24+真實IC!DR24</f>
        <v>11.561989457519029</v>
      </c>
      <c r="DS24" s="2">
        <f>DR24+真實IC!DS24</f>
        <v>11.37860296915319</v>
      </c>
      <c r="DT24" s="2">
        <f>DS24+真實IC!DT24</f>
        <v>11.352470676429448</v>
      </c>
      <c r="DU24" s="2">
        <f>DT24+真實IC!DU24</f>
        <v>11.559732554509615</v>
      </c>
      <c r="DV24" s="2">
        <f>DU24+真實IC!DV24</f>
        <v>11.954051072524681</v>
      </c>
      <c r="DW24" s="2">
        <f>DV24+真實IC!DW24</f>
        <v>12.055233569179926</v>
      </c>
      <c r="DX24" s="2">
        <f>DW24+真實IC!DX24</f>
        <v>12.087969175298737</v>
      </c>
      <c r="DY24" s="2">
        <f>DX24+真實IC!DY24</f>
        <v>12.089543720165294</v>
      </c>
      <c r="DZ24" s="2">
        <f>DY24+真實IC!DZ24</f>
        <v>11.963607836790839</v>
      </c>
      <c r="EA24" s="2">
        <f>DZ24+真實IC!EA24</f>
        <v>11.851686138216859</v>
      </c>
      <c r="EB24" s="2">
        <f>EA24+真實IC!EB24</f>
        <v>11.851548288610561</v>
      </c>
      <c r="EC24" s="2">
        <f>EB24+真實IC!EC24</f>
        <v>11.862248525295454</v>
      </c>
      <c r="ED24" s="2">
        <f>EC24+真實IC!ED24</f>
        <v>12.029964959862047</v>
      </c>
      <c r="EE24" s="2">
        <f>ED24+真實IC!EE24</f>
        <v>12.177195624750247</v>
      </c>
      <c r="EF24" s="2">
        <f>EE24+真實IC!EF24</f>
        <v>12.411058493056288</v>
      </c>
      <c r="EG24" s="2">
        <f>EF24+真實IC!EG24</f>
        <v>12.379599115723098</v>
      </c>
      <c r="EH24" s="2">
        <f>EG24+真實IC!EH24</f>
        <v>12.250532173934705</v>
      </c>
      <c r="EI24" s="2">
        <f>EH24+真實IC!EI24</f>
        <v>12.362276454956138</v>
      </c>
      <c r="EJ24" s="2">
        <f>EI24+真實IC!EJ24</f>
        <v>12.46309097117739</v>
      </c>
      <c r="EK24" s="2">
        <f>EJ24+真實IC!EK24</f>
        <v>12.537616750268606</v>
      </c>
      <c r="EL24" s="2">
        <f>EK24+真實IC!EL24</f>
        <v>12.374151260212884</v>
      </c>
    </row>
    <row r="25" spans="1:142" x14ac:dyDescent="0.3">
      <c r="A25" s="11" t="s">
        <v>154</v>
      </c>
      <c r="B25" s="11" t="s">
        <v>155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14" t="s">
        <v>146</v>
      </c>
      <c r="B6" s="15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14" t="s">
        <v>147</v>
      </c>
      <c r="B10" s="15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1"/>
      <c r="B12" s="11">
        <v>10</v>
      </c>
      <c r="C12" s="2">
        <v>9.8199501924411306E-2</v>
      </c>
      <c r="D12" s="2">
        <f>C12+真實IC!D12</f>
        <v>0.2002592903022179</v>
      </c>
      <c r="E12" s="2">
        <f>D12+真實IC!E12</f>
        <v>0.23986879725366572</v>
      </c>
      <c r="F12" s="2">
        <f>E12+真實IC!F12</f>
        <v>0.26892447941723729</v>
      </c>
      <c r="G12" s="2">
        <f>F12+真實IC!G12</f>
        <v>0.28838936929478143</v>
      </c>
      <c r="H12" s="2">
        <f>G12+真實IC!H12</f>
        <v>0.33135999599960597</v>
      </c>
      <c r="I12" s="2">
        <f>H12+真實IC!I12</f>
        <v>0.37860738008877848</v>
      </c>
      <c r="J12" s="2">
        <f>I12+真實IC!J12</f>
        <v>0.42502170797482075</v>
      </c>
      <c r="K12" s="2">
        <f>J12+真實IC!K12</f>
        <v>0.44868060482105609</v>
      </c>
      <c r="L12" s="2">
        <f>K12+真實IC!L12</f>
        <v>0.47667885191574988</v>
      </c>
      <c r="M12" s="2">
        <f>L12+真實IC!M12</f>
        <v>0.49580180399126783</v>
      </c>
      <c r="N12" s="2">
        <f>M12+真實IC!N12</f>
        <v>0.58136536185456533</v>
      </c>
      <c r="O12" s="2">
        <f>N12+真實IC!O12</f>
        <v>0.59200142641955233</v>
      </c>
      <c r="P12" s="2">
        <f>O12+真實IC!P12</f>
        <v>0.6006625130312373</v>
      </c>
      <c r="Q12" s="2">
        <f>P12+真實IC!Q12</f>
        <v>0.63476921319203483</v>
      </c>
      <c r="R12" s="2">
        <f>Q12+真實IC!R12</f>
        <v>0.63969818240001275</v>
      </c>
      <c r="S12" s="2">
        <f>R12+真實IC!S12</f>
        <v>0.69453593758507803</v>
      </c>
      <c r="T12" s="2">
        <f>S12+真實IC!T12</f>
        <v>0.74712360688090584</v>
      </c>
      <c r="U12" s="2">
        <f>T12+真實IC!U12</f>
        <v>0.76879151262606193</v>
      </c>
      <c r="V12" s="2">
        <f>U12+真實IC!V12</f>
        <v>0.81022026694606786</v>
      </c>
      <c r="W12" s="2">
        <f>V12+真實IC!W12</f>
        <v>0.87393053511065943</v>
      </c>
      <c r="X12" s="2">
        <f>W12+真實IC!X12</f>
        <v>0.97782669147002343</v>
      </c>
      <c r="Y12" s="2">
        <f>X12+真實IC!Y12</f>
        <v>1.0290784724407962</v>
      </c>
      <c r="Z12" s="2">
        <f>Y12+真實IC!Z12</f>
        <v>1.0993088723440096</v>
      </c>
      <c r="AA12" s="2">
        <f>Z12+真實IC!AA12</f>
        <v>1.133434277326886</v>
      </c>
      <c r="AB12" s="2">
        <f>AA12+真實IC!AB12</f>
        <v>1.1517325910227389</v>
      </c>
      <c r="AC12" s="2">
        <f>AB12+真實IC!AC12</f>
        <v>1.1876131310376772</v>
      </c>
      <c r="AD12" s="2">
        <f>AC12+真實IC!AD12</f>
        <v>1.2084695402590471</v>
      </c>
      <c r="AE12" s="2">
        <f>AD12+真實IC!AE12</f>
        <v>1.2544867394438524</v>
      </c>
      <c r="AF12" s="2">
        <f>AE12+真實IC!AF12</f>
        <v>1.2948491427081263</v>
      </c>
      <c r="AG12" s="2">
        <f>AF12+真實IC!AG12</f>
        <v>1.3384869430270776</v>
      </c>
      <c r="AH12" s="2">
        <f>AG12+真實IC!AH12</f>
        <v>1.3622475609543929</v>
      </c>
      <c r="AI12" s="2">
        <f>AH12+真實IC!AI12</f>
        <v>1.3768096146211917</v>
      </c>
      <c r="AJ12" s="2">
        <f>AI12+真實IC!AJ12</f>
        <v>1.3867663426364563</v>
      </c>
      <c r="AK12" s="2">
        <f>AJ12+真實IC!AK12</f>
        <v>1.4237134884542928</v>
      </c>
      <c r="AL12" s="2">
        <f>AK12+真實IC!AL12</f>
        <v>1.4659208595623414</v>
      </c>
      <c r="AM12" s="2">
        <f>AL12+真實IC!AM12</f>
        <v>1.5124345645012536</v>
      </c>
      <c r="AN12" s="2">
        <f>AM12+真實IC!AN12</f>
        <v>1.576787549905057</v>
      </c>
      <c r="AO12" s="2">
        <f>AN12+真實IC!AO12</f>
        <v>1.5949071268956538</v>
      </c>
      <c r="AP12" s="2">
        <f>AO12+真實IC!AP12</f>
        <v>1.6241646006812192</v>
      </c>
      <c r="AQ12" s="2">
        <f>AP12+真實IC!AQ12</f>
        <v>1.6388124318276829</v>
      </c>
      <c r="AR12" s="2">
        <f>AQ12+真實IC!AR12</f>
        <v>1.6663756352870855</v>
      </c>
      <c r="AS12" s="2">
        <f>AR12+真實IC!AS12</f>
        <v>1.7002120446719227</v>
      </c>
      <c r="AT12" s="2">
        <f>AS12+真實IC!AT12</f>
        <v>1.7788356101896172</v>
      </c>
      <c r="AU12" s="2">
        <f>AT12+真實IC!AU12</f>
        <v>1.8541805360645469</v>
      </c>
      <c r="AV12" s="2">
        <f>AU12+真實IC!AV12</f>
        <v>1.9159135828456051</v>
      </c>
      <c r="AW12" s="2">
        <f>AV12+真實IC!AW12</f>
        <v>1.9467335493355784</v>
      </c>
      <c r="AX12" s="2">
        <f>AW12+真實IC!AX12</f>
        <v>2.0100418832412319</v>
      </c>
      <c r="AY12" s="2">
        <f>AX12+真實IC!AY12</f>
        <v>2.0210875407858762</v>
      </c>
      <c r="AZ12" s="2">
        <f>AY12+真實IC!AZ12</f>
        <v>2.0780548474525857</v>
      </c>
      <c r="BA12" s="2">
        <f>AZ12+真實IC!BA12</f>
        <v>2.1617433504472494</v>
      </c>
      <c r="BB12" s="2">
        <f>BA12+真實IC!BB12</f>
        <v>2.2234059439757092</v>
      </c>
      <c r="BC12" s="2">
        <f>BB12+真實IC!BC12</f>
        <v>2.2370848221922341</v>
      </c>
      <c r="BD12" s="2">
        <f>BC12+真實IC!BD12</f>
        <v>2.291625300887798</v>
      </c>
      <c r="BE12" s="2">
        <f>BD12+真實IC!BE12</f>
        <v>2.3547551850843687</v>
      </c>
      <c r="BF12" s="2">
        <f>BE12+真實IC!BF12</f>
        <v>2.4234827876829117</v>
      </c>
      <c r="BG12" s="2">
        <f>BF12+真實IC!BG12</f>
        <v>2.4987272574914168</v>
      </c>
      <c r="BH12" s="2">
        <f>BG12+真實IC!BH12</f>
        <v>2.5601080117319506</v>
      </c>
      <c r="BI12" s="2">
        <f>BH12+真實IC!BI12</f>
        <v>2.6139383598523396</v>
      </c>
      <c r="BJ12" s="2">
        <f>BI12+真實IC!BJ12</f>
        <v>2.660931924410979</v>
      </c>
      <c r="BK12" s="2">
        <f>BJ12+真實IC!BK12</f>
        <v>2.6925968964637113</v>
      </c>
      <c r="BL12" s="2">
        <f>BK12+真實IC!BL12</f>
        <v>2.7346396364645122</v>
      </c>
      <c r="BM12" s="2">
        <f>BL12+真實IC!BM12</f>
        <v>2.7773159968997025</v>
      </c>
      <c r="BN12" s="2">
        <f>BM12+真實IC!BN12</f>
        <v>2.8196381120378686</v>
      </c>
      <c r="BO12" s="2">
        <f>BN12+真實IC!BO12</f>
        <v>2.8460306534700406</v>
      </c>
      <c r="BP12" s="2">
        <f>BO12+真實IC!BP12</f>
        <v>2.8694317893577237</v>
      </c>
      <c r="BQ12" s="2">
        <f>BP12+真實IC!BQ12</f>
        <v>2.8871615469816803</v>
      </c>
      <c r="BR12" s="2">
        <f>BQ12+真實IC!BR12</f>
        <v>2.9481640963509927</v>
      </c>
      <c r="BS12" s="2">
        <f>BR12+真實IC!BS12</f>
        <v>2.9727908404421224</v>
      </c>
      <c r="BT12" s="2">
        <f>BS12+真實IC!BT12</f>
        <v>3.0015137050725169</v>
      </c>
      <c r="BU12" s="2">
        <f>BT12+真實IC!BU12</f>
        <v>3.0374752709390789</v>
      </c>
      <c r="BV12" s="2">
        <f>BU12+真實IC!BV12</f>
        <v>3.0792375446562166</v>
      </c>
      <c r="BW12" s="2">
        <f>BV12+真實IC!BW12</f>
        <v>3.1218948079779425</v>
      </c>
      <c r="BX12" s="2">
        <f>BW12+真實IC!BX12</f>
        <v>3.1275163090650793</v>
      </c>
      <c r="BY12" s="2">
        <f>BX12+真實IC!BY12</f>
        <v>3.1777903002049066</v>
      </c>
      <c r="BZ12" s="2">
        <f>BY12+真實IC!BZ12</f>
        <v>3.2224370597580219</v>
      </c>
      <c r="CA12" s="2">
        <f>BZ12+真實IC!CA12</f>
        <v>3.2824097584648166</v>
      </c>
      <c r="CB12" s="2">
        <f>CA12+真實IC!CB12</f>
        <v>3.3466419580630178</v>
      </c>
      <c r="CC12" s="2">
        <f>CB12+真實IC!CC12</f>
        <v>3.3799724634633761</v>
      </c>
      <c r="CD12" s="2">
        <f>CC12+真實IC!CD12</f>
        <v>3.4558557883020673</v>
      </c>
      <c r="CE12" s="2">
        <f>CD12+真實IC!CE12</f>
        <v>3.5769856409871581</v>
      </c>
      <c r="CF12" s="2">
        <f>CE12+真實IC!CF12</f>
        <v>3.5930798755636895</v>
      </c>
      <c r="CG12" s="2">
        <f>CF12+真實IC!CG12</f>
        <v>3.6336447436910166</v>
      </c>
      <c r="CH12" s="2">
        <f>CG12+真實IC!CH12</f>
        <v>3.7159975927720765</v>
      </c>
      <c r="CI12" s="2">
        <f>CH12+真實IC!CI12</f>
        <v>3.7308201735070354</v>
      </c>
      <c r="CJ12" s="2">
        <f>CI12+真實IC!CJ12</f>
        <v>3.7937251796912093</v>
      </c>
      <c r="CK12" s="2">
        <f>CJ12+真實IC!CK12</f>
        <v>3.8581128833989853</v>
      </c>
      <c r="CL12" s="2">
        <f>CK12+真實IC!CL12</f>
        <v>4.0055373722295293</v>
      </c>
      <c r="CM12" s="2">
        <f>CL12+真實IC!CM12</f>
        <v>4.0795648431288249</v>
      </c>
      <c r="CN12" s="2">
        <f>CM12+真實IC!CN12</f>
        <v>4.1922840777872512</v>
      </c>
      <c r="CO12" s="2">
        <f>CN12+真實IC!CO12</f>
        <v>4.2776857396268735</v>
      </c>
      <c r="CP12" s="2">
        <f>CO12+真實IC!CP12</f>
        <v>4.3239248664575394</v>
      </c>
      <c r="CQ12" s="2">
        <f>CP12+真實IC!CQ12</f>
        <v>4.3891390045947904</v>
      </c>
      <c r="CR12" s="2">
        <f>CQ12+真實IC!CR12</f>
        <v>4.4592869718714887</v>
      </c>
      <c r="CS12" s="2">
        <f>CR12+真實IC!CS12</f>
        <v>4.5000425094858114</v>
      </c>
      <c r="CT12" s="2">
        <f>CS12+真實IC!CT12</f>
        <v>4.5308325452522551</v>
      </c>
      <c r="CU12" s="2">
        <f>CT12+真實IC!CU12</f>
        <v>4.6192255358659793</v>
      </c>
      <c r="CV12" s="2">
        <f>CU12+真實IC!CV12</f>
        <v>4.6923416136740626</v>
      </c>
      <c r="CW12" s="2">
        <f>CV12+真實IC!CW12</f>
        <v>4.7317532061446475</v>
      </c>
      <c r="CX12" s="2">
        <f>CW12+真實IC!CX12</f>
        <v>4.8149439513973871</v>
      </c>
      <c r="CY12" s="2">
        <f>CX12+真實IC!CY12</f>
        <v>4.8546389393857963</v>
      </c>
      <c r="CZ12" s="2">
        <f>CY12+真實IC!CZ12</f>
        <v>4.9712990319752004</v>
      </c>
      <c r="DA12" s="2">
        <f>CZ12+真實IC!DA12</f>
        <v>5.0103575283682851</v>
      </c>
      <c r="DB12" s="2">
        <f>DA12+真實IC!DB12</f>
        <v>5.081028319104397</v>
      </c>
      <c r="DC12" s="2">
        <f>DB12+真實IC!DC12</f>
        <v>5.1170823385487045</v>
      </c>
      <c r="DD12" s="2">
        <f>DC12+真實IC!DD12</f>
        <v>5.1584398331699344</v>
      </c>
      <c r="DE12" s="2">
        <f>DD12+真實IC!DE12</f>
        <v>5.1861737280813109</v>
      </c>
      <c r="DF12" s="2">
        <f>DE12+真實IC!DF12</f>
        <v>5.2421634779471669</v>
      </c>
      <c r="DG12" s="2">
        <f>DF12+真實IC!DG12</f>
        <v>5.2797324150029254</v>
      </c>
      <c r="DH12" s="2">
        <f>DG12+真實IC!DH12</f>
        <v>5.3250405914265393</v>
      </c>
      <c r="DI12" s="2">
        <f>DH12+真實IC!DI12</f>
        <v>5.3929162189041921</v>
      </c>
      <c r="DJ12" s="2">
        <f>DI12+真實IC!DJ12</f>
        <v>5.4091322500763486</v>
      </c>
      <c r="DK12" s="2">
        <f>DJ12+真實IC!DK12</f>
        <v>5.4513466476741153</v>
      </c>
      <c r="DL12" s="2">
        <f>DK12+真實IC!DL12</f>
        <v>5.4895660543457927</v>
      </c>
      <c r="DM12" s="2">
        <f>DL12+真實IC!DM12</f>
        <v>5.5217684481637068</v>
      </c>
      <c r="DN12" s="2">
        <f>DM12+真實IC!DN12</f>
        <v>5.5441819336334106</v>
      </c>
      <c r="DO12" s="2">
        <f>DN12+真實IC!DO12</f>
        <v>5.5802439307359046</v>
      </c>
      <c r="DP12" s="2">
        <f>DO12+真實IC!DP12</f>
        <v>5.6516080909609716</v>
      </c>
      <c r="DQ12" s="2">
        <f>DP12+真實IC!DQ12</f>
        <v>5.7209625662571604</v>
      </c>
      <c r="DR12" s="2">
        <f>DQ12+真實IC!DR12</f>
        <v>5.7445123266426439</v>
      </c>
      <c r="DS12" s="2">
        <f>DR12+真實IC!DS12</f>
        <v>5.826163886155558</v>
      </c>
      <c r="DT12" s="2">
        <f>DS12+真實IC!DT12</f>
        <v>5.8686840341474769</v>
      </c>
      <c r="DU12" s="2">
        <f>DT12+真實IC!DU12</f>
        <v>5.9210631291599682</v>
      </c>
      <c r="DV12" s="2">
        <f>DU12+真實IC!DV12</f>
        <v>5.9691898914234356</v>
      </c>
      <c r="DW12" s="2">
        <f>DV12+真實IC!DW12</f>
        <v>6.0316586443429845</v>
      </c>
      <c r="DX12" s="2">
        <f>DW12+真實IC!DX12</f>
        <v>6.0871142002255239</v>
      </c>
      <c r="DY12" s="2">
        <f>DX12+真實IC!DY12</f>
        <v>6.1436114700467188</v>
      </c>
      <c r="DZ12" s="2">
        <f>DY12+真實IC!DZ12</f>
        <v>6.1641119395772703</v>
      </c>
      <c r="EA12" s="2">
        <f>DZ12+真實IC!EA12</f>
        <v>6.2999878972801744</v>
      </c>
      <c r="EB12" s="2">
        <f>EA12+真實IC!EB12</f>
        <v>6.3358525713387026</v>
      </c>
      <c r="EC12" s="2">
        <f>EB12+真實IC!EC12</f>
        <v>6.3705119370694572</v>
      </c>
      <c r="ED12" s="2">
        <f>EC12+真實IC!ED12</f>
        <v>6.4142592197206989</v>
      </c>
      <c r="EE12" s="2">
        <f>ED12+真實IC!EE12</f>
        <v>6.4545145861631399</v>
      </c>
      <c r="EF12" s="2">
        <f>EE12+真實IC!EF12</f>
        <v>6.5062982947717023</v>
      </c>
      <c r="EG12" s="2">
        <f>EF12+真實IC!EG12</f>
        <v>6.6043245311305778</v>
      </c>
      <c r="EH12" s="2">
        <f>EG12+真實IC!EH12</f>
        <v>6.6177551922750855</v>
      </c>
      <c r="EI12" s="2">
        <f>EH12+真實IC!EI12</f>
        <v>6.6341889217321137</v>
      </c>
      <c r="EJ12" s="2">
        <f>EI12+真實IC!EJ12</f>
        <v>6.7004331309032112</v>
      </c>
      <c r="EK12" s="2">
        <f>EJ12+真實IC!EK12</f>
        <v>6.75288171063346</v>
      </c>
      <c r="EL12" s="2">
        <f>EK12+真實IC!EL12</f>
        <v>6.7908089688441375</v>
      </c>
    </row>
    <row r="13" spans="1:142" x14ac:dyDescent="0.3">
      <c r="A13" s="11"/>
      <c r="B13" s="11">
        <v>20</v>
      </c>
      <c r="C13" s="2">
        <v>0.12107776166471761</v>
      </c>
      <c r="D13" s="2">
        <f>C13+真實IC!D13</f>
        <v>0.25190549423931863</v>
      </c>
      <c r="E13" s="2">
        <f>D13+真實IC!E13</f>
        <v>0.2908666957348981</v>
      </c>
      <c r="F13" s="2">
        <f>E13+真實IC!F13</f>
        <v>0.31509780584269087</v>
      </c>
      <c r="G13" s="2">
        <f>F13+真實IC!G13</f>
        <v>0.33090402694338289</v>
      </c>
      <c r="H13" s="2">
        <f>G13+真實IC!H13</f>
        <v>0.39011115204687902</v>
      </c>
      <c r="I13" s="2">
        <f>H13+真實IC!I13</f>
        <v>0.44841997666587768</v>
      </c>
      <c r="J13" s="2">
        <f>I13+真實IC!J13</f>
        <v>0.49432274947091304</v>
      </c>
      <c r="K13" s="2">
        <f>J13+真實IC!K13</f>
        <v>0.56144932679464588</v>
      </c>
      <c r="L13" s="2">
        <f>K13+真實IC!L13</f>
        <v>0.58426392902543067</v>
      </c>
      <c r="M13" s="2">
        <f>L13+真實IC!M13</f>
        <v>0.59084799680212052</v>
      </c>
      <c r="N13" s="2">
        <f>M13+真實IC!N13</f>
        <v>0.71561715827228578</v>
      </c>
      <c r="O13" s="2">
        <f>N13+真實IC!O13</f>
        <v>0.73045492332314521</v>
      </c>
      <c r="P13" s="2">
        <f>O13+真實IC!P13</f>
        <v>0.74509990834072204</v>
      </c>
      <c r="Q13" s="2">
        <f>P13+真實IC!Q13</f>
        <v>0.78004094027967019</v>
      </c>
      <c r="R13" s="2">
        <f>Q13+真實IC!R13</f>
        <v>0.77265275743251194</v>
      </c>
      <c r="S13" s="2">
        <f>R13+真實IC!S13</f>
        <v>0.83935781338902804</v>
      </c>
      <c r="T13" s="2">
        <f>S13+真實IC!T13</f>
        <v>0.9172068243547401</v>
      </c>
      <c r="U13" s="2">
        <f>T13+真實IC!U13</f>
        <v>0.96428926633070755</v>
      </c>
      <c r="V13" s="2">
        <f>U13+真實IC!V13</f>
        <v>1.0215783933816891</v>
      </c>
      <c r="W13" s="2">
        <f>V13+真實IC!W13</f>
        <v>1.1108269300541129</v>
      </c>
      <c r="X13" s="2">
        <f>W13+真實IC!X13</f>
        <v>1.2532241898998464</v>
      </c>
      <c r="Y13" s="2">
        <f>X13+真實IC!Y13</f>
        <v>1.2729308165036493</v>
      </c>
      <c r="Z13" s="2">
        <f>Y13+真實IC!Z13</f>
        <v>1.3753280468177937</v>
      </c>
      <c r="AA13" s="2">
        <f>Z13+真實IC!AA13</f>
        <v>1.415853455684329</v>
      </c>
      <c r="AB13" s="2">
        <f>AA13+真實IC!AB13</f>
        <v>1.4592471538223115</v>
      </c>
      <c r="AC13" s="2">
        <f>AB13+真實IC!AC13</f>
        <v>1.490721094881563</v>
      </c>
      <c r="AD13" s="2">
        <f>AC13+真實IC!AD13</f>
        <v>1.5049252392661645</v>
      </c>
      <c r="AE13" s="2">
        <f>AD13+真實IC!AE13</f>
        <v>1.5674452097940179</v>
      </c>
      <c r="AF13" s="2">
        <f>AE13+真實IC!AF13</f>
        <v>1.6307076619206406</v>
      </c>
      <c r="AG13" s="2">
        <f>AF13+真實IC!AG13</f>
        <v>1.661663997184015</v>
      </c>
      <c r="AH13" s="2">
        <f>AG13+真實IC!AH13</f>
        <v>1.6870992882139593</v>
      </c>
      <c r="AI13" s="2">
        <f>AH13+真實IC!AI13</f>
        <v>1.7096581038554755</v>
      </c>
      <c r="AJ13" s="2">
        <f>AI13+真實IC!AJ13</f>
        <v>1.7440879819094413</v>
      </c>
      <c r="AK13" s="2">
        <f>AJ13+真實IC!AK13</f>
        <v>1.7940450893675013</v>
      </c>
      <c r="AL13" s="2">
        <f>AK13+真實IC!AL13</f>
        <v>1.8383688509463176</v>
      </c>
      <c r="AM13" s="2">
        <f>AL13+真實IC!AM13</f>
        <v>1.8730200709872997</v>
      </c>
      <c r="AN13" s="2">
        <f>AM13+真實IC!AN13</f>
        <v>1.9686291018317998</v>
      </c>
      <c r="AO13" s="2">
        <f>AN13+真實IC!AO13</f>
        <v>1.9719662852451969</v>
      </c>
      <c r="AP13" s="2">
        <f>AO13+真實IC!AP13</f>
        <v>2.0208653839805808</v>
      </c>
      <c r="AQ13" s="2">
        <f>AP13+真實IC!AQ13</f>
        <v>2.0304530406116066</v>
      </c>
      <c r="AR13" s="2">
        <f>AQ13+真實IC!AR13</f>
        <v>2.0419550617106053</v>
      </c>
      <c r="AS13" s="2">
        <f>AR13+真實IC!AS13</f>
        <v>2.0660409098260115</v>
      </c>
      <c r="AT13" s="2">
        <f>AS13+真實IC!AT13</f>
        <v>2.1944601487849384</v>
      </c>
      <c r="AU13" s="2">
        <f>AT13+真實IC!AU13</f>
        <v>2.2686977922140144</v>
      </c>
      <c r="AV13" s="2">
        <f>AU13+真實IC!AV13</f>
        <v>2.3491844204516394</v>
      </c>
      <c r="AW13" s="2">
        <f>AV13+真實IC!AW13</f>
        <v>2.3934233654782933</v>
      </c>
      <c r="AX13" s="2">
        <f>AW13+真實IC!AX13</f>
        <v>2.4764097398478038</v>
      </c>
      <c r="AY13" s="2">
        <f>AX13+真實IC!AY13</f>
        <v>2.4821527630351334</v>
      </c>
      <c r="AZ13" s="2">
        <f>AY13+真實IC!AZ13</f>
        <v>2.5552530763260837</v>
      </c>
      <c r="BA13" s="2">
        <f>AZ13+真實IC!BA13</f>
        <v>2.6348324432274057</v>
      </c>
      <c r="BB13" s="2">
        <f>BA13+真實IC!BB13</f>
        <v>2.7195734892100996</v>
      </c>
      <c r="BC13" s="2">
        <f>BB13+真實IC!BC13</f>
        <v>2.7229778573769172</v>
      </c>
      <c r="BD13" s="2">
        <f>BC13+真實IC!BD13</f>
        <v>2.7549887613245949</v>
      </c>
      <c r="BE13" s="2">
        <f>BD13+真實IC!BE13</f>
        <v>2.81619223397115</v>
      </c>
      <c r="BF13" s="2">
        <f>BE13+真實IC!BF13</f>
        <v>2.9355806979903529</v>
      </c>
      <c r="BG13" s="2">
        <f>BF13+真實IC!BG13</f>
        <v>3.0464924590287379</v>
      </c>
      <c r="BH13" s="2">
        <f>BG13+真實IC!BH13</f>
        <v>3.1466157510597967</v>
      </c>
      <c r="BI13" s="2">
        <f>BH13+真實IC!BI13</f>
        <v>3.2179143193671673</v>
      </c>
      <c r="BJ13" s="2">
        <f>BI13+真實IC!BJ13</f>
        <v>3.2600120483700321</v>
      </c>
      <c r="BK13" s="2">
        <f>BJ13+真實IC!BK13</f>
        <v>3.2728713982461346</v>
      </c>
      <c r="BL13" s="2">
        <f>BK13+真實IC!BL13</f>
        <v>3.3115421552312263</v>
      </c>
      <c r="BM13" s="2">
        <f>BL13+真實IC!BM13</f>
        <v>3.3475779103595191</v>
      </c>
      <c r="BN13" s="2">
        <f>BM13+真實IC!BN13</f>
        <v>3.3894297314152579</v>
      </c>
      <c r="BO13" s="2">
        <f>BN13+真實IC!BO13</f>
        <v>3.419703711507863</v>
      </c>
      <c r="BP13" s="2">
        <f>BO13+真實IC!BP13</f>
        <v>3.4357338480985207</v>
      </c>
      <c r="BQ13" s="2">
        <f>BP13+真實IC!BQ13</f>
        <v>3.4407749661459994</v>
      </c>
      <c r="BR13" s="2">
        <f>BQ13+真實IC!BR13</f>
        <v>3.5000817411755709</v>
      </c>
      <c r="BS13" s="2">
        <f>BR13+真實IC!BS13</f>
        <v>3.5220864535927401</v>
      </c>
      <c r="BT13" s="2">
        <f>BS13+真實IC!BT13</f>
        <v>3.5307065219778488</v>
      </c>
      <c r="BU13" s="2">
        <f>BT13+真實IC!BU13</f>
        <v>3.5815996165934192</v>
      </c>
      <c r="BV13" s="2">
        <f>BU13+真實IC!BV13</f>
        <v>3.63714138034325</v>
      </c>
      <c r="BW13" s="2">
        <f>BV13+真實IC!BW13</f>
        <v>3.7072826376461396</v>
      </c>
      <c r="BX13" s="2">
        <f>BW13+真實IC!BX13</f>
        <v>3.7219869263447851</v>
      </c>
      <c r="BY13" s="2">
        <f>BX13+真實IC!BY13</f>
        <v>3.7946948939479475</v>
      </c>
      <c r="BZ13" s="2">
        <f>BY13+真實IC!BZ13</f>
        <v>3.8426368953596066</v>
      </c>
      <c r="CA13" s="2">
        <f>BZ13+真實IC!CA13</f>
        <v>3.9038732699754033</v>
      </c>
      <c r="CB13" s="2">
        <f>CA13+真實IC!CB13</f>
        <v>4.0153947956205815</v>
      </c>
      <c r="CC13" s="2">
        <f>CB13+真實IC!CC13</f>
        <v>4.0531457952364489</v>
      </c>
      <c r="CD13" s="2">
        <f>CC13+真實IC!CD13</f>
        <v>4.1422863677323924</v>
      </c>
      <c r="CE13" s="2">
        <f>CD13+真實IC!CE13</f>
        <v>4.294166576034125</v>
      </c>
      <c r="CF13" s="2">
        <f>CE13+真實IC!CF13</f>
        <v>4.3191593332831602</v>
      </c>
      <c r="CG13" s="2">
        <f>CF13+真實IC!CG13</f>
        <v>4.3859538549401176</v>
      </c>
      <c r="CH13" s="2">
        <f>CG13+真實IC!CH13</f>
        <v>4.4948590223629514</v>
      </c>
      <c r="CI13" s="2">
        <f>CH13+真實IC!CI13</f>
        <v>4.5245630266175718</v>
      </c>
      <c r="CJ13" s="2">
        <f>CI13+真實IC!CJ13</f>
        <v>4.5969716722221827</v>
      </c>
      <c r="CK13" s="2">
        <f>CJ13+真實IC!CK13</f>
        <v>4.6375784079436491</v>
      </c>
      <c r="CL13" s="2">
        <f>CK13+真實IC!CL13</f>
        <v>4.78349515579258</v>
      </c>
      <c r="CM13" s="2">
        <f>CL13+真實IC!CM13</f>
        <v>4.8648595836572497</v>
      </c>
      <c r="CN13" s="2">
        <f>CM13+真實IC!CN13</f>
        <v>4.9672170391075126</v>
      </c>
      <c r="CO13" s="2">
        <f>CN13+真實IC!CO13</f>
        <v>5.06852862520548</v>
      </c>
      <c r="CP13" s="2">
        <f>CO13+真實IC!CP13</f>
        <v>5.1307489214501105</v>
      </c>
      <c r="CQ13" s="2">
        <f>CP13+真實IC!CQ13</f>
        <v>5.2012960460063757</v>
      </c>
      <c r="CR13" s="2">
        <f>CQ13+真實IC!CR13</f>
        <v>5.3053350252649336</v>
      </c>
      <c r="CS13" s="2">
        <f>CR13+真實IC!CS13</f>
        <v>5.3413146783203667</v>
      </c>
      <c r="CT13" s="2">
        <f>CS13+真實IC!CT13</f>
        <v>5.3881944127952428</v>
      </c>
      <c r="CU13" s="2">
        <f>CT13+真實IC!CU13</f>
        <v>5.5092935385264203</v>
      </c>
      <c r="CV13" s="2">
        <f>CU13+真實IC!CV13</f>
        <v>5.5892079745101801</v>
      </c>
      <c r="CW13" s="2">
        <f>CV13+真實IC!CW13</f>
        <v>5.6415037287668106</v>
      </c>
      <c r="CX13" s="2">
        <f>CW13+真實IC!CX13</f>
        <v>5.7155441956193132</v>
      </c>
      <c r="CY13" s="2">
        <f>CX13+真實IC!CY13</f>
        <v>5.7589538956779238</v>
      </c>
      <c r="CZ13" s="2">
        <f>CY13+真實IC!CZ13</f>
        <v>5.8876384380189464</v>
      </c>
      <c r="DA13" s="2">
        <f>CZ13+真實IC!DA13</f>
        <v>5.9114810228070835</v>
      </c>
      <c r="DB13" s="2">
        <f>DA13+真實IC!DB13</f>
        <v>6.022270037531853</v>
      </c>
      <c r="DC13" s="2">
        <f>DB13+真實IC!DC13</f>
        <v>6.0712376937119892</v>
      </c>
      <c r="DD13" s="2">
        <f>DC13+真實IC!DD13</f>
        <v>6.1532926732955735</v>
      </c>
      <c r="DE13" s="2">
        <f>DD13+真實IC!DE13</f>
        <v>6.1869761391097047</v>
      </c>
      <c r="DF13" s="2">
        <f>DE13+真實IC!DF13</f>
        <v>6.2653496817964953</v>
      </c>
      <c r="DG13" s="2">
        <f>DF13+真實IC!DG13</f>
        <v>6.3038597442949902</v>
      </c>
      <c r="DH13" s="2">
        <f>DG13+真實IC!DH13</f>
        <v>6.3704449904933993</v>
      </c>
      <c r="DI13" s="2">
        <f>DH13+真實IC!DI13</f>
        <v>6.4366588619430747</v>
      </c>
      <c r="DJ13" s="2">
        <f>DI13+真實IC!DJ13</f>
        <v>6.4679035285115836</v>
      </c>
      <c r="DK13" s="2">
        <f>DJ13+真實IC!DK13</f>
        <v>6.504311351149406</v>
      </c>
      <c r="DL13" s="2">
        <f>DK13+真實IC!DL13</f>
        <v>6.550451639746834</v>
      </c>
      <c r="DM13" s="2">
        <f>DL13+真實IC!DM13</f>
        <v>6.6006821513533938</v>
      </c>
      <c r="DN13" s="2">
        <f>DM13+真實IC!DN13</f>
        <v>6.6338676150137399</v>
      </c>
      <c r="DO13" s="2">
        <f>DN13+真實IC!DO13</f>
        <v>6.698486334795466</v>
      </c>
      <c r="DP13" s="2">
        <f>DO13+真實IC!DP13</f>
        <v>6.8096935338456701</v>
      </c>
      <c r="DQ13" s="2">
        <f>DP13+真實IC!DQ13</f>
        <v>6.8974265982020952</v>
      </c>
      <c r="DR13" s="2">
        <f>DQ13+真實IC!DR13</f>
        <v>6.908816172067147</v>
      </c>
      <c r="DS13" s="2">
        <f>DR13+真實IC!DS13</f>
        <v>6.9881925409265166</v>
      </c>
      <c r="DT13" s="2">
        <f>DS13+真實IC!DT13</f>
        <v>7.0298792094356184</v>
      </c>
      <c r="DU13" s="2">
        <f>DT13+真實IC!DU13</f>
        <v>7.0531793915034013</v>
      </c>
      <c r="DV13" s="2">
        <f>DU13+真實IC!DV13</f>
        <v>7.1255822102171784</v>
      </c>
      <c r="DW13" s="2">
        <f>DV13+真實IC!DW13</f>
        <v>7.2127042317374332</v>
      </c>
      <c r="DX13" s="2">
        <f>DW13+真實IC!DX13</f>
        <v>7.2672050083056137</v>
      </c>
      <c r="DY13" s="2">
        <f>DX13+真實IC!DY13</f>
        <v>7.3458833612977683</v>
      </c>
      <c r="DZ13" s="2">
        <f>DY13+真實IC!DZ13</f>
        <v>7.3408157381784447</v>
      </c>
      <c r="EA13" s="2">
        <f>DZ13+真實IC!EA13</f>
        <v>7.4715188643455885</v>
      </c>
      <c r="EB13" s="2">
        <f>EA13+真實IC!EB13</f>
        <v>7.5304421598098363</v>
      </c>
      <c r="EC13" s="2">
        <f>EB13+真實IC!EC13</f>
        <v>7.5412864967589863</v>
      </c>
      <c r="ED13" s="2">
        <f>EC13+真實IC!ED13</f>
        <v>7.6018513160648684</v>
      </c>
      <c r="EE13" s="2">
        <f>ED13+真實IC!EE13</f>
        <v>7.6456036702253805</v>
      </c>
      <c r="EF13" s="2">
        <f>EE13+真實IC!EF13</f>
        <v>7.702158102865921</v>
      </c>
      <c r="EG13" s="2">
        <f>EF13+真實IC!EG13</f>
        <v>7.819028283553985</v>
      </c>
      <c r="EH13" s="2">
        <f>EG13+真實IC!EH13</f>
        <v>7.8385258683249228</v>
      </c>
      <c r="EI13" s="2">
        <f>EH13+真實IC!EI13</f>
        <v>7.8623458427078656</v>
      </c>
      <c r="EJ13" s="2">
        <f>EI13+真實IC!EJ13</f>
        <v>7.9423728110883971</v>
      </c>
      <c r="EK13" s="2">
        <f>EJ13+真實IC!EK13</f>
        <v>8.0010934041278912</v>
      </c>
      <c r="EL13" s="2">
        <f>EK13+真實IC!EL13</f>
        <v>8.0309207769754458</v>
      </c>
    </row>
    <row r="14" spans="1:142" x14ac:dyDescent="0.3">
      <c r="A14" s="11"/>
      <c r="B14" s="11">
        <v>50</v>
      </c>
      <c r="C14" s="2">
        <v>0.13220513330973041</v>
      </c>
      <c r="D14" s="2">
        <f>C14+真實IC!D14</f>
        <v>0.29635559593892979</v>
      </c>
      <c r="E14" s="2">
        <f>D14+真實IC!E14</f>
        <v>0.34622419154853451</v>
      </c>
      <c r="F14" s="2">
        <f>E14+真實IC!F14</f>
        <v>0.35263536143674928</v>
      </c>
      <c r="G14" s="2">
        <f>F14+真實IC!G14</f>
        <v>0.3964298444776761</v>
      </c>
      <c r="H14" s="2">
        <f>G14+真實IC!H14</f>
        <v>0.42855066005506343</v>
      </c>
      <c r="I14" s="2">
        <f>H14+真實IC!I14</f>
        <v>0.48580308199712297</v>
      </c>
      <c r="J14" s="2">
        <f>I14+真實IC!J14</f>
        <v>0.5421993285884098</v>
      </c>
      <c r="K14" s="2">
        <f>J14+真實IC!K14</f>
        <v>0.58687858746230215</v>
      </c>
      <c r="L14" s="2">
        <f>K14+真實IC!L14</f>
        <v>0.58145820056391273</v>
      </c>
      <c r="M14" s="2">
        <f>L14+真實IC!M14</f>
        <v>0.61820010067659081</v>
      </c>
      <c r="N14" s="2">
        <f>M14+真實IC!N14</f>
        <v>0.71424503998545785</v>
      </c>
      <c r="O14" s="2">
        <f>N14+真實IC!O14</f>
        <v>0.69050459917545681</v>
      </c>
      <c r="P14" s="2">
        <f>O14+真實IC!P14</f>
        <v>0.67746075542551265</v>
      </c>
      <c r="Q14" s="2">
        <f>P14+真實IC!Q14</f>
        <v>0.7497897502766826</v>
      </c>
      <c r="R14" s="2">
        <f>Q14+真實IC!R14</f>
        <v>0.76263035397262702</v>
      </c>
      <c r="S14" s="2">
        <f>R14+真實IC!S14</f>
        <v>0.7928036788244347</v>
      </c>
      <c r="T14" s="2">
        <f>S14+真實IC!T14</f>
        <v>0.85438783364506976</v>
      </c>
      <c r="U14" s="2">
        <f>T14+真實IC!U14</f>
        <v>0.93564479468498696</v>
      </c>
      <c r="V14" s="2">
        <f>U14+真實IC!V14</f>
        <v>0.95168653536311698</v>
      </c>
      <c r="W14" s="2">
        <f>V14+真實IC!W14</f>
        <v>1.0506931773098167</v>
      </c>
      <c r="X14" s="2">
        <f>W14+真實IC!X14</f>
        <v>1.2138178439853564</v>
      </c>
      <c r="Y14" s="2">
        <f>X14+真實IC!Y14</f>
        <v>1.2114743772019778</v>
      </c>
      <c r="Z14" s="2">
        <f>Y14+真實IC!Z14</f>
        <v>1.3025485212383281</v>
      </c>
      <c r="AA14" s="2">
        <f>Z14+真實IC!AA14</f>
        <v>1.3734186951645464</v>
      </c>
      <c r="AB14" s="2">
        <f>AA14+真實IC!AB14</f>
        <v>1.4188259173012896</v>
      </c>
      <c r="AC14" s="2">
        <f>AB14+真實IC!AC14</f>
        <v>1.4193533983740336</v>
      </c>
      <c r="AD14" s="2">
        <f>AC14+真實IC!AD14</f>
        <v>1.4116916175118539</v>
      </c>
      <c r="AE14" s="2">
        <f>AD14+真實IC!AE14</f>
        <v>1.4969495065765688</v>
      </c>
      <c r="AF14" s="2">
        <f>AE14+真實IC!AF14</f>
        <v>1.5829782810180848</v>
      </c>
      <c r="AG14" s="2">
        <f>AF14+真實IC!AG14</f>
        <v>1.6519685917521834</v>
      </c>
      <c r="AH14" s="2">
        <f>AG14+真實IC!AH14</f>
        <v>1.6597827531951785</v>
      </c>
      <c r="AI14" s="2">
        <f>AH14+真實IC!AI14</f>
        <v>1.6935070633079508</v>
      </c>
      <c r="AJ14" s="2">
        <f>AI14+真實IC!AJ14</f>
        <v>1.7179154485415729</v>
      </c>
      <c r="AK14" s="2">
        <f>AJ14+真實IC!AK14</f>
        <v>1.7495661617638198</v>
      </c>
      <c r="AL14" s="2">
        <f>AK14+真實IC!AL14</f>
        <v>1.7989386879589193</v>
      </c>
      <c r="AM14" s="2">
        <f>AL14+真實IC!AM14</f>
        <v>1.8516863198861637</v>
      </c>
      <c r="AN14" s="2">
        <f>AM14+真實IC!AN14</f>
        <v>1.950914227384493</v>
      </c>
      <c r="AO14" s="2">
        <f>AN14+真實IC!AO14</f>
        <v>1.9832103989145562</v>
      </c>
      <c r="AP14" s="2">
        <f>AO14+真實IC!AP14</f>
        <v>2.0519782837001106</v>
      </c>
      <c r="AQ14" s="2">
        <f>AP14+真實IC!AQ14</f>
        <v>2.0669098416932132</v>
      </c>
      <c r="AR14" s="2">
        <f>AQ14+真實IC!AR14</f>
        <v>2.1432314780173929</v>
      </c>
      <c r="AS14" s="2">
        <f>AR14+真實IC!AS14</f>
        <v>2.1644044582227018</v>
      </c>
      <c r="AT14" s="2">
        <f>AS14+真實IC!AT14</f>
        <v>2.3067596593938795</v>
      </c>
      <c r="AU14" s="2">
        <f>AT14+真實IC!AU14</f>
        <v>2.409055312173626</v>
      </c>
      <c r="AV14" s="2">
        <f>AU14+真實IC!AV14</f>
        <v>2.463283166793917</v>
      </c>
      <c r="AW14" s="2">
        <f>AV14+真實IC!AW14</f>
        <v>2.4975028927390248</v>
      </c>
      <c r="AX14" s="2">
        <f>AW14+真實IC!AX14</f>
        <v>2.58967021367843</v>
      </c>
      <c r="AY14" s="2">
        <f>AX14+真實IC!AY14</f>
        <v>2.6193279461647152</v>
      </c>
      <c r="AZ14" s="2">
        <f>AY14+真實IC!AZ14</f>
        <v>2.6858642270233628</v>
      </c>
      <c r="BA14" s="2">
        <f>AZ14+真實IC!BA14</f>
        <v>2.781277036710045</v>
      </c>
      <c r="BB14" s="2">
        <f>BA14+真實IC!BB14</f>
        <v>2.9055064796914012</v>
      </c>
      <c r="BC14" s="2">
        <f>BB14+真實IC!BC14</f>
        <v>2.8877385230551855</v>
      </c>
      <c r="BD14" s="2">
        <f>BC14+真實IC!BD14</f>
        <v>2.9185791947184052</v>
      </c>
      <c r="BE14" s="2">
        <f>BD14+真實IC!BE14</f>
        <v>2.9595565526828471</v>
      </c>
      <c r="BF14" s="2">
        <f>BE14+真實IC!BF14</f>
        <v>3.1318166314129203</v>
      </c>
      <c r="BG14" s="2">
        <f>BF14+真實IC!BG14</f>
        <v>3.2768828604995508</v>
      </c>
      <c r="BH14" s="2">
        <f>BG14+真實IC!BH14</f>
        <v>3.3543111040152582</v>
      </c>
      <c r="BI14" s="2">
        <f>BH14+真實IC!BI14</f>
        <v>3.4376245142821906</v>
      </c>
      <c r="BJ14" s="2">
        <f>BI14+真實IC!BJ14</f>
        <v>3.4775218917121924</v>
      </c>
      <c r="BK14" s="2">
        <f>BJ14+真實IC!BK14</f>
        <v>3.4563604163000621</v>
      </c>
      <c r="BL14" s="2">
        <f>BK14+真實IC!BL14</f>
        <v>3.5030253806457932</v>
      </c>
      <c r="BM14" s="2">
        <f>BL14+真實IC!BM14</f>
        <v>3.5483488109310182</v>
      </c>
      <c r="BN14" s="2">
        <f>BM14+真實IC!BN14</f>
        <v>3.5814889516290909</v>
      </c>
      <c r="BO14" s="2">
        <f>BN14+真實IC!BO14</f>
        <v>3.5768194946033796</v>
      </c>
      <c r="BP14" s="2">
        <f>BO14+真實IC!BP14</f>
        <v>3.5649080391689849</v>
      </c>
      <c r="BQ14" s="2">
        <f>BP14+真實IC!BQ14</f>
        <v>3.6013081993101657</v>
      </c>
      <c r="BR14" s="2">
        <f>BQ14+真實IC!BR14</f>
        <v>3.6735359614115661</v>
      </c>
      <c r="BS14" s="2">
        <f>BR14+真實IC!BS14</f>
        <v>3.6945925255737184</v>
      </c>
      <c r="BT14" s="2">
        <f>BS14+真實IC!BT14</f>
        <v>3.6363093463959228</v>
      </c>
      <c r="BU14" s="2">
        <f>BT14+真實IC!BU14</f>
        <v>3.6712188063618947</v>
      </c>
      <c r="BV14" s="2">
        <f>BU14+真實IC!BV14</f>
        <v>3.7132491810988459</v>
      </c>
      <c r="BW14" s="2">
        <f>BV14+真實IC!BW14</f>
        <v>3.8745264938344497</v>
      </c>
      <c r="BX14" s="2">
        <f>BW14+真實IC!BX14</f>
        <v>3.8738723745459236</v>
      </c>
      <c r="BY14" s="2">
        <f>BX14+真實IC!BY14</f>
        <v>3.9964251775358535</v>
      </c>
      <c r="BZ14" s="2">
        <f>BY14+真實IC!BZ14</f>
        <v>4.0693976913565795</v>
      </c>
      <c r="CA14" s="2">
        <f>BZ14+真實IC!CA14</f>
        <v>4.0921344999548026</v>
      </c>
      <c r="CB14" s="2">
        <f>CA14+真實IC!CB14</f>
        <v>4.1844306137454286</v>
      </c>
      <c r="CC14" s="2">
        <f>CB14+真實IC!CC14</f>
        <v>4.1736962767183794</v>
      </c>
      <c r="CD14" s="2">
        <f>CC14+真實IC!CD14</f>
        <v>4.2946029211197487</v>
      </c>
      <c r="CE14" s="2">
        <f>CD14+真實IC!CE14</f>
        <v>4.5570650233291268</v>
      </c>
      <c r="CF14" s="2">
        <f>CE14+真實IC!CF14</f>
        <v>4.60388880016224</v>
      </c>
      <c r="CG14" s="2">
        <f>CF14+真實IC!CG14</f>
        <v>4.6630528675161012</v>
      </c>
      <c r="CH14" s="2">
        <f>CG14+真實IC!CH14</f>
        <v>4.7382546130423062</v>
      </c>
      <c r="CI14" s="2">
        <f>CH14+真實IC!CI14</f>
        <v>4.7592149261774175</v>
      </c>
      <c r="CJ14" s="2">
        <f>CI14+真實IC!CJ14</f>
        <v>4.8056245435008318</v>
      </c>
      <c r="CK14" s="2">
        <f>CJ14+真實IC!CK14</f>
        <v>4.8617741900323326</v>
      </c>
      <c r="CL14" s="2">
        <f>CK14+真實IC!CL14</f>
        <v>4.9544451067169177</v>
      </c>
      <c r="CM14" s="2">
        <f>CL14+真實IC!CM14</f>
        <v>5.04192763194858</v>
      </c>
      <c r="CN14" s="2">
        <f>CM14+真實IC!CN14</f>
        <v>5.1814865341479805</v>
      </c>
      <c r="CO14" s="2">
        <f>CN14+真實IC!CO14</f>
        <v>5.3154964253933414</v>
      </c>
      <c r="CP14" s="2">
        <f>CO14+真實IC!CP14</f>
        <v>5.3999927068989351</v>
      </c>
      <c r="CQ14" s="2">
        <f>CP14+真實IC!CQ14</f>
        <v>5.4845668759150703</v>
      </c>
      <c r="CR14" s="2">
        <f>CQ14+真實IC!CR14</f>
        <v>5.6416227096381579</v>
      </c>
      <c r="CS14" s="2">
        <f>CR14+真實IC!CS14</f>
        <v>5.6775061827586031</v>
      </c>
      <c r="CT14" s="2">
        <f>CS14+真實IC!CT14</f>
        <v>5.7490742585730761</v>
      </c>
      <c r="CU14" s="2">
        <f>CT14+真實IC!CU14</f>
        <v>5.9038854046365481</v>
      </c>
      <c r="CV14" s="2">
        <f>CU14+真實IC!CV14</f>
        <v>6.0361592933391766</v>
      </c>
      <c r="CW14" s="2">
        <f>CV14+真實IC!CW14</f>
        <v>6.1073885265043595</v>
      </c>
      <c r="CX14" s="2">
        <f>CW14+真實IC!CX14</f>
        <v>6.2155697913529524</v>
      </c>
      <c r="CY14" s="2">
        <f>CX14+真實IC!CY14</f>
        <v>6.2673849814850708</v>
      </c>
      <c r="CZ14" s="2">
        <f>CY14+真實IC!CZ14</f>
        <v>6.4216832245338491</v>
      </c>
      <c r="DA14" s="2">
        <f>CZ14+真實IC!DA14</f>
        <v>6.4843810632727923</v>
      </c>
      <c r="DB14" s="2">
        <f>DA14+真實IC!DB14</f>
        <v>6.64969872767161</v>
      </c>
      <c r="DC14" s="2">
        <f>DB14+真實IC!DC14</f>
        <v>6.6807465932239225</v>
      </c>
      <c r="DD14" s="2">
        <f>DC14+真實IC!DD14</f>
        <v>6.776908087759697</v>
      </c>
      <c r="DE14" s="2">
        <f>DD14+真實IC!DE14</f>
        <v>6.8141000939213363</v>
      </c>
      <c r="DF14" s="2">
        <f>DE14+真實IC!DF14</f>
        <v>6.9753196040384742</v>
      </c>
      <c r="DG14" s="2">
        <f>DF14+真實IC!DG14</f>
        <v>7.0260592933157575</v>
      </c>
      <c r="DH14" s="2">
        <f>DG14+真實IC!DH14</f>
        <v>7.1350884910210457</v>
      </c>
      <c r="DI14" s="2">
        <f>DH14+真實IC!DI14</f>
        <v>7.2641247607194854</v>
      </c>
      <c r="DJ14" s="2">
        <f>DI14+真實IC!DJ14</f>
        <v>7.310171086000234</v>
      </c>
      <c r="DK14" s="2">
        <f>DJ14+真實IC!DK14</f>
        <v>7.3337988691721527</v>
      </c>
      <c r="DL14" s="2">
        <f>DK14+真實IC!DL14</f>
        <v>7.3940797927686637</v>
      </c>
      <c r="DM14" s="2">
        <f>DL14+真實IC!DM14</f>
        <v>7.4666106642035084</v>
      </c>
      <c r="DN14" s="2">
        <f>DM14+真實IC!DN14</f>
        <v>7.5120515340216274</v>
      </c>
      <c r="DO14" s="2">
        <f>DN14+真實IC!DO14</f>
        <v>7.6254827576008841</v>
      </c>
      <c r="DP14" s="2">
        <f>DO14+真實IC!DP14</f>
        <v>7.7404154714618834</v>
      </c>
      <c r="DQ14" s="2">
        <f>DP14+真實IC!DQ14</f>
        <v>7.8045703459906601</v>
      </c>
      <c r="DR14" s="2">
        <f>DQ14+真實IC!DR14</f>
        <v>7.8129479380202316</v>
      </c>
      <c r="DS14" s="2">
        <f>DR14+真實IC!DS14</f>
        <v>7.8822184981575631</v>
      </c>
      <c r="DT14" s="2">
        <f>DS14+真實IC!DT14</f>
        <v>7.8947045217499223</v>
      </c>
      <c r="DU14" s="2">
        <f>DT14+真實IC!DU14</f>
        <v>7.8667641042906169</v>
      </c>
      <c r="DV14" s="2">
        <f>DU14+真實IC!DV14</f>
        <v>7.9843107988876953</v>
      </c>
      <c r="DW14" s="2">
        <f>DV14+真實IC!DW14</f>
        <v>8.0732213851201013</v>
      </c>
      <c r="DX14" s="2">
        <f>DW14+真實IC!DX14</f>
        <v>8.130000614600684</v>
      </c>
      <c r="DY14" s="2">
        <f>DX14+真實IC!DY14</f>
        <v>8.2099274454553672</v>
      </c>
      <c r="DZ14" s="2">
        <f>DY14+真實IC!DZ14</f>
        <v>8.1966526750557644</v>
      </c>
      <c r="EA14" s="2">
        <f>DZ14+真實IC!EA14</f>
        <v>8.228468516566096</v>
      </c>
      <c r="EB14" s="2">
        <f>EA14+真實IC!EB14</f>
        <v>8.3063175383105197</v>
      </c>
      <c r="EC14" s="2">
        <f>EB14+真實IC!EC14</f>
        <v>8.2853371907156728</v>
      </c>
      <c r="ED14" s="2">
        <f>EC14+真實IC!ED14</f>
        <v>8.3487350676148662</v>
      </c>
      <c r="EE14" s="2">
        <f>ED14+真實IC!EE14</f>
        <v>8.4004118922831577</v>
      </c>
      <c r="EF14" s="2">
        <f>EE14+真實IC!EF14</f>
        <v>8.4929954421604208</v>
      </c>
      <c r="EG14" s="2">
        <f>EF14+真實IC!EG14</f>
        <v>8.6901092461498575</v>
      </c>
      <c r="EH14" s="2">
        <f>EG14+真實IC!EH14</f>
        <v>8.7126093394335822</v>
      </c>
      <c r="EI14" s="2">
        <f>EH14+真實IC!EI14</f>
        <v>8.7593676884340574</v>
      </c>
      <c r="EJ14" s="2">
        <f>EI14+真實IC!EJ14</f>
        <v>8.8214709099738666</v>
      </c>
      <c r="EK14" s="2">
        <f>EJ14+真實IC!EK14</f>
        <v>8.9272710295919495</v>
      </c>
      <c r="EL14" s="2">
        <f>EK14+真實IC!EL14</f>
        <v>8.9711517324516414</v>
      </c>
    </row>
    <row r="15" spans="1:142" x14ac:dyDescent="0.3">
      <c r="A15" s="11"/>
      <c r="B15" s="11">
        <v>110</v>
      </c>
      <c r="C15" s="2">
        <v>0.24155842264248281</v>
      </c>
      <c r="D15" s="2">
        <f>C15+真實IC!D15</f>
        <v>0.38776409161070702</v>
      </c>
      <c r="E15" s="2">
        <f>D15+真實IC!E15</f>
        <v>0.52373385584994581</v>
      </c>
      <c r="F15" s="2">
        <f>E15+真實IC!F15</f>
        <v>0.53708467322487186</v>
      </c>
      <c r="G15" s="2">
        <f>F15+真實IC!G15</f>
        <v>0.58329327605160264</v>
      </c>
      <c r="H15" s="2">
        <f>G15+真實IC!H15</f>
        <v>0.65235240218021917</v>
      </c>
      <c r="I15" s="2">
        <f>H15+真實IC!I15</f>
        <v>0.71577230581055973</v>
      </c>
      <c r="J15" s="2">
        <f>I15+真實IC!J15</f>
        <v>0.79407397648533584</v>
      </c>
      <c r="K15" s="2">
        <f>J15+真實IC!K15</f>
        <v>0.86508794546211987</v>
      </c>
      <c r="L15" s="2">
        <f>K15+真實IC!L15</f>
        <v>0.8277770639881451</v>
      </c>
      <c r="M15" s="2">
        <f>L15+真實IC!M15</f>
        <v>0.82026910227733063</v>
      </c>
      <c r="N15" s="2">
        <f>M15+真實IC!N15</f>
        <v>0.94428619137877279</v>
      </c>
      <c r="O15" s="2">
        <f>N15+真實IC!O15</f>
        <v>0.92259754421855211</v>
      </c>
      <c r="P15" s="2">
        <f>O15+真實IC!P15</f>
        <v>0.9302637150360582</v>
      </c>
      <c r="Q15" s="2">
        <f>P15+真實IC!Q15</f>
        <v>0.9146409897392096</v>
      </c>
      <c r="R15" s="2">
        <f>Q15+真實IC!R15</f>
        <v>0.85469444231998049</v>
      </c>
      <c r="S15" s="2">
        <f>R15+真實IC!S15</f>
        <v>0.9184914262642907</v>
      </c>
      <c r="T15" s="2">
        <f>S15+真實IC!T15</f>
        <v>0.97223326848410163</v>
      </c>
      <c r="U15" s="2">
        <f>T15+真實IC!U15</f>
        <v>1.0010099335139415</v>
      </c>
      <c r="V15" s="2">
        <f>U15+真實IC!V15</f>
        <v>0.9721691126617904</v>
      </c>
      <c r="W15" s="2">
        <f>V15+真實IC!W15</f>
        <v>1.0787383330094829</v>
      </c>
      <c r="X15" s="2">
        <f>W15+真實IC!X15</f>
        <v>1.2563447910140384</v>
      </c>
      <c r="Y15" s="2">
        <f>X15+真實IC!Y15</f>
        <v>1.2967231485967288</v>
      </c>
      <c r="Z15" s="2">
        <f>Y15+真實IC!Z15</f>
        <v>1.3914495659681125</v>
      </c>
      <c r="AA15" s="2">
        <f>Z15+真實IC!AA15</f>
        <v>1.5037070100528864</v>
      </c>
      <c r="AB15" s="2">
        <f>AA15+真實IC!AB15</f>
        <v>1.5731095494142284</v>
      </c>
      <c r="AC15" s="2">
        <f>AB15+真實IC!AC15</f>
        <v>1.5992429393943888</v>
      </c>
      <c r="AD15" s="2">
        <f>AC15+真實IC!AD15</f>
        <v>1.5904113905763171</v>
      </c>
      <c r="AE15" s="2">
        <f>AD15+真實IC!AE15</f>
        <v>1.6142488151022611</v>
      </c>
      <c r="AF15" s="2">
        <f>AE15+真實IC!AF15</f>
        <v>1.7271027227369216</v>
      </c>
      <c r="AG15" s="2">
        <f>AF15+真實IC!AG15</f>
        <v>1.7839636224427133</v>
      </c>
      <c r="AH15" s="2">
        <f>AG15+真實IC!AH15</f>
        <v>1.7840300568392331</v>
      </c>
      <c r="AI15" s="2">
        <f>AH15+真實IC!AI15</f>
        <v>1.8479084750798007</v>
      </c>
      <c r="AJ15" s="2">
        <f>AI15+真實IC!AJ15</f>
        <v>1.8841405799865525</v>
      </c>
      <c r="AK15" s="2">
        <f>AJ15+真實IC!AK15</f>
        <v>1.9325703683060749</v>
      </c>
      <c r="AL15" s="2">
        <f>AK15+真實IC!AL15</f>
        <v>1.9978004179468036</v>
      </c>
      <c r="AM15" s="2">
        <f>AL15+真實IC!AM15</f>
        <v>2.029334707523871</v>
      </c>
      <c r="AN15" s="2">
        <f>AM15+真實IC!AN15</f>
        <v>2.1431796363930546</v>
      </c>
      <c r="AO15" s="2">
        <f>AN15+真實IC!AO15</f>
        <v>2.1888596891727863</v>
      </c>
      <c r="AP15" s="2">
        <f>AO15+真實IC!AP15</f>
        <v>2.1769845753772552</v>
      </c>
      <c r="AQ15" s="2">
        <f>AP15+真實IC!AQ15</f>
        <v>2.1727756157603246</v>
      </c>
      <c r="AR15" s="2">
        <f>AQ15+真實IC!AR15</f>
        <v>2.2661870823689747</v>
      </c>
      <c r="AS15" s="2">
        <f>AR15+真實IC!AS15</f>
        <v>2.2637630343608945</v>
      </c>
      <c r="AT15" s="2">
        <f>AS15+真實IC!AT15</f>
        <v>2.4708514003353486</v>
      </c>
      <c r="AU15" s="2">
        <f>AT15+真實IC!AU15</f>
        <v>2.5976246285870381</v>
      </c>
      <c r="AV15" s="2">
        <f>AU15+真實IC!AV15</f>
        <v>2.6996636626743902</v>
      </c>
      <c r="AW15" s="2">
        <f>AV15+真實IC!AW15</f>
        <v>2.7956028607699333</v>
      </c>
      <c r="AX15" s="2">
        <f>AW15+真實IC!AX15</f>
        <v>2.9151074045214402</v>
      </c>
      <c r="AY15" s="2">
        <f>AX15+真實IC!AY15</f>
        <v>2.9740256165345769</v>
      </c>
      <c r="AZ15" s="2">
        <f>AY15+真實IC!AZ15</f>
        <v>3.0737303162595597</v>
      </c>
      <c r="BA15" s="2">
        <f>AZ15+真實IC!BA15</f>
        <v>3.2188490687476525</v>
      </c>
      <c r="BB15" s="2">
        <f>BA15+真實IC!BB15</f>
        <v>3.3581219900301167</v>
      </c>
      <c r="BC15" s="2">
        <f>BB15+真實IC!BC15</f>
        <v>3.303043674613261</v>
      </c>
      <c r="BD15" s="2">
        <f>BC15+真實IC!BD15</f>
        <v>3.2947940525500821</v>
      </c>
      <c r="BE15" s="2">
        <f>BD15+真實IC!BE15</f>
        <v>3.3533865301419454</v>
      </c>
      <c r="BF15" s="2">
        <f>BE15+真實IC!BF15</f>
        <v>3.5858254386120603</v>
      </c>
      <c r="BG15" s="2">
        <f>BF15+真實IC!BG15</f>
        <v>3.6948843112707674</v>
      </c>
      <c r="BH15" s="2">
        <f>BG15+真實IC!BH15</f>
        <v>3.7459224744636757</v>
      </c>
      <c r="BI15" s="2">
        <f>BH15+真實IC!BI15</f>
        <v>3.870561034886022</v>
      </c>
      <c r="BJ15" s="2">
        <f>BI15+真實IC!BJ15</f>
        <v>3.9537454805662371</v>
      </c>
      <c r="BK15" s="2">
        <f>BJ15+真實IC!BK15</f>
        <v>3.9695874569068548</v>
      </c>
      <c r="BL15" s="2">
        <f>BK15+真實IC!BL15</f>
        <v>4.0334676902276092</v>
      </c>
      <c r="BM15" s="2">
        <f>BL15+真實IC!BM15</f>
        <v>4.0727435122014572</v>
      </c>
      <c r="BN15" s="2">
        <f>BM15+真實IC!BN15</f>
        <v>4.0702579741957612</v>
      </c>
      <c r="BO15" s="2">
        <f>BN15+真實IC!BO15</f>
        <v>4.0651615066129958</v>
      </c>
      <c r="BP15" s="2">
        <f>BO15+真實IC!BP15</f>
        <v>4.0377197070911883</v>
      </c>
      <c r="BQ15" s="2">
        <f>BP15+真實IC!BQ15</f>
        <v>4.102252333978341</v>
      </c>
      <c r="BR15" s="2">
        <f>BQ15+真實IC!BR15</f>
        <v>4.2268040039444896</v>
      </c>
      <c r="BS15" s="2">
        <f>BR15+真實IC!BS15</f>
        <v>4.302271386615641</v>
      </c>
      <c r="BT15" s="2">
        <f>BS15+真實IC!BT15</f>
        <v>4.1999600343960548</v>
      </c>
      <c r="BU15" s="2">
        <f>BT15+真實IC!BU15</f>
        <v>4.3183826537455632</v>
      </c>
      <c r="BV15" s="2">
        <f>BU15+真實IC!BV15</f>
        <v>4.3779448183554539</v>
      </c>
      <c r="BW15" s="2">
        <f>BV15+真實IC!BW15</f>
        <v>4.6997671081473511</v>
      </c>
      <c r="BX15" s="2">
        <f>BW15+真實IC!BX15</f>
        <v>4.6975016340270557</v>
      </c>
      <c r="BY15" s="2">
        <f>BX15+真實IC!BY15</f>
        <v>4.8193215122008857</v>
      </c>
      <c r="BZ15" s="2">
        <f>BY15+真實IC!BZ15</f>
        <v>4.9300682726122345</v>
      </c>
      <c r="CA15" s="2">
        <f>BZ15+真實IC!CA15</f>
        <v>4.9446315752540402</v>
      </c>
      <c r="CB15" s="2">
        <f>CA15+真實IC!CB15</f>
        <v>4.9944690416973607</v>
      </c>
      <c r="CC15" s="2">
        <f>CB15+真實IC!CC15</f>
        <v>5.0356975783326403</v>
      </c>
      <c r="CD15" s="2">
        <f>CC15+真實IC!CD15</f>
        <v>5.1748245921552529</v>
      </c>
      <c r="CE15" s="2">
        <f>CD15+真實IC!CE15</f>
        <v>5.4485024457154996</v>
      </c>
      <c r="CF15" s="2">
        <f>CE15+真實IC!CF15</f>
        <v>5.5138105616036563</v>
      </c>
      <c r="CG15" s="2">
        <f>CF15+真實IC!CG15</f>
        <v>5.6573743099945393</v>
      </c>
      <c r="CH15" s="2">
        <f>CG15+真實IC!CH15</f>
        <v>5.867654282971273</v>
      </c>
      <c r="CI15" s="2">
        <f>CH15+真實IC!CI15</f>
        <v>5.9193782987722949</v>
      </c>
      <c r="CJ15" s="2">
        <f>CI15+真實IC!CJ15</f>
        <v>5.9925892369782447</v>
      </c>
      <c r="CK15" s="2">
        <f>CJ15+真實IC!CK15</f>
        <v>6.0145604696178001</v>
      </c>
      <c r="CL15" s="2">
        <f>CK15+真實IC!CL15</f>
        <v>6.0886252178611588</v>
      </c>
      <c r="CM15" s="2">
        <f>CL15+真實IC!CM15</f>
        <v>6.1267602882543937</v>
      </c>
      <c r="CN15" s="2">
        <f>CM15+真實IC!CN15</f>
        <v>6.345959951712822</v>
      </c>
      <c r="CO15" s="2">
        <f>CN15+真實IC!CO15</f>
        <v>6.5739212870879244</v>
      </c>
      <c r="CP15" s="2">
        <f>CO15+真實IC!CP15</f>
        <v>6.6979287358620638</v>
      </c>
      <c r="CQ15" s="2">
        <f>CP15+真實IC!CQ15</f>
        <v>6.8024939635875095</v>
      </c>
      <c r="CR15" s="2">
        <f>CQ15+真實IC!CR15</f>
        <v>7.0278875908263592</v>
      </c>
      <c r="CS15" s="2">
        <f>CR15+真實IC!CS15</f>
        <v>7.0622778664783956</v>
      </c>
      <c r="CT15" s="2">
        <f>CS15+真實IC!CT15</f>
        <v>7.1388451133048996</v>
      </c>
      <c r="CU15" s="2">
        <f>CT15+真實IC!CU15</f>
        <v>7.3071354457427269</v>
      </c>
      <c r="CV15" s="2">
        <f>CU15+真實IC!CV15</f>
        <v>7.4496033210095334</v>
      </c>
      <c r="CW15" s="2">
        <f>CV15+真實IC!CW15</f>
        <v>7.5282519388786646</v>
      </c>
      <c r="CX15" s="2">
        <f>CW15+真實IC!CX15</f>
        <v>7.6489194230982172</v>
      </c>
      <c r="CY15" s="2">
        <f>CX15+真實IC!CY15</f>
        <v>7.6705776244622603</v>
      </c>
      <c r="CZ15" s="2">
        <f>CY15+真實IC!CZ15</f>
        <v>7.8889043070218774</v>
      </c>
      <c r="DA15" s="2">
        <f>CZ15+真實IC!DA15</f>
        <v>7.9233408025684513</v>
      </c>
      <c r="DB15" s="2">
        <f>DA15+真實IC!DB15</f>
        <v>8.1719889360270699</v>
      </c>
      <c r="DC15" s="2">
        <f>DB15+真實IC!DC15</f>
        <v>8.1741938013950577</v>
      </c>
      <c r="DD15" s="2">
        <f>DC15+真實IC!DD15</f>
        <v>8.2813752745084681</v>
      </c>
      <c r="DE15" s="2">
        <f>DD15+真實IC!DE15</f>
        <v>8.3723014968501221</v>
      </c>
      <c r="DF15" s="2">
        <f>DE15+真實IC!DF15</f>
        <v>8.5128413473131435</v>
      </c>
      <c r="DG15" s="2">
        <f>DF15+真實IC!DG15</f>
        <v>8.5763700571694645</v>
      </c>
      <c r="DH15" s="2">
        <f>DG15+真實IC!DH15</f>
        <v>8.6265056635654087</v>
      </c>
      <c r="DI15" s="2">
        <f>DH15+真實IC!DI15</f>
        <v>8.6374339941130227</v>
      </c>
      <c r="DJ15" s="2">
        <f>DI15+真實IC!DJ15</f>
        <v>8.663143259259277</v>
      </c>
      <c r="DK15" s="2">
        <f>DJ15+真實IC!DK15</f>
        <v>8.6731260849344167</v>
      </c>
      <c r="DL15" s="2">
        <f>DK15+真實IC!DL15</f>
        <v>8.7013153356532893</v>
      </c>
      <c r="DM15" s="2">
        <f>DL15+真實IC!DM15</f>
        <v>8.7629612053467483</v>
      </c>
      <c r="DN15" s="2">
        <f>DM15+真實IC!DN15</f>
        <v>8.7744533995723923</v>
      </c>
      <c r="DO15" s="2">
        <f>DN15+真實IC!DO15</f>
        <v>8.8606698113841098</v>
      </c>
      <c r="DP15" s="2">
        <f>DO15+真實IC!DP15</f>
        <v>8.9844516841977402</v>
      </c>
      <c r="DQ15" s="2">
        <f>DP15+真實IC!DQ15</f>
        <v>9.0742086237793593</v>
      </c>
      <c r="DR15" s="2">
        <f>DQ15+真實IC!DR15</f>
        <v>9.0765938481256487</v>
      </c>
      <c r="DS15" s="2">
        <f>DR15+真實IC!DS15</f>
        <v>9.1677711896811989</v>
      </c>
      <c r="DT15" s="2">
        <f>DS15+真實IC!DT15</f>
        <v>9.1441917579267944</v>
      </c>
      <c r="DU15" s="2">
        <f>DT15+真實IC!DU15</f>
        <v>9.2537338195827825</v>
      </c>
      <c r="DV15" s="2">
        <f>DU15+真實IC!DV15</f>
        <v>9.3748236431046355</v>
      </c>
      <c r="DW15" s="2">
        <f>DV15+真實IC!DW15</f>
        <v>9.4219032403194216</v>
      </c>
      <c r="DX15" s="2">
        <f>DW15+真實IC!DX15</f>
        <v>9.5669108989311411</v>
      </c>
      <c r="DY15" s="2">
        <f>DX15+真實IC!DY15</f>
        <v>9.6082898353300461</v>
      </c>
      <c r="DZ15" s="2">
        <f>DY15+真實IC!DZ15</f>
        <v>9.606328181252989</v>
      </c>
      <c r="EA15" s="2">
        <f>DZ15+真實IC!EA15</f>
        <v>9.6059322608281565</v>
      </c>
      <c r="EB15" s="2">
        <f>EA15+真實IC!EB15</f>
        <v>9.7015813879236301</v>
      </c>
      <c r="EC15" s="2">
        <f>EB15+真實IC!EC15</f>
        <v>9.6610045821402029</v>
      </c>
      <c r="ED15" s="2">
        <f>EC15+真實IC!ED15</f>
        <v>9.8029146813599848</v>
      </c>
      <c r="EE15" s="2">
        <f>ED15+真實IC!EE15</f>
        <v>9.8528960273608455</v>
      </c>
      <c r="EF15" s="2">
        <f>EE15+真實IC!EF15</f>
        <v>9.9893260888047735</v>
      </c>
      <c r="EG15" s="2">
        <f>EF15+真實IC!EG15</f>
        <v>10.302528875868425</v>
      </c>
      <c r="EH15" s="2">
        <f>EG15+真實IC!EH15</f>
        <v>10.292292377914805</v>
      </c>
      <c r="EI15" s="2">
        <f>EH15+真實IC!EI15</f>
        <v>10.329540311794496</v>
      </c>
      <c r="EJ15" s="2">
        <f>EI15+真實IC!EJ15</f>
        <v>10.410208703784154</v>
      </c>
      <c r="EK15" s="2">
        <f>EJ15+真實IC!EK15</f>
        <v>10.539896329967808</v>
      </c>
      <c r="EL15" s="2">
        <f>EK15+真實IC!EL15</f>
        <v>10.536911326566008</v>
      </c>
    </row>
    <row r="16" spans="1:142" x14ac:dyDescent="0.3">
      <c r="A16" s="11"/>
      <c r="B16" s="11">
        <v>120</v>
      </c>
      <c r="C16" s="2">
        <v>0.26072770983563209</v>
      </c>
      <c r="D16" s="2">
        <f>C16+真實IC!D16</f>
        <v>0.40392515263617257</v>
      </c>
      <c r="E16" s="2">
        <f>D16+真實IC!E16</f>
        <v>0.46968556233235248</v>
      </c>
      <c r="F16" s="2">
        <f>E16+真實IC!F16</f>
        <v>0.4427773279528574</v>
      </c>
      <c r="G16" s="2">
        <f>F16+真實IC!G16</f>
        <v>0.4900213914464458</v>
      </c>
      <c r="H16" s="2">
        <f>G16+真實IC!H16</f>
        <v>0.55811216937983676</v>
      </c>
      <c r="I16" s="2">
        <f>H16+真實IC!I16</f>
        <v>0.61285271391080864</v>
      </c>
      <c r="J16" s="2">
        <f>I16+真實IC!J16</f>
        <v>0.69109628377082288</v>
      </c>
      <c r="K16" s="2">
        <f>J16+真實IC!K16</f>
        <v>0.73090392397241077</v>
      </c>
      <c r="L16" s="2">
        <f>K16+真實IC!L16</f>
        <v>0.69418210752012965</v>
      </c>
      <c r="M16" s="2">
        <f>L16+真實IC!M16</f>
        <v>0.68219305420584686</v>
      </c>
      <c r="N16" s="2">
        <f>M16+真實IC!N16</f>
        <v>0.80712144064406044</v>
      </c>
      <c r="O16" s="2">
        <f>N16+真實IC!O16</f>
        <v>0.78575037181691365</v>
      </c>
      <c r="P16" s="2">
        <f>O16+真實IC!P16</f>
        <v>0.78609611664670664</v>
      </c>
      <c r="Q16" s="2">
        <f>P16+真實IC!Q16</f>
        <v>0.78334891387538519</v>
      </c>
      <c r="R16" s="2">
        <f>Q16+真實IC!R16</f>
        <v>0.72224407072776553</v>
      </c>
      <c r="S16" s="2">
        <f>R16+真實IC!S16</f>
        <v>0.80052237626101763</v>
      </c>
      <c r="T16" s="2">
        <f>S16+真實IC!T16</f>
        <v>0.84302393435386158</v>
      </c>
      <c r="U16" s="2">
        <f>T16+真實IC!U16</f>
        <v>0.84844446499746595</v>
      </c>
      <c r="V16" s="2">
        <f>U16+真實IC!V16</f>
        <v>0.84451214573174593</v>
      </c>
      <c r="W16" s="2">
        <f>V16+真實IC!W16</f>
        <v>0.9463362639697569</v>
      </c>
      <c r="X16" s="2">
        <f>W16+真實IC!X16</f>
        <v>1.1199612882404504</v>
      </c>
      <c r="Y16" s="2">
        <f>X16+真實IC!Y16</f>
        <v>1.1631660943159181</v>
      </c>
      <c r="Z16" s="2">
        <f>Y16+真實IC!Z16</f>
        <v>1.2687580191388892</v>
      </c>
      <c r="AA16" s="2">
        <f>Z16+真實IC!AA16</f>
        <v>1.400114498673485</v>
      </c>
      <c r="AB16" s="2">
        <f>AA16+真實IC!AB16</f>
        <v>1.4748602787521514</v>
      </c>
      <c r="AC16" s="2">
        <f>AB16+真實IC!AC16</f>
        <v>1.5017816736934633</v>
      </c>
      <c r="AD16" s="2">
        <f>AC16+真實IC!AD16</f>
        <v>1.481800181671528</v>
      </c>
      <c r="AE16" s="2">
        <f>AD16+真實IC!AE16</f>
        <v>1.509336817309713</v>
      </c>
      <c r="AF16" s="2">
        <f>AE16+真實IC!AF16</f>
        <v>1.6224408528474226</v>
      </c>
      <c r="AG16" s="2">
        <f>AF16+真實IC!AG16</f>
        <v>1.6625727650595876</v>
      </c>
      <c r="AH16" s="2">
        <f>AG16+真實IC!AH16</f>
        <v>1.6681619486048411</v>
      </c>
      <c r="AI16" s="2">
        <f>AH16+真實IC!AI16</f>
        <v>1.7395454904632044</v>
      </c>
      <c r="AJ16" s="2">
        <f>AI16+真實IC!AJ16</f>
        <v>1.7678363832408415</v>
      </c>
      <c r="AK16" s="2">
        <f>AJ16+真實IC!AK16</f>
        <v>1.7960168860481822</v>
      </c>
      <c r="AL16" s="2">
        <f>AK16+真實IC!AL16</f>
        <v>1.8562718630284323</v>
      </c>
      <c r="AM16" s="2">
        <f>AL16+真實IC!AM16</f>
        <v>1.8869293190451766</v>
      </c>
      <c r="AN16" s="2">
        <f>AM16+真實IC!AN16</f>
        <v>2.0132931407831203</v>
      </c>
      <c r="AO16" s="2">
        <f>AN16+真實IC!AO16</f>
        <v>2.0894144452654473</v>
      </c>
      <c r="AP16" s="2">
        <f>AO16+真實IC!AP16</f>
        <v>2.0556150794607331</v>
      </c>
      <c r="AQ16" s="2">
        <f>AP16+真實IC!AQ16</f>
        <v>2.0060321410485282</v>
      </c>
      <c r="AR16" s="2">
        <f>AQ16+真實IC!AR16</f>
        <v>2.1107371594066415</v>
      </c>
      <c r="AS16" s="2">
        <f>AR16+真實IC!AS16</f>
        <v>2.1162245648081557</v>
      </c>
      <c r="AT16" s="2">
        <f>AS16+真實IC!AT16</f>
        <v>2.3351591516096457</v>
      </c>
      <c r="AU16" s="2">
        <f>AT16+真實IC!AU16</f>
        <v>2.4491413477738244</v>
      </c>
      <c r="AV16" s="2">
        <f>AU16+真實IC!AV16</f>
        <v>2.5348670640893731</v>
      </c>
      <c r="AW16" s="2">
        <f>AV16+真實IC!AW16</f>
        <v>2.644143678815428</v>
      </c>
      <c r="AX16" s="2">
        <f>AW16+真實IC!AX16</f>
        <v>2.7927043070094739</v>
      </c>
      <c r="AY16" s="2">
        <f>AX16+真實IC!AY16</f>
        <v>2.8515794732251587</v>
      </c>
      <c r="AZ16" s="2">
        <f>AY16+真實IC!AZ16</f>
        <v>2.9778907160376722</v>
      </c>
      <c r="BA16" s="2">
        <f>AZ16+真實IC!BA16</f>
        <v>3.1338592322480765</v>
      </c>
      <c r="BB16" s="2">
        <f>BA16+真實IC!BB16</f>
        <v>3.3093498237921364</v>
      </c>
      <c r="BC16" s="2">
        <f>BB16+真實IC!BC16</f>
        <v>3.2765842233247828</v>
      </c>
      <c r="BD16" s="2">
        <f>BC16+真實IC!BD16</f>
        <v>3.2608601130063111</v>
      </c>
      <c r="BE16" s="2">
        <f>BD16+真實IC!BE16</f>
        <v>3.2989134903733839</v>
      </c>
      <c r="BF16" s="2">
        <f>BE16+真實IC!BF16</f>
        <v>3.4318819350144856</v>
      </c>
      <c r="BG16" s="2">
        <f>BF16+真實IC!BG16</f>
        <v>3.5407286977316246</v>
      </c>
      <c r="BH16" s="2">
        <f>BG16+真實IC!BH16</f>
        <v>3.61519530276686</v>
      </c>
      <c r="BI16" s="2">
        <f>BH16+真實IC!BI16</f>
        <v>3.7501887383210168</v>
      </c>
      <c r="BJ16" s="2">
        <f>BI16+真實IC!BJ16</f>
        <v>3.8194543487909596</v>
      </c>
      <c r="BK16" s="2">
        <f>BJ16+真實IC!BK16</f>
        <v>3.8338688113315227</v>
      </c>
      <c r="BL16" s="2">
        <f>BK16+真實IC!BL16</f>
        <v>3.9034493867369182</v>
      </c>
      <c r="BM16" s="2">
        <f>BL16+真實IC!BM16</f>
        <v>3.9432238063144216</v>
      </c>
      <c r="BN16" s="2">
        <f>BM16+真實IC!BN16</f>
        <v>3.9329194189608141</v>
      </c>
      <c r="BO16" s="2">
        <f>BN16+真實IC!BO16</f>
        <v>3.9246116249354324</v>
      </c>
      <c r="BP16" s="2">
        <f>BO16+真實IC!BP16</f>
        <v>3.9011318652485514</v>
      </c>
      <c r="BQ16" s="2">
        <f>BP16+真實IC!BQ16</f>
        <v>3.9631889539040466</v>
      </c>
      <c r="BR16" s="2">
        <f>BQ16+真實IC!BR16</f>
        <v>4.0648780171796774</v>
      </c>
      <c r="BS16" s="2">
        <f>BR16+真實IC!BS16</f>
        <v>4.1213087478426154</v>
      </c>
      <c r="BT16" s="2">
        <f>BS16+真實IC!BT16</f>
        <v>4.0082155261245491</v>
      </c>
      <c r="BU16" s="2">
        <f>BT16+真實IC!BU16</f>
        <v>4.1212365013497161</v>
      </c>
      <c r="BV16" s="2">
        <f>BU16+真實IC!BV16</f>
        <v>4.1775227627427265</v>
      </c>
      <c r="BW16" s="2">
        <f>BV16+真實IC!BW16</f>
        <v>4.5320748717324841</v>
      </c>
      <c r="BX16" s="2">
        <f>BW16+真實IC!BX16</f>
        <v>4.5232845087823046</v>
      </c>
      <c r="BY16" s="2">
        <f>BX16+真實IC!BY16</f>
        <v>4.625816012076899</v>
      </c>
      <c r="BZ16" s="2">
        <f>BY16+真實IC!BZ16</f>
        <v>4.7462662145388297</v>
      </c>
      <c r="CA16" s="2">
        <f>BZ16+真實IC!CA16</f>
        <v>4.7694987843576815</v>
      </c>
      <c r="CB16" s="2">
        <f>CA16+真實IC!CB16</f>
        <v>4.8081826119195421</v>
      </c>
      <c r="CC16" s="2">
        <f>CB16+真實IC!CC16</f>
        <v>4.8284984783561802</v>
      </c>
      <c r="CD16" s="2">
        <f>CC16+真實IC!CD16</f>
        <v>4.9673695766890695</v>
      </c>
      <c r="CE16" s="2">
        <f>CD16+真實IC!CE16</f>
        <v>5.2650308550027676</v>
      </c>
      <c r="CF16" s="2">
        <f>CE16+真實IC!CF16</f>
        <v>5.3309746870738355</v>
      </c>
      <c r="CG16" s="2">
        <f>CF16+真實IC!CG16</f>
        <v>5.4844751104996918</v>
      </c>
      <c r="CH16" s="2">
        <f>CG16+真實IC!CH16</f>
        <v>5.7241163021763173</v>
      </c>
      <c r="CI16" s="2">
        <f>CH16+真實IC!CI16</f>
        <v>5.7723317634188156</v>
      </c>
      <c r="CJ16" s="2">
        <f>CI16+真實IC!CJ16</f>
        <v>5.8176816839993659</v>
      </c>
      <c r="CK16" s="2">
        <f>CJ16+真實IC!CK16</f>
        <v>5.8503512353335276</v>
      </c>
      <c r="CL16" s="2">
        <f>CK16+真實IC!CL16</f>
        <v>5.9407138515879669</v>
      </c>
      <c r="CM16" s="2">
        <f>CL16+真實IC!CM16</f>
        <v>5.9757705220397099</v>
      </c>
      <c r="CN16" s="2">
        <f>CM16+真實IC!CN16</f>
        <v>6.2217272010402453</v>
      </c>
      <c r="CO16" s="2">
        <f>CN16+真實IC!CO16</f>
        <v>6.4340230156960745</v>
      </c>
      <c r="CP16" s="2">
        <f>CO16+真實IC!CP16</f>
        <v>6.5738460644967214</v>
      </c>
      <c r="CQ16" s="2">
        <f>CP16+真實IC!CQ16</f>
        <v>6.6717242479007206</v>
      </c>
      <c r="CR16" s="2">
        <f>CQ16+真實IC!CR16</f>
        <v>6.9250652107490733</v>
      </c>
      <c r="CS16" s="2">
        <f>CR16+真實IC!CS16</f>
        <v>6.9889174739086313</v>
      </c>
      <c r="CT16" s="2">
        <f>CS16+真實IC!CT16</f>
        <v>7.0697960921216634</v>
      </c>
      <c r="CU16" s="2">
        <f>CT16+真實IC!CU16</f>
        <v>7.2355640389845455</v>
      </c>
      <c r="CV16" s="2">
        <f>CU16+真實IC!CV16</f>
        <v>7.3275810985729048</v>
      </c>
      <c r="CW16" s="2">
        <f>CV16+真實IC!CW16</f>
        <v>7.4117293327795855</v>
      </c>
      <c r="CX16" s="2">
        <f>CW16+真實IC!CX16</f>
        <v>7.4959784897696737</v>
      </c>
      <c r="CY16" s="2">
        <f>CX16+真實IC!CY16</f>
        <v>7.5219140272324809</v>
      </c>
      <c r="CZ16" s="2">
        <f>CY16+真實IC!CZ16</f>
        <v>7.7174516313850461</v>
      </c>
      <c r="DA16" s="2">
        <f>CZ16+真實IC!DA16</f>
        <v>7.7426633751094096</v>
      </c>
      <c r="DB16" s="2">
        <f>DA16+真實IC!DB16</f>
        <v>8.0210287704945475</v>
      </c>
      <c r="DC16" s="2">
        <f>DB16+真實IC!DC16</f>
        <v>8.0143569425846781</v>
      </c>
      <c r="DD16" s="2">
        <f>DC16+真實IC!DD16</f>
        <v>8.1347706335168759</v>
      </c>
      <c r="DE16" s="2">
        <f>DD16+真實IC!DE16</f>
        <v>8.247813642500045</v>
      </c>
      <c r="DF16" s="2">
        <f>DE16+真實IC!DF16</f>
        <v>8.3868785076644468</v>
      </c>
      <c r="DG16" s="2">
        <f>DF16+真實IC!DG16</f>
        <v>8.4585886653476781</v>
      </c>
      <c r="DH16" s="2">
        <f>DG16+真實IC!DH16</f>
        <v>8.4927393707000487</v>
      </c>
      <c r="DI16" s="2">
        <f>DH16+真實IC!DI16</f>
        <v>8.5138127979716778</v>
      </c>
      <c r="DJ16" s="2">
        <f>DI16+真實IC!DJ16</f>
        <v>8.5476084854744165</v>
      </c>
      <c r="DK16" s="2">
        <f>DJ16+真實IC!DK16</f>
        <v>8.557149367827158</v>
      </c>
      <c r="DL16" s="2">
        <f>DK16+真實IC!DL16</f>
        <v>8.574723751275295</v>
      </c>
      <c r="DM16" s="2">
        <f>DL16+真實IC!DM16</f>
        <v>8.6475312191512224</v>
      </c>
      <c r="DN16" s="2">
        <f>DM16+真實IC!DN16</f>
        <v>8.6670725597114533</v>
      </c>
      <c r="DO16" s="2">
        <f>DN16+真實IC!DO16</f>
        <v>8.756937334843176</v>
      </c>
      <c r="DP16" s="2">
        <f>DO16+真實IC!DP16</f>
        <v>8.9018361870190361</v>
      </c>
      <c r="DQ16" s="2">
        <f>DP16+真實IC!DQ16</f>
        <v>8.9961284055496993</v>
      </c>
      <c r="DR16" s="2">
        <f>DQ16+真實IC!DR16</f>
        <v>9.0099641801723021</v>
      </c>
      <c r="DS16" s="2">
        <f>DR16+真實IC!DS16</f>
        <v>9.1052020760475401</v>
      </c>
      <c r="DT16" s="2">
        <f>DS16+真實IC!DT16</f>
        <v>9.082795820610631</v>
      </c>
      <c r="DU16" s="2">
        <f>DT16+真實IC!DU16</f>
        <v>9.1991006319893014</v>
      </c>
      <c r="DV16" s="2">
        <f>DU16+真實IC!DV16</f>
        <v>9.3204191142320454</v>
      </c>
      <c r="DW16" s="2">
        <f>DV16+真實IC!DW16</f>
        <v>9.3555559960681904</v>
      </c>
      <c r="DX16" s="2">
        <f>DW16+真實IC!DX16</f>
        <v>9.5059430552348552</v>
      </c>
      <c r="DY16" s="2">
        <f>DX16+真實IC!DY16</f>
        <v>9.5451929457761651</v>
      </c>
      <c r="DZ16" s="2">
        <f>DY16+真實IC!DZ16</f>
        <v>9.5479036212249007</v>
      </c>
      <c r="EA16" s="2">
        <f>DZ16+真實IC!EA16</f>
        <v>9.590283428549796</v>
      </c>
      <c r="EB16" s="2">
        <f>EA16+真實IC!EB16</f>
        <v>9.6923735297178837</v>
      </c>
      <c r="EC16" s="2">
        <f>EB16+真實IC!EC16</f>
        <v>9.6485798836588526</v>
      </c>
      <c r="ED16" s="2">
        <f>EC16+真實IC!ED16</f>
        <v>9.8061152216403134</v>
      </c>
      <c r="EE16" s="2">
        <f>ED16+真實IC!EE16</f>
        <v>9.855899114918099</v>
      </c>
      <c r="EF16" s="2">
        <f>EE16+真實IC!EF16</f>
        <v>10.010818029194157</v>
      </c>
      <c r="EG16" s="2">
        <f>EF16+真實IC!EG16</f>
        <v>10.353596818595165</v>
      </c>
      <c r="EH16" s="2">
        <f>EG16+真實IC!EH16</f>
        <v>10.342608475162345</v>
      </c>
      <c r="EI16" s="2">
        <f>EH16+真實IC!EI16</f>
        <v>10.38350666708722</v>
      </c>
      <c r="EJ16" s="2">
        <f>EI16+真實IC!EJ16</f>
        <v>10.471370115085893</v>
      </c>
      <c r="EK16" s="2">
        <f>EJ16+真實IC!EK16</f>
        <v>10.603283694283647</v>
      </c>
      <c r="EL16" s="2">
        <f>EK16+真實IC!EL16</f>
        <v>10.598705800560694</v>
      </c>
    </row>
    <row r="17" spans="1:142" x14ac:dyDescent="0.3">
      <c r="A17" s="11"/>
      <c r="B17" s="11">
        <v>130</v>
      </c>
      <c r="C17" s="2">
        <v>0.2378970514581851</v>
      </c>
      <c r="D17" s="2">
        <f>C17+真實IC!D17</f>
        <v>0.41246874591575661</v>
      </c>
      <c r="E17" s="2">
        <f>D17+真實IC!E17</f>
        <v>0.47968432899099089</v>
      </c>
      <c r="F17" s="2">
        <f>E17+真實IC!F17</f>
        <v>0.4592606541308919</v>
      </c>
      <c r="G17" s="2">
        <f>F17+真實IC!G17</f>
        <v>0.50673463392089801</v>
      </c>
      <c r="H17" s="2">
        <f>G17+真實IC!H17</f>
        <v>0.58063403045119211</v>
      </c>
      <c r="I17" s="2">
        <f>H17+真實IC!I17</f>
        <v>0.63897020724812792</v>
      </c>
      <c r="J17" s="2">
        <f>I17+真實IC!J17</f>
        <v>0.73420559115013739</v>
      </c>
      <c r="K17" s="2">
        <f>J17+真實IC!K17</f>
        <v>0.80633235691621041</v>
      </c>
      <c r="L17" s="2">
        <f>K17+真實IC!L17</f>
        <v>0.77445024426375109</v>
      </c>
      <c r="M17" s="2">
        <f>L17+真實IC!M17</f>
        <v>0.73252688404894539</v>
      </c>
      <c r="N17" s="2">
        <f>M17+真實IC!N17</f>
        <v>0.86762319193517623</v>
      </c>
      <c r="O17" s="2">
        <f>N17+真實IC!O17</f>
        <v>0.85941411041675742</v>
      </c>
      <c r="P17" s="2">
        <f>O17+真實IC!P17</f>
        <v>0.85958535237640854</v>
      </c>
      <c r="Q17" s="2">
        <f>P17+真實IC!Q17</f>
        <v>0.83616595627070034</v>
      </c>
      <c r="R17" s="2">
        <f>Q17+真實IC!R17</f>
        <v>0.78055091359738205</v>
      </c>
      <c r="S17" s="2">
        <f>R17+真實IC!S17</f>
        <v>0.87355970734806454</v>
      </c>
      <c r="T17" s="2">
        <f>S17+真實IC!T17</f>
        <v>0.93386542397455075</v>
      </c>
      <c r="U17" s="2">
        <f>T17+真實IC!U17</f>
        <v>0.98397648845674468</v>
      </c>
      <c r="V17" s="2">
        <f>U17+真實IC!V17</f>
        <v>0.97825078186787096</v>
      </c>
      <c r="W17" s="2">
        <f>V17+真實IC!W17</f>
        <v>1.0893645545709698</v>
      </c>
      <c r="X17" s="2">
        <f>W17+真實IC!X17</f>
        <v>1.2355505479045081</v>
      </c>
      <c r="Y17" s="2">
        <f>X17+真實IC!Y17</f>
        <v>1.2775363217316591</v>
      </c>
      <c r="Z17" s="2">
        <f>Y17+真實IC!Z17</f>
        <v>1.3894541910753386</v>
      </c>
      <c r="AA17" s="2">
        <f>Z17+真實IC!AA17</f>
        <v>1.5105547703544022</v>
      </c>
      <c r="AB17" s="2">
        <f>AA17+真實IC!AB17</f>
        <v>1.5858115263105785</v>
      </c>
      <c r="AC17" s="2">
        <f>AB17+真實IC!AC17</f>
        <v>1.5983192454726713</v>
      </c>
      <c r="AD17" s="2">
        <f>AC17+真實IC!AD17</f>
        <v>1.5680346534038758</v>
      </c>
      <c r="AE17" s="2">
        <f>AD17+真實IC!AE17</f>
        <v>1.5929613963179441</v>
      </c>
      <c r="AF17" s="2">
        <f>AE17+真實IC!AF17</f>
        <v>1.7256602290626335</v>
      </c>
      <c r="AG17" s="2">
        <f>AF17+真實IC!AG17</f>
        <v>1.7677024919927069</v>
      </c>
      <c r="AH17" s="2">
        <f>AG17+真實IC!AH17</f>
        <v>1.7885743432966035</v>
      </c>
      <c r="AI17" s="2">
        <f>AH17+真實IC!AI17</f>
        <v>1.8394783621898767</v>
      </c>
      <c r="AJ17" s="2">
        <f>AI17+真實IC!AJ17</f>
        <v>1.8740902938439732</v>
      </c>
      <c r="AK17" s="2">
        <f>AJ17+真實IC!AK17</f>
        <v>1.8863251169104605</v>
      </c>
      <c r="AL17" s="2">
        <f>AK17+真實IC!AL17</f>
        <v>1.964888994433269</v>
      </c>
      <c r="AM17" s="2">
        <f>AL17+真實IC!AM17</f>
        <v>1.9891889176274706</v>
      </c>
      <c r="AN17" s="2">
        <f>AM17+真實IC!AN17</f>
        <v>2.1309705767906064</v>
      </c>
      <c r="AO17" s="2">
        <f>AN17+真實IC!AO17</f>
        <v>2.2254326526420831</v>
      </c>
      <c r="AP17" s="2">
        <f>AO17+真實IC!AP17</f>
        <v>2.1945015930518084</v>
      </c>
      <c r="AQ17" s="2">
        <f>AP17+真實IC!AQ17</f>
        <v>2.1148184162628891</v>
      </c>
      <c r="AR17" s="2">
        <f>AQ17+真實IC!AR17</f>
        <v>2.2366303798294496</v>
      </c>
      <c r="AS17" s="2">
        <f>AR17+真實IC!AS17</f>
        <v>2.2440292833014124</v>
      </c>
      <c r="AT17" s="2">
        <f>AS17+真實IC!AT17</f>
        <v>2.4942192043006042</v>
      </c>
      <c r="AU17" s="2">
        <f>AT17+真實IC!AU17</f>
        <v>2.6171682714437181</v>
      </c>
      <c r="AV17" s="2">
        <f>AU17+真實IC!AV17</f>
        <v>2.7040115501787292</v>
      </c>
      <c r="AW17" s="2">
        <f>AV17+真實IC!AW17</f>
        <v>2.6937678966915537</v>
      </c>
      <c r="AX17" s="2">
        <f>AW17+真實IC!AX17</f>
        <v>2.8291951952157262</v>
      </c>
      <c r="AY17" s="2">
        <f>AX17+真實IC!AY17</f>
        <v>2.8721783648128429</v>
      </c>
      <c r="AZ17" s="2">
        <f>AY17+真實IC!AZ17</f>
        <v>2.924375074677362</v>
      </c>
      <c r="BA17" s="2">
        <f>AZ17+真實IC!BA17</f>
        <v>3.1029530686563316</v>
      </c>
      <c r="BB17" s="2">
        <f>BA17+真實IC!BB17</f>
        <v>3.2503700390054138</v>
      </c>
      <c r="BC17" s="2">
        <f>BB17+真實IC!BC17</f>
        <v>3.1872205615361886</v>
      </c>
      <c r="BD17" s="2">
        <f>BC17+真實IC!BD17</f>
        <v>3.1701694977225228</v>
      </c>
      <c r="BE17" s="2">
        <f>BD17+真實IC!BE17</f>
        <v>3.2449756365328972</v>
      </c>
      <c r="BF17" s="2">
        <f>BE17+真實IC!BF17</f>
        <v>3.4002051911641953</v>
      </c>
      <c r="BG17" s="2">
        <f>BF17+真實IC!BG17</f>
        <v>3.495612891123816</v>
      </c>
      <c r="BH17" s="2">
        <f>BG17+真實IC!BH17</f>
        <v>3.5826227898165039</v>
      </c>
      <c r="BI17" s="2">
        <f>BH17+真實IC!BI17</f>
        <v>3.7187636748886255</v>
      </c>
      <c r="BJ17" s="2">
        <f>BI17+真實IC!BJ17</f>
        <v>3.7996569485586864</v>
      </c>
      <c r="BK17" s="2">
        <f>BJ17+真實IC!BK17</f>
        <v>3.7953818250527531</v>
      </c>
      <c r="BL17" s="2">
        <f>BK17+真實IC!BL17</f>
        <v>3.8561393551344878</v>
      </c>
      <c r="BM17" s="2">
        <f>BL17+真實IC!BM17</f>
        <v>3.8868578764044575</v>
      </c>
      <c r="BN17" s="2">
        <f>BM17+真實IC!BN17</f>
        <v>3.8763426414514939</v>
      </c>
      <c r="BO17" s="2">
        <f>BN17+真實IC!BO17</f>
        <v>3.873657531579191</v>
      </c>
      <c r="BP17" s="2">
        <f>BO17+真實IC!BP17</f>
        <v>3.8418500416618442</v>
      </c>
      <c r="BQ17" s="2">
        <f>BP17+真實IC!BQ17</f>
        <v>3.9098430719931301</v>
      </c>
      <c r="BR17" s="2">
        <f>BQ17+真實IC!BR17</f>
        <v>4.0290708285323058</v>
      </c>
      <c r="BS17" s="2">
        <f>BR17+真實IC!BS17</f>
        <v>4.0751094034055786</v>
      </c>
      <c r="BT17" s="2">
        <f>BS17+真實IC!BT17</f>
        <v>4.0915279027119444</v>
      </c>
      <c r="BU17" s="2">
        <f>BT17+真實IC!BU17</f>
        <v>4.2155943592915497</v>
      </c>
      <c r="BV17" s="2">
        <f>BU17+真實IC!BV17</f>
        <v>4.2888742445955694</v>
      </c>
      <c r="BW17" s="2">
        <f>BV17+真實IC!BW17</f>
        <v>4.7008395072846225</v>
      </c>
      <c r="BX17" s="2">
        <f>BW17+真實IC!BX17</f>
        <v>4.6956026034668916</v>
      </c>
      <c r="BY17" s="2">
        <f>BX17+真實IC!BY17</f>
        <v>4.8296344134106279</v>
      </c>
      <c r="BZ17" s="2">
        <f>BY17+真實IC!BZ17</f>
        <v>4.9501672593823942</v>
      </c>
      <c r="CA17" s="2">
        <f>BZ17+真實IC!CA17</f>
        <v>4.965246898353981</v>
      </c>
      <c r="CB17" s="2">
        <f>CA17+真實IC!CB17</f>
        <v>4.9946760806027983</v>
      </c>
      <c r="CC17" s="2">
        <f>CB17+真實IC!CC17</f>
        <v>5.0235540602768625</v>
      </c>
      <c r="CD17" s="2">
        <f>CC17+真實IC!CD17</f>
        <v>5.1723024027739113</v>
      </c>
      <c r="CE17" s="2">
        <f>CD17+真實IC!CE17</f>
        <v>5.5010480773605606</v>
      </c>
      <c r="CF17" s="2">
        <f>CE17+真實IC!CF17</f>
        <v>5.5409847999394923</v>
      </c>
      <c r="CG17" s="2">
        <f>CF17+真實IC!CG17</f>
        <v>5.7015643502619637</v>
      </c>
      <c r="CH17" s="2">
        <f>CG17+真實IC!CH17</f>
        <v>5.9379260813052346</v>
      </c>
      <c r="CI17" s="2">
        <f>CH17+真實IC!CI17</f>
        <v>5.9810758245665658</v>
      </c>
      <c r="CJ17" s="2">
        <f>CI17+真實IC!CJ17</f>
        <v>6.0122928997707934</v>
      </c>
      <c r="CK17" s="2">
        <f>CJ17+真實IC!CK17</f>
        <v>6.0577619602524138</v>
      </c>
      <c r="CL17" s="2">
        <f>CK17+真實IC!CL17</f>
        <v>6.1575082133986907</v>
      </c>
      <c r="CM17" s="2">
        <f>CL17+真實IC!CM17</f>
        <v>6.188972538322898</v>
      </c>
      <c r="CN17" s="2">
        <f>CM17+真實IC!CN17</f>
        <v>6.4762479555288666</v>
      </c>
      <c r="CO17" s="2">
        <f>CN17+真實IC!CO17</f>
        <v>6.7063613999809606</v>
      </c>
      <c r="CP17" s="2">
        <f>CO17+真實IC!CP17</f>
        <v>6.8314851678454982</v>
      </c>
      <c r="CQ17" s="2">
        <f>CP17+真實IC!CQ17</f>
        <v>6.9192443860879385</v>
      </c>
      <c r="CR17" s="2">
        <f>CQ17+真實IC!CR17</f>
        <v>7.218774911096868</v>
      </c>
      <c r="CS17" s="2">
        <f>CR17+真實IC!CS17</f>
        <v>7.2868728065953565</v>
      </c>
      <c r="CT17" s="2">
        <f>CS17+真實IC!CT17</f>
        <v>7.3895959788576269</v>
      </c>
      <c r="CU17" s="2">
        <f>CT17+真實IC!CU17</f>
        <v>7.5531231257321574</v>
      </c>
      <c r="CV17" s="2">
        <f>CU17+真實IC!CV17</f>
        <v>7.6421824836707035</v>
      </c>
      <c r="CW17" s="2">
        <f>CV17+真實IC!CW17</f>
        <v>7.7066126825233088</v>
      </c>
      <c r="CX17" s="2">
        <f>CW17+真實IC!CX17</f>
        <v>7.7804146000485739</v>
      </c>
      <c r="CY17" s="2">
        <f>CX17+真實IC!CY17</f>
        <v>7.7964947893272827</v>
      </c>
      <c r="CZ17" s="2">
        <f>CY17+真實IC!CZ17</f>
        <v>8.0217446953519538</v>
      </c>
      <c r="DA17" s="2">
        <f>CZ17+真實IC!DA17</f>
        <v>8.0616743342835182</v>
      </c>
      <c r="DB17" s="2">
        <f>DA17+真實IC!DB17</f>
        <v>8.3433275420548672</v>
      </c>
      <c r="DC17" s="2">
        <f>DB17+真實IC!DC17</f>
        <v>8.336885820356656</v>
      </c>
      <c r="DD17" s="2">
        <f>DC17+真實IC!DD17</f>
        <v>8.4341179755945745</v>
      </c>
      <c r="DE17" s="2">
        <f>DD17+真實IC!DE17</f>
        <v>8.5261676936632487</v>
      </c>
      <c r="DF17" s="2">
        <f>DE17+真實IC!DF17</f>
        <v>8.6823867538070001</v>
      </c>
      <c r="DG17" s="2">
        <f>DF17+真實IC!DG17</f>
        <v>8.7513879322799308</v>
      </c>
      <c r="DH17" s="2">
        <f>DG17+真實IC!DH17</f>
        <v>8.7888432534433516</v>
      </c>
      <c r="DI17" s="2">
        <f>DH17+真實IC!DI17</f>
        <v>8.8152690300103149</v>
      </c>
      <c r="DJ17" s="2">
        <f>DI17+真實IC!DJ17</f>
        <v>8.8543322030287221</v>
      </c>
      <c r="DK17" s="2">
        <f>DJ17+真實IC!DK17</f>
        <v>8.8622757879946423</v>
      </c>
      <c r="DL17" s="2">
        <f>DK17+真實IC!DL17</f>
        <v>8.8677526095467396</v>
      </c>
      <c r="DM17" s="2">
        <f>DL17+真實IC!DM17</f>
        <v>8.890306160615669</v>
      </c>
      <c r="DN17" s="2">
        <f>DM17+真實IC!DN17</f>
        <v>8.9134371294508874</v>
      </c>
      <c r="DO17" s="2">
        <f>DN17+真實IC!DO17</f>
        <v>9.0209450476045703</v>
      </c>
      <c r="DP17" s="2">
        <f>DO17+真實IC!DP17</f>
        <v>9.1603388882360441</v>
      </c>
      <c r="DQ17" s="2">
        <f>DP17+真實IC!DQ17</f>
        <v>9.2646765417961117</v>
      </c>
      <c r="DR17" s="2">
        <f>DQ17+真實IC!DR17</f>
        <v>9.2764845561213995</v>
      </c>
      <c r="DS17" s="2">
        <f>DR17+真實IC!DS17</f>
        <v>9.3601391373697567</v>
      </c>
      <c r="DT17" s="2">
        <f>DS17+真實IC!DT17</f>
        <v>9.3441956498819749</v>
      </c>
      <c r="DU17" s="2">
        <f>DT17+真實IC!DU17</f>
        <v>9.4666286511149167</v>
      </c>
      <c r="DV17" s="2">
        <f>DU17+真實IC!DV17</f>
        <v>9.6166178467563057</v>
      </c>
      <c r="DW17" s="2">
        <f>DV17+真實IC!DW17</f>
        <v>9.622783876038298</v>
      </c>
      <c r="DX17" s="2">
        <f>DW17+真實IC!DX17</f>
        <v>9.7880663219929431</v>
      </c>
      <c r="DY17" s="2">
        <f>DX17+真實IC!DY17</f>
        <v>9.8222848687508364</v>
      </c>
      <c r="DZ17" s="2">
        <f>DY17+真實IC!DZ17</f>
        <v>9.8128690460926702</v>
      </c>
      <c r="EA17" s="2">
        <f>DZ17+真實IC!EA17</f>
        <v>9.8582808843021041</v>
      </c>
      <c r="EB17" s="2">
        <f>EA17+真實IC!EB17</f>
        <v>9.9518997060716838</v>
      </c>
      <c r="EC17" s="2">
        <f>EB17+真實IC!EC17</f>
        <v>9.9142913740065914</v>
      </c>
      <c r="ED17" s="2">
        <f>EC17+真實IC!ED17</f>
        <v>10.086698828404892</v>
      </c>
      <c r="EE17" s="2">
        <f>ED17+真實IC!EE17</f>
        <v>10.156193745772187</v>
      </c>
      <c r="EF17" s="2">
        <f>EE17+真實IC!EF17</f>
        <v>10.331921072276948</v>
      </c>
      <c r="EG17" s="2">
        <f>EF17+真實IC!EG17</f>
        <v>10.739133880237302</v>
      </c>
      <c r="EH17" s="2">
        <f>EG17+真實IC!EH17</f>
        <v>10.744212711756431</v>
      </c>
      <c r="EI17" s="2">
        <f>EH17+真實IC!EI17</f>
        <v>10.787165947236451</v>
      </c>
      <c r="EJ17" s="2">
        <f>EI17+真實IC!EJ17</f>
        <v>10.873085711364388</v>
      </c>
      <c r="EK17" s="2">
        <f>EJ17+真實IC!EK17</f>
        <v>10.990021532175584</v>
      </c>
      <c r="EL17" s="2">
        <f>EK17+真實IC!EL17</f>
        <v>10.996724391328065</v>
      </c>
    </row>
    <row r="18" spans="1:142" x14ac:dyDescent="0.3">
      <c r="A18" s="11"/>
      <c r="B18" s="11">
        <v>150</v>
      </c>
      <c r="C18" s="2">
        <v>0.24368728540115189</v>
      </c>
      <c r="D18" s="2">
        <f>C18+真實IC!D18</f>
        <v>0.34978544303036296</v>
      </c>
      <c r="E18" s="2">
        <f>D18+真實IC!E18</f>
        <v>0.41584244110061602</v>
      </c>
      <c r="F18" s="2">
        <f>E18+真實IC!F18</f>
        <v>0.43303098729999101</v>
      </c>
      <c r="G18" s="2">
        <f>F18+真實IC!G18</f>
        <v>0.47312817518654482</v>
      </c>
      <c r="H18" s="2">
        <f>G18+真實IC!H18</f>
        <v>0.52707433097995271</v>
      </c>
      <c r="I18" s="2">
        <f>H18+真實IC!I18</f>
        <v>0.55123383922595959</v>
      </c>
      <c r="J18" s="2">
        <f>I18+真實IC!J18</f>
        <v>0.68504436993968798</v>
      </c>
      <c r="K18" s="2">
        <f>J18+真實IC!K18</f>
        <v>0.79843117524253948</v>
      </c>
      <c r="L18" s="2">
        <f>K18+真實IC!L18</f>
        <v>0.76652726492045631</v>
      </c>
      <c r="M18" s="2">
        <f>L18+真實IC!M18</f>
        <v>0.7172696648690331</v>
      </c>
      <c r="N18" s="2">
        <f>M18+真實IC!N18</f>
        <v>0.86221033742198128</v>
      </c>
      <c r="O18" s="2">
        <f>N18+真實IC!O18</f>
        <v>0.85918676047435016</v>
      </c>
      <c r="P18" s="2">
        <f>O18+真實IC!P18</f>
        <v>0.84943496599501089</v>
      </c>
      <c r="Q18" s="2">
        <f>P18+真實IC!Q18</f>
        <v>0.76472739711652038</v>
      </c>
      <c r="R18" s="2">
        <f>Q18+真實IC!R18</f>
        <v>0.69850170380651244</v>
      </c>
      <c r="S18" s="2">
        <f>R18+真實IC!S18</f>
        <v>0.79162299815518533</v>
      </c>
      <c r="T18" s="2">
        <f>S18+真實IC!T18</f>
        <v>0.83535459753951524</v>
      </c>
      <c r="U18" s="2">
        <f>T18+真實IC!U18</f>
        <v>0.86670195782728665</v>
      </c>
      <c r="V18" s="2">
        <f>U18+真實IC!V18</f>
        <v>0.87719602441588895</v>
      </c>
      <c r="W18" s="2">
        <f>V18+真實IC!W18</f>
        <v>0.99273496450281884</v>
      </c>
      <c r="X18" s="2">
        <f>W18+真實IC!X18</f>
        <v>1.1687702767796542</v>
      </c>
      <c r="Y18" s="2">
        <f>X18+真實IC!Y18</f>
        <v>1.2088441285415596</v>
      </c>
      <c r="Z18" s="2">
        <f>Y18+真實IC!Z18</f>
        <v>1.3435914491830652</v>
      </c>
      <c r="AA18" s="2">
        <f>Z18+真實IC!AA18</f>
        <v>1.4745021536579443</v>
      </c>
      <c r="AB18" s="2">
        <f>AA18+真實IC!AB18</f>
        <v>1.5611292569680926</v>
      </c>
      <c r="AC18" s="2">
        <f>AB18+真實IC!AC18</f>
        <v>1.5729392584802173</v>
      </c>
      <c r="AD18" s="2">
        <f>AC18+真實IC!AD18</f>
        <v>1.5372954145415569</v>
      </c>
      <c r="AE18" s="2">
        <f>AD18+真實IC!AE18</f>
        <v>1.5835555901841012</v>
      </c>
      <c r="AF18" s="2">
        <f>AE18+真實IC!AF18</f>
        <v>1.7328232226654101</v>
      </c>
      <c r="AG18" s="2">
        <f>AF18+真實IC!AG18</f>
        <v>1.756453095173274</v>
      </c>
      <c r="AH18" s="2">
        <f>AG18+真實IC!AH18</f>
        <v>1.7482427653818322</v>
      </c>
      <c r="AI18" s="2">
        <f>AH18+真實IC!AI18</f>
        <v>1.7974464225663371</v>
      </c>
      <c r="AJ18" s="2">
        <f>AI18+真實IC!AJ18</f>
        <v>1.8158725313290729</v>
      </c>
      <c r="AK18" s="2">
        <f>AJ18+真實IC!AK18</f>
        <v>1.8242995373390767</v>
      </c>
      <c r="AL18" s="2">
        <f>AK18+真實IC!AL18</f>
        <v>1.9002694761706576</v>
      </c>
      <c r="AM18" s="2">
        <f>AL18+真實IC!AM18</f>
        <v>1.9245529614681844</v>
      </c>
      <c r="AN18" s="2">
        <f>AM18+真實IC!AN18</f>
        <v>2.0724832109804012</v>
      </c>
      <c r="AO18" s="2">
        <f>AN18+真實IC!AO18</f>
        <v>2.1909813455981317</v>
      </c>
      <c r="AP18" s="2">
        <f>AO18+真實IC!AP18</f>
        <v>2.1739390017482769</v>
      </c>
      <c r="AQ18" s="2">
        <f>AP18+真實IC!AQ18</f>
        <v>2.1332856405763971</v>
      </c>
      <c r="AR18" s="2">
        <f>AQ18+真實IC!AR18</f>
        <v>2.2574226150600336</v>
      </c>
      <c r="AS18" s="2">
        <f>AR18+真實IC!AS18</f>
        <v>2.2432660789844459</v>
      </c>
      <c r="AT18" s="2">
        <f>AS18+真實IC!AT18</f>
        <v>2.4909905716852632</v>
      </c>
      <c r="AU18" s="2">
        <f>AT18+真實IC!AU18</f>
        <v>2.6112551957998593</v>
      </c>
      <c r="AV18" s="2">
        <f>AU18+真實IC!AV18</f>
        <v>2.6865533388679763</v>
      </c>
      <c r="AW18" s="2">
        <f>AV18+真實IC!AW18</f>
        <v>2.678481689953168</v>
      </c>
      <c r="AX18" s="2">
        <f>AW18+真實IC!AX18</f>
        <v>2.8505099224659296</v>
      </c>
      <c r="AY18" s="2">
        <f>AX18+真實IC!AY18</f>
        <v>2.8510621600976833</v>
      </c>
      <c r="AZ18" s="2">
        <f>AY18+真實IC!AZ18</f>
        <v>2.9100587271930438</v>
      </c>
      <c r="BA18" s="2">
        <f>AZ18+真實IC!BA18</f>
        <v>3.0939510506892742</v>
      </c>
      <c r="BB18" s="2">
        <f>BA18+真實IC!BB18</f>
        <v>3.2492615744706597</v>
      </c>
      <c r="BC18" s="2">
        <f>BB18+真實IC!BC18</f>
        <v>3.3136726632895663</v>
      </c>
      <c r="BD18" s="2">
        <f>BC18+真實IC!BD18</f>
        <v>3.3074938303297277</v>
      </c>
      <c r="BE18" s="2">
        <f>BD18+真實IC!BE18</f>
        <v>3.3621104997929967</v>
      </c>
      <c r="BF18" s="2">
        <f>BE18+真實IC!BF18</f>
        <v>3.4937648071800096</v>
      </c>
      <c r="BG18" s="2">
        <f>BF18+真實IC!BG18</f>
        <v>3.5840386647579607</v>
      </c>
      <c r="BH18" s="2">
        <f>BG18+真實IC!BH18</f>
        <v>3.6474115321717662</v>
      </c>
      <c r="BI18" s="2">
        <f>BH18+真實IC!BI18</f>
        <v>3.8277278527523553</v>
      </c>
      <c r="BJ18" s="2">
        <f>BI18+真實IC!BJ18</f>
        <v>3.9138748954585525</v>
      </c>
      <c r="BK18" s="2">
        <f>BJ18+真實IC!BK18</f>
        <v>3.9181453863660849</v>
      </c>
      <c r="BL18" s="2">
        <f>BK18+真實IC!BL18</f>
        <v>3.9773173853629755</v>
      </c>
      <c r="BM18" s="2">
        <f>BL18+真實IC!BM18</f>
        <v>3.9948038982297893</v>
      </c>
      <c r="BN18" s="2">
        <f>BM18+真實IC!BN18</f>
        <v>3.9854892012601062</v>
      </c>
      <c r="BO18" s="2">
        <f>BN18+真實IC!BO18</f>
        <v>3.9690738314302201</v>
      </c>
      <c r="BP18" s="2">
        <f>BO18+真實IC!BP18</f>
        <v>3.9291049386847567</v>
      </c>
      <c r="BQ18" s="2">
        <f>BP18+真實IC!BQ18</f>
        <v>3.9959018097529735</v>
      </c>
      <c r="BR18" s="2">
        <f>BQ18+真實IC!BR18</f>
        <v>4.1350542634996161</v>
      </c>
      <c r="BS18" s="2">
        <f>BR18+真實IC!BS18</f>
        <v>4.1818246457970423</v>
      </c>
      <c r="BT18" s="2">
        <f>BS18+真實IC!BT18</f>
        <v>4.2229983696905684</v>
      </c>
      <c r="BU18" s="2">
        <f>BT18+真實IC!BU18</f>
        <v>4.3182709591040283</v>
      </c>
      <c r="BV18" s="2">
        <f>BU18+真實IC!BV18</f>
        <v>4.3588701751639851</v>
      </c>
      <c r="BW18" s="2">
        <f>BV18+真實IC!BW18</f>
        <v>4.8270132435118258</v>
      </c>
      <c r="BX18" s="2">
        <f>BW18+真實IC!BX18</f>
        <v>4.8218602289038461</v>
      </c>
      <c r="BY18" s="2">
        <f>BX18+真實IC!BY18</f>
        <v>4.9916199180933809</v>
      </c>
      <c r="BZ18" s="2">
        <f>BY18+真實IC!BZ18</f>
        <v>5.1448881231424712</v>
      </c>
      <c r="CA18" s="2">
        <f>BZ18+真實IC!CA18</f>
        <v>5.1784103645958472</v>
      </c>
      <c r="CB18" s="2">
        <f>CA18+真實IC!CB18</f>
        <v>5.1983725088456554</v>
      </c>
      <c r="CC18" s="2">
        <f>CB18+真實IC!CC18</f>
        <v>5.2116970327516841</v>
      </c>
      <c r="CD18" s="2">
        <f>CC18+真實IC!CD18</f>
        <v>5.3549954565973312</v>
      </c>
      <c r="CE18" s="2">
        <f>CD18+真實IC!CE18</f>
        <v>5.7185254533887795</v>
      </c>
      <c r="CF18" s="2">
        <f>CE18+真實IC!CF18</f>
        <v>5.7504159937893746</v>
      </c>
      <c r="CG18" s="2">
        <f>CF18+真實IC!CG18</f>
        <v>5.8643259069448366</v>
      </c>
      <c r="CH18" s="2">
        <f>CG18+真實IC!CH18</f>
        <v>6.1415664790294606</v>
      </c>
      <c r="CI18" s="2">
        <f>CH18+真實IC!CI18</f>
        <v>6.190744868904221</v>
      </c>
      <c r="CJ18" s="2">
        <f>CI18+真實IC!CJ18</f>
        <v>6.2069745231968518</v>
      </c>
      <c r="CK18" s="2">
        <f>CJ18+真實IC!CK18</f>
        <v>6.2301106832110564</v>
      </c>
      <c r="CL18" s="2">
        <f>CK18+真實IC!CL18</f>
        <v>6.31496219157862</v>
      </c>
      <c r="CM18" s="2">
        <f>CL18+真實IC!CM18</f>
        <v>6.3411889760077376</v>
      </c>
      <c r="CN18" s="2">
        <f>CM18+真實IC!CN18</f>
        <v>6.6893630484013054</v>
      </c>
      <c r="CO18" s="2">
        <f>CN18+真實IC!CO18</f>
        <v>6.9171626887273714</v>
      </c>
      <c r="CP18" s="2">
        <f>CO18+真實IC!CP18</f>
        <v>7.0193910329296498</v>
      </c>
      <c r="CQ18" s="2">
        <f>CP18+真實IC!CQ18</f>
        <v>7.1360962105890557</v>
      </c>
      <c r="CR18" s="2">
        <f>CQ18+真實IC!CR18</f>
        <v>7.4614605349252967</v>
      </c>
      <c r="CS18" s="2">
        <f>CR18+真實IC!CS18</f>
        <v>7.5408918545331298</v>
      </c>
      <c r="CT18" s="2">
        <f>CS18+真實IC!CT18</f>
        <v>7.6029291693615901</v>
      </c>
      <c r="CU18" s="2">
        <f>CT18+真實IC!CU18</f>
        <v>7.7799745428116793</v>
      </c>
      <c r="CV18" s="2">
        <f>CU18+真實IC!CV18</f>
        <v>7.8572066294662095</v>
      </c>
      <c r="CW18" s="2">
        <f>CV18+真實IC!CW18</f>
        <v>7.9418010460218715</v>
      </c>
      <c r="CX18" s="2">
        <f>CW18+真實IC!CX18</f>
        <v>8.0111173266333982</v>
      </c>
      <c r="CY18" s="2">
        <f>CX18+真實IC!CY18</f>
        <v>8.0484620164149785</v>
      </c>
      <c r="CZ18" s="2">
        <f>CY18+真實IC!CZ18</f>
        <v>8.2653767017878401</v>
      </c>
      <c r="DA18" s="2">
        <f>CZ18+真實IC!DA18</f>
        <v>8.2706934036969884</v>
      </c>
      <c r="DB18" s="2">
        <f>DA18+真實IC!DB18</f>
        <v>8.5648749639121284</v>
      </c>
      <c r="DC18" s="2">
        <f>DB18+真實IC!DC18</f>
        <v>8.56085055060821</v>
      </c>
      <c r="DD18" s="2">
        <f>DC18+真實IC!DD18</f>
        <v>8.6431571154503555</v>
      </c>
      <c r="DE18" s="2">
        <f>DD18+真實IC!DE18</f>
        <v>8.7182985170749099</v>
      </c>
      <c r="DF18" s="2">
        <f>DE18+真實IC!DF18</f>
        <v>8.8860874465952815</v>
      </c>
      <c r="DG18" s="2">
        <f>DF18+真實IC!DG18</f>
        <v>8.9642154421240381</v>
      </c>
      <c r="DH18" s="2">
        <f>DG18+真實IC!DH18</f>
        <v>9.0165345530901355</v>
      </c>
      <c r="DI18" s="2">
        <f>DH18+真實IC!DI18</f>
        <v>9.0485440246144559</v>
      </c>
      <c r="DJ18" s="2">
        <f>DI18+真實IC!DJ18</f>
        <v>9.0820380888333538</v>
      </c>
      <c r="DK18" s="2">
        <f>DJ18+真實IC!DK18</f>
        <v>9.101160350073533</v>
      </c>
      <c r="DL18" s="2">
        <f>DK18+真實IC!DL18</f>
        <v>9.1077793145636203</v>
      </c>
      <c r="DM18" s="2">
        <f>DL18+真實IC!DM18</f>
        <v>9.1874368718857244</v>
      </c>
      <c r="DN18" s="2">
        <f>DM18+真實IC!DN18</f>
        <v>9.2078590911995022</v>
      </c>
      <c r="DO18" s="2">
        <f>DN18+真實IC!DO18</f>
        <v>9.3120084308990787</v>
      </c>
      <c r="DP18" s="2">
        <f>DO18+真實IC!DP18</f>
        <v>9.4470121568902883</v>
      </c>
      <c r="DQ18" s="2">
        <f>DP18+真實IC!DQ18</f>
        <v>9.5460708166492587</v>
      </c>
      <c r="DR18" s="2">
        <f>DQ18+真實IC!DR18</f>
        <v>9.567736494854806</v>
      </c>
      <c r="DS18" s="2">
        <f>DR18+真實IC!DS18</f>
        <v>9.653572264939104</v>
      </c>
      <c r="DT18" s="2">
        <f>DS18+真實IC!DT18</f>
        <v>9.678107698212683</v>
      </c>
      <c r="DU18" s="2">
        <f>DT18+真實IC!DU18</f>
        <v>9.8127799713946349</v>
      </c>
      <c r="DV18" s="2">
        <f>DU18+真實IC!DV18</f>
        <v>9.9677631165825193</v>
      </c>
      <c r="DW18" s="2">
        <f>DV18+真實IC!DW18</f>
        <v>9.9935273489682928</v>
      </c>
      <c r="DX18" s="2">
        <f>DW18+真實IC!DX18</f>
        <v>10.181632304335466</v>
      </c>
      <c r="DY18" s="2">
        <f>DX18+真實IC!DY18</f>
        <v>10.23096677038129</v>
      </c>
      <c r="DZ18" s="2">
        <f>DY18+真實IC!DZ18</f>
        <v>10.196333891387178</v>
      </c>
      <c r="EA18" s="2">
        <f>DZ18+真實IC!EA18</f>
        <v>10.23799270831242</v>
      </c>
      <c r="EB18" s="2">
        <f>EA18+真實IC!EB18</f>
        <v>10.348253705170725</v>
      </c>
      <c r="EC18" s="2">
        <f>EB18+真實IC!EC18</f>
        <v>10.338207385841756</v>
      </c>
      <c r="ED18" s="2">
        <f>EC18+真實IC!ED18</f>
        <v>10.504844145581352</v>
      </c>
      <c r="EE18" s="2">
        <f>ED18+真實IC!EE18</f>
        <v>10.590083432735645</v>
      </c>
      <c r="EF18" s="2">
        <f>EE18+真實IC!EF18</f>
        <v>10.758201048907805</v>
      </c>
      <c r="EG18" s="2">
        <f>EF18+真實IC!EG18</f>
        <v>11.197536813014143</v>
      </c>
      <c r="EH18" s="2">
        <f>EG18+真實IC!EH18</f>
        <v>11.206428167132014</v>
      </c>
      <c r="EI18" s="2">
        <f>EH18+真實IC!EI18</f>
        <v>11.243433007147054</v>
      </c>
      <c r="EJ18" s="2">
        <f>EI18+真實IC!EJ18</f>
        <v>11.310272608441947</v>
      </c>
      <c r="EK18" s="2">
        <f>EJ18+真實IC!EK18</f>
        <v>11.435082942886723</v>
      </c>
      <c r="EL18" s="2">
        <f>EK18+真實IC!EL18</f>
        <v>11.449138404224655</v>
      </c>
    </row>
    <row r="19" spans="1:142" x14ac:dyDescent="0.3">
      <c r="A19" s="11"/>
      <c r="B19" s="11">
        <v>180</v>
      </c>
      <c r="C19" s="2">
        <v>0.25825037374733928</v>
      </c>
      <c r="D19" s="2">
        <f>C19+真實IC!D19</f>
        <v>0.32890595657094557</v>
      </c>
      <c r="E19" s="2">
        <f>D19+真實IC!E19</f>
        <v>0.41264880920714325</v>
      </c>
      <c r="F19" s="2">
        <f>E19+真實IC!F19</f>
        <v>0.41283605410729834</v>
      </c>
      <c r="G19" s="2">
        <f>F19+真實IC!G19</f>
        <v>0.4282301187647673</v>
      </c>
      <c r="H19" s="2">
        <f>G19+真實IC!H19</f>
        <v>0.5038332552913809</v>
      </c>
      <c r="I19" s="2">
        <f>H19+真實IC!I19</f>
        <v>0.53724245939564963</v>
      </c>
      <c r="J19" s="2">
        <f>I19+真實IC!J19</f>
        <v>0.69721674216228569</v>
      </c>
      <c r="K19" s="2">
        <f>J19+真實IC!K19</f>
        <v>0.79365927188329755</v>
      </c>
      <c r="L19" s="2">
        <f>K19+真實IC!L19</f>
        <v>0.75199230430899155</v>
      </c>
      <c r="M19" s="2">
        <f>L19+真實IC!M19</f>
        <v>0.63210588013898861</v>
      </c>
      <c r="N19" s="2">
        <f>M19+真實IC!N19</f>
        <v>0.77794392881005037</v>
      </c>
      <c r="O19" s="2">
        <f>N19+真實IC!O19</f>
        <v>0.76171053324656468</v>
      </c>
      <c r="P19" s="2">
        <f>O19+真實IC!P19</f>
        <v>0.75395029002120539</v>
      </c>
      <c r="Q19" s="2">
        <f>P19+真實IC!Q19</f>
        <v>0.66373768461417137</v>
      </c>
      <c r="R19" s="2">
        <f>Q19+真實IC!R19</f>
        <v>0.59166637439194703</v>
      </c>
      <c r="S19" s="2">
        <f>R19+真實IC!S19</f>
        <v>0.65348260843129369</v>
      </c>
      <c r="T19" s="2">
        <f>S19+真實IC!T19</f>
        <v>0.67675447565428282</v>
      </c>
      <c r="U19" s="2">
        <f>T19+真實IC!U19</f>
        <v>0.68012769826092145</v>
      </c>
      <c r="V19" s="2">
        <f>U19+真實IC!V19</f>
        <v>0.66083819876112637</v>
      </c>
      <c r="W19" s="2">
        <f>V19+真實IC!W19</f>
        <v>0.7988972124459931</v>
      </c>
      <c r="X19" s="2">
        <f>W19+真實IC!X19</f>
        <v>1.0175771516698882</v>
      </c>
      <c r="Y19" s="2">
        <f>X19+真實IC!Y19</f>
        <v>1.0520503426720635</v>
      </c>
      <c r="Z19" s="2">
        <f>Y19+真實IC!Z19</f>
        <v>1.2083878089844999</v>
      </c>
      <c r="AA19" s="2">
        <f>Z19+真實IC!AA19</f>
        <v>1.3198373322295671</v>
      </c>
      <c r="AB19" s="2">
        <f>AA19+真實IC!AB19</f>
        <v>1.4107135726290863</v>
      </c>
      <c r="AC19" s="2">
        <f>AB19+真實IC!AC19</f>
        <v>1.4203800383227527</v>
      </c>
      <c r="AD19" s="2">
        <f>AC19+真實IC!AD19</f>
        <v>1.3798521949749811</v>
      </c>
      <c r="AE19" s="2">
        <f>AD19+真實IC!AE19</f>
        <v>1.4028601394133908</v>
      </c>
      <c r="AF19" s="2">
        <f>AE19+真實IC!AF19</f>
        <v>1.5005430451158022</v>
      </c>
      <c r="AG19" s="2">
        <f>AF19+真實IC!AG19</f>
        <v>1.5477394533120081</v>
      </c>
      <c r="AH19" s="2">
        <f>AG19+真實IC!AH19</f>
        <v>1.547180576359571</v>
      </c>
      <c r="AI19" s="2">
        <f>AH19+真實IC!AI19</f>
        <v>1.6066312960130908</v>
      </c>
      <c r="AJ19" s="2">
        <f>AI19+真實IC!AJ19</f>
        <v>1.6025145386117199</v>
      </c>
      <c r="AK19" s="2">
        <f>AJ19+真實IC!AK19</f>
        <v>1.5849911135555275</v>
      </c>
      <c r="AL19" s="2">
        <f>AK19+真實IC!AL19</f>
        <v>1.6577341552462284</v>
      </c>
      <c r="AM19" s="2">
        <f>AL19+真實IC!AM19</f>
        <v>1.6714199688977696</v>
      </c>
      <c r="AN19" s="2">
        <f>AM19+真實IC!AN19</f>
        <v>1.8089323828505559</v>
      </c>
      <c r="AO19" s="2">
        <f>AN19+真實IC!AO19</f>
        <v>1.931833297205416</v>
      </c>
      <c r="AP19" s="2">
        <f>AO19+真實IC!AP19</f>
        <v>1.9004180489537295</v>
      </c>
      <c r="AQ19" s="2">
        <f>AP19+真實IC!AQ19</f>
        <v>1.8356327432004689</v>
      </c>
      <c r="AR19" s="2">
        <f>AQ19+真實IC!AR19</f>
        <v>1.9743631625589935</v>
      </c>
      <c r="AS19" s="2">
        <f>AR19+真實IC!AS19</f>
        <v>1.9413490468871293</v>
      </c>
      <c r="AT19" s="2">
        <f>AS19+真實IC!AT19</f>
        <v>2.2089996249536448</v>
      </c>
      <c r="AU19" s="2">
        <f>AT19+真實IC!AU19</f>
        <v>2.3461760210624454</v>
      </c>
      <c r="AV19" s="2">
        <f>AU19+真實IC!AV19</f>
        <v>2.4349428512035174</v>
      </c>
      <c r="AW19" s="2">
        <f>AV19+真實IC!AW19</f>
        <v>2.4342331728408104</v>
      </c>
      <c r="AX19" s="2">
        <f>AW19+真實IC!AX19</f>
        <v>2.6132983850435449</v>
      </c>
      <c r="AY19" s="2">
        <f>AX19+真實IC!AY19</f>
        <v>2.5945893137223535</v>
      </c>
      <c r="AZ19" s="2">
        <f>AY19+真實IC!AZ19</f>
        <v>2.6755002225283806</v>
      </c>
      <c r="BA19" s="2">
        <f>AZ19+真實IC!BA19</f>
        <v>2.8670284574412834</v>
      </c>
      <c r="BB19" s="2">
        <f>BA19+真實IC!BB19</f>
        <v>3.0253339980686307</v>
      </c>
      <c r="BC19" s="2">
        <f>BB19+真實IC!BC19</f>
        <v>3.0747500424118828</v>
      </c>
      <c r="BD19" s="2">
        <f>BC19+真實IC!BD19</f>
        <v>3.0743689628619886</v>
      </c>
      <c r="BE19" s="2">
        <f>BD19+真實IC!BE19</f>
        <v>3.1121034190880166</v>
      </c>
      <c r="BF19" s="2">
        <f>BE19+真實IC!BF19</f>
        <v>3.2136823402963888</v>
      </c>
      <c r="BG19" s="2">
        <f>BF19+真實IC!BG19</f>
        <v>3.3427945002352923</v>
      </c>
      <c r="BH19" s="2">
        <f>BG19+真實IC!BH19</f>
        <v>3.3385803063675459</v>
      </c>
      <c r="BI19" s="2">
        <f>BH19+真實IC!BI19</f>
        <v>3.4917787636934943</v>
      </c>
      <c r="BJ19" s="2">
        <f>BI19+真實IC!BJ19</f>
        <v>3.5927859074016015</v>
      </c>
      <c r="BK19" s="2">
        <f>BJ19+真實IC!BK19</f>
        <v>3.5984780295798906</v>
      </c>
      <c r="BL19" s="2">
        <f>BK19+真實IC!BL19</f>
        <v>3.6648577151563861</v>
      </c>
      <c r="BM19" s="2">
        <f>BL19+真實IC!BM19</f>
        <v>3.7009961862719316</v>
      </c>
      <c r="BN19" s="2">
        <f>BM19+真實IC!BN19</f>
        <v>3.6944983468291168</v>
      </c>
      <c r="BO19" s="2">
        <f>BN19+真實IC!BO19</f>
        <v>3.6881281288975813</v>
      </c>
      <c r="BP19" s="2">
        <f>BO19+真實IC!BP19</f>
        <v>3.709300572456947</v>
      </c>
      <c r="BQ19" s="2">
        <f>BP19+真實IC!BQ19</f>
        <v>3.7833310035550682</v>
      </c>
      <c r="BR19" s="2">
        <f>BQ19+真實IC!BR19</f>
        <v>3.9517844192008238</v>
      </c>
      <c r="BS19" s="2">
        <f>BR19+真實IC!BS19</f>
        <v>4.002413811836373</v>
      </c>
      <c r="BT19" s="2">
        <f>BS19+真實IC!BT19</f>
        <v>4.0370882676306126</v>
      </c>
      <c r="BU19" s="2">
        <f>BT19+真實IC!BU19</f>
        <v>4.1570599158636066</v>
      </c>
      <c r="BV19" s="2">
        <f>BU19+真實IC!BV19</f>
        <v>4.204039809467667</v>
      </c>
      <c r="BW19" s="2">
        <f>BV19+真實IC!BW19</f>
        <v>4.7276275135284571</v>
      </c>
      <c r="BX19" s="2">
        <f>BW19+真實IC!BX19</f>
        <v>4.7297039405379495</v>
      </c>
      <c r="BY19" s="2">
        <f>BX19+真實IC!BY19</f>
        <v>4.8908114590528733</v>
      </c>
      <c r="BZ19" s="2">
        <f>BY19+真實IC!BZ19</f>
        <v>5.051369923962441</v>
      </c>
      <c r="CA19" s="2">
        <f>BZ19+真實IC!CA19</f>
        <v>5.0761910963838535</v>
      </c>
      <c r="CB19" s="2">
        <f>CA19+真實IC!CB19</f>
        <v>5.093031529360653</v>
      </c>
      <c r="CC19" s="2">
        <f>CB19+真實IC!CC19</f>
        <v>5.120729214774375</v>
      </c>
      <c r="CD19" s="2">
        <f>CC19+真實IC!CD19</f>
        <v>5.2813477174362937</v>
      </c>
      <c r="CE19" s="2">
        <f>CD19+真實IC!CE19</f>
        <v>5.4272658557809299</v>
      </c>
      <c r="CF19" s="2">
        <f>CE19+真實IC!CF19</f>
        <v>5.4278591032589896</v>
      </c>
      <c r="CG19" s="2">
        <f>CF19+真實IC!CG19</f>
        <v>5.5441110286880653</v>
      </c>
      <c r="CH19" s="2">
        <f>CG19+真實IC!CH19</f>
        <v>5.8222879575477204</v>
      </c>
      <c r="CI19" s="2">
        <f>CH19+真實IC!CI19</f>
        <v>5.8840387165954127</v>
      </c>
      <c r="CJ19" s="2">
        <f>CI19+真實IC!CJ19</f>
        <v>5.8784987473322152</v>
      </c>
      <c r="CK19" s="2">
        <f>CJ19+真實IC!CK19</f>
        <v>5.9025986064750358</v>
      </c>
      <c r="CL19" s="2">
        <f>CK19+真實IC!CL19</f>
        <v>5.999716600204513</v>
      </c>
      <c r="CM19" s="2">
        <f>CL19+真實IC!CM19</f>
        <v>6.0221444593453572</v>
      </c>
      <c r="CN19" s="2">
        <f>CM19+真實IC!CN19</f>
        <v>6.4238768260989314</v>
      </c>
      <c r="CO19" s="2">
        <f>CN19+真實IC!CO19</f>
        <v>6.6904577032100807</v>
      </c>
      <c r="CP19" s="2">
        <f>CO19+真實IC!CP19</f>
        <v>6.793903435958863</v>
      </c>
      <c r="CQ19" s="2">
        <f>CP19+真實IC!CQ19</f>
        <v>6.8977282639598503</v>
      </c>
      <c r="CR19" s="2">
        <f>CQ19+真實IC!CR19</f>
        <v>6.9655906185182248</v>
      </c>
      <c r="CS19" s="2">
        <f>CR19+真實IC!CS19</f>
        <v>7.0719130813465023</v>
      </c>
      <c r="CT19" s="2">
        <f>CS19+真實IC!CT19</f>
        <v>7.0761065499912297</v>
      </c>
      <c r="CU19" s="2">
        <f>CT19+真實IC!CU19</f>
        <v>7.2593549321694448</v>
      </c>
      <c r="CV19" s="2">
        <f>CU19+真實IC!CV19</f>
        <v>7.3388835242120125</v>
      </c>
      <c r="CW19" s="2">
        <f>CV19+真實IC!CW19</f>
        <v>7.4360259509494497</v>
      </c>
      <c r="CX19" s="2">
        <f>CW19+真實IC!CX19</f>
        <v>7.5095736670554087</v>
      </c>
      <c r="CY19" s="2">
        <f>CX19+真實IC!CY19</f>
        <v>7.56715311795727</v>
      </c>
      <c r="CZ19" s="2">
        <f>CY19+真實IC!CZ19</f>
        <v>7.8127303779650976</v>
      </c>
      <c r="DA19" s="2">
        <f>CZ19+真實IC!DA19</f>
        <v>7.8298412635658048</v>
      </c>
      <c r="DB19" s="2">
        <f>DA19+真實IC!DB19</f>
        <v>8.1900660754309822</v>
      </c>
      <c r="DC19" s="2">
        <f>DB19+真實IC!DC19</f>
        <v>8.1790451887596234</v>
      </c>
      <c r="DD19" s="2">
        <f>DC19+真實IC!DD19</f>
        <v>8.2926912218953586</v>
      </c>
      <c r="DE19" s="2">
        <f>DD19+真實IC!DE19</f>
        <v>8.3852590988161655</v>
      </c>
      <c r="DF19" s="2">
        <f>DE19+真實IC!DF19</f>
        <v>8.5692616891517037</v>
      </c>
      <c r="DG19" s="2">
        <f>DF19+真實IC!DG19</f>
        <v>8.6368729637231496</v>
      </c>
      <c r="DH19" s="2">
        <f>DG19+真實IC!DH19</f>
        <v>8.6823290107696653</v>
      </c>
      <c r="DI19" s="2">
        <f>DH19+真實IC!DI19</f>
        <v>8.6883234899001156</v>
      </c>
      <c r="DJ19" s="2">
        <f>DI19+真實IC!DJ19</f>
        <v>8.729794168702103</v>
      </c>
      <c r="DK19" s="2">
        <f>DJ19+真實IC!DK19</f>
        <v>8.7214246285731782</v>
      </c>
      <c r="DL19" s="2">
        <f>DK19+真實IC!DL19</f>
        <v>8.7428480291955601</v>
      </c>
      <c r="DM19" s="2">
        <f>DL19+真實IC!DM19</f>
        <v>8.8300566673155334</v>
      </c>
      <c r="DN19" s="2">
        <f>DM19+真實IC!DN19</f>
        <v>8.8562466956802677</v>
      </c>
      <c r="DO19" s="2">
        <f>DN19+真實IC!DO19</f>
        <v>8.9598484393061693</v>
      </c>
      <c r="DP19" s="2">
        <f>DO19+真實IC!DP19</f>
        <v>9.0999759186331133</v>
      </c>
      <c r="DQ19" s="2">
        <f>DP19+真實IC!DQ19</f>
        <v>9.2067778447333666</v>
      </c>
      <c r="DR19" s="2">
        <f>DQ19+真實IC!DR19</f>
        <v>9.2410692815004403</v>
      </c>
      <c r="DS19" s="2">
        <f>DR19+真實IC!DS19</f>
        <v>9.3143353243288303</v>
      </c>
      <c r="DT19" s="2">
        <f>DS19+真實IC!DT19</f>
        <v>9.3239381712189022</v>
      </c>
      <c r="DU19" s="2">
        <f>DT19+真實IC!DU19</f>
        <v>9.4617784247984975</v>
      </c>
      <c r="DV19" s="2">
        <f>DU19+真實IC!DV19</f>
        <v>9.6170328142130845</v>
      </c>
      <c r="DW19" s="2">
        <f>DV19+真實IC!DW19</f>
        <v>9.6078650430881467</v>
      </c>
      <c r="DX19" s="2">
        <f>DW19+真實IC!DX19</f>
        <v>9.8049767813156468</v>
      </c>
      <c r="DY19" s="2">
        <f>DX19+真實IC!DY19</f>
        <v>9.8541127315714707</v>
      </c>
      <c r="DZ19" s="2">
        <f>DY19+真實IC!DZ19</f>
        <v>9.8368357315623651</v>
      </c>
      <c r="EA19" s="2">
        <f>DZ19+真實IC!EA19</f>
        <v>9.8728616613340829</v>
      </c>
      <c r="EB19" s="2">
        <f>EA19+真實IC!EB19</f>
        <v>10.033004766994996</v>
      </c>
      <c r="EC19" s="2">
        <f>EB19+真實IC!EC19</f>
        <v>10.127888074790565</v>
      </c>
      <c r="ED19" s="2">
        <f>EC19+真實IC!ED19</f>
        <v>10.26717579361901</v>
      </c>
      <c r="EE19" s="2">
        <f>ED19+真實IC!EE19</f>
        <v>10.348529866769479</v>
      </c>
      <c r="EF19" s="2">
        <f>EE19+真實IC!EF19</f>
        <v>10.5091577769526</v>
      </c>
      <c r="EG19" s="2">
        <f>EF19+真實IC!EG19</f>
        <v>11.008185276172522</v>
      </c>
      <c r="EH19" s="2">
        <f>EG19+真實IC!EH19</f>
        <v>11.026023737545209</v>
      </c>
      <c r="EI19" s="2">
        <f>EH19+真實IC!EI19</f>
        <v>11.083416692466768</v>
      </c>
      <c r="EJ19" s="2">
        <f>EI19+真實IC!EJ19</f>
        <v>11.159940613982686</v>
      </c>
      <c r="EK19" s="2">
        <f>EJ19+真實IC!EK19</f>
        <v>11.328458146420591</v>
      </c>
      <c r="EL19" s="2">
        <f>EK19+真實IC!EL19</f>
        <v>11.383856324501915</v>
      </c>
    </row>
    <row r="20" spans="1:142" x14ac:dyDescent="0.3">
      <c r="A20" s="11"/>
      <c r="B20" s="11">
        <v>200</v>
      </c>
      <c r="C20" s="2">
        <v>0.241035745977561</v>
      </c>
      <c r="D20" s="2">
        <f>C20+真實IC!D20</f>
        <v>0.31537791040123309</v>
      </c>
      <c r="E20" s="2">
        <f>D20+真實IC!E20</f>
        <v>0.34433205267850675</v>
      </c>
      <c r="F20" s="2">
        <f>E20+真實IC!F20</f>
        <v>0.29805050221498897</v>
      </c>
      <c r="G20" s="2">
        <f>F20+真實IC!G20</f>
        <v>0.42567225422234317</v>
      </c>
      <c r="H20" s="2">
        <f>G20+真實IC!H20</f>
        <v>0.46598150236809088</v>
      </c>
      <c r="I20" s="2">
        <f>H20+真實IC!I20</f>
        <v>0.4622584720588081</v>
      </c>
      <c r="J20" s="2">
        <f>I20+真實IC!J20</f>
        <v>0.66829303027878906</v>
      </c>
      <c r="K20" s="2">
        <f>J20+真實IC!K20</f>
        <v>0.82509406905449656</v>
      </c>
      <c r="L20" s="2">
        <f>K20+真實IC!L20</f>
        <v>0.7609140856709995</v>
      </c>
      <c r="M20" s="2">
        <f>L20+真實IC!M20</f>
        <v>0.59761535111494735</v>
      </c>
      <c r="N20" s="2">
        <f>M20+真實IC!N20</f>
        <v>0.74688962023122707</v>
      </c>
      <c r="O20" s="2">
        <f>N20+真實IC!O20</f>
        <v>0.74241814500318559</v>
      </c>
      <c r="P20" s="2">
        <f>O20+真實IC!P20</f>
        <v>0.7252272060523276</v>
      </c>
      <c r="Q20" s="2">
        <f>P20+真實IC!Q20</f>
        <v>0.64915327216981633</v>
      </c>
      <c r="R20" s="2">
        <f>Q20+真實IC!R20</f>
        <v>0.56177355302270582</v>
      </c>
      <c r="S20" s="2">
        <f>R20+真實IC!S20</f>
        <v>0.63476812989999376</v>
      </c>
      <c r="T20" s="2">
        <f>S20+真實IC!T20</f>
        <v>0.61757486251242544</v>
      </c>
      <c r="U20" s="2">
        <f>T20+真實IC!U20</f>
        <v>0.59867576450359317</v>
      </c>
      <c r="V20" s="2">
        <f>U20+真實IC!V20</f>
        <v>0.6019655468968137</v>
      </c>
      <c r="W20" s="2">
        <f>V20+真實IC!W20</f>
        <v>0.76812958181769242</v>
      </c>
      <c r="X20" s="2">
        <f>W20+真實IC!X20</f>
        <v>0.97165854605658863</v>
      </c>
      <c r="Y20" s="2">
        <f>X20+真實IC!Y20</f>
        <v>1.0374698023819648</v>
      </c>
      <c r="Z20" s="2">
        <f>Y20+真實IC!Z20</f>
        <v>1.1940140076131827</v>
      </c>
      <c r="AA20" s="2">
        <f>Z20+真實IC!AA20</f>
        <v>1.3138929193315068</v>
      </c>
      <c r="AB20" s="2">
        <f>AA20+真實IC!AB20</f>
        <v>1.3905171377276335</v>
      </c>
      <c r="AC20" s="2">
        <f>AB20+真實IC!AC20</f>
        <v>1.4085935294400345</v>
      </c>
      <c r="AD20" s="2">
        <f>AC20+真實IC!AD20</f>
        <v>1.361005661609251</v>
      </c>
      <c r="AE20" s="2">
        <f>AD20+真實IC!AE20</f>
        <v>1.377419054587903</v>
      </c>
      <c r="AF20" s="2">
        <f>AE20+真實IC!AF20</f>
        <v>1.497028248058113</v>
      </c>
      <c r="AG20" s="2">
        <f>AF20+真實IC!AG20</f>
        <v>1.5537532754570236</v>
      </c>
      <c r="AH20" s="2">
        <f>AG20+真實IC!AH20</f>
        <v>1.5429694717002642</v>
      </c>
      <c r="AI20" s="2">
        <f>AH20+真實IC!AI20</f>
        <v>1.6096453103932067</v>
      </c>
      <c r="AJ20" s="2">
        <f>AI20+真實IC!AJ20</f>
        <v>1.6337623381408604</v>
      </c>
      <c r="AK20" s="2">
        <f>AJ20+真實IC!AK20</f>
        <v>1.7144519722352654</v>
      </c>
      <c r="AL20" s="2">
        <f>AK20+真實IC!AL20</f>
        <v>1.7973177902658388</v>
      </c>
      <c r="AM20" s="2">
        <f>AL20+真實IC!AM20</f>
        <v>1.7757266875158528</v>
      </c>
      <c r="AN20" s="2">
        <f>AM20+真實IC!AN20</f>
        <v>1.9254961111816196</v>
      </c>
      <c r="AO20" s="2">
        <f>AN20+真實IC!AO20</f>
        <v>2.0926863765281469</v>
      </c>
      <c r="AP20" s="2">
        <f>AO20+真實IC!AP20</f>
        <v>2.068582991617403</v>
      </c>
      <c r="AQ20" s="2">
        <f>AP20+真實IC!AQ20</f>
        <v>2.0032031823815362</v>
      </c>
      <c r="AR20" s="2">
        <f>AQ20+真實IC!AR20</f>
        <v>2.2048279480956907</v>
      </c>
      <c r="AS20" s="2">
        <f>AR20+真實IC!AS20</f>
        <v>2.149510396991865</v>
      </c>
      <c r="AT20" s="2">
        <f>AS20+真實IC!AT20</f>
        <v>2.2554012302402913</v>
      </c>
      <c r="AU20" s="2">
        <f>AT20+真實IC!AU20</f>
        <v>2.4152231529384851</v>
      </c>
      <c r="AV20" s="2">
        <f>AU20+真實IC!AV20</f>
        <v>2.4948130744331292</v>
      </c>
      <c r="AW20" s="2">
        <f>AV20+真實IC!AW20</f>
        <v>2.5073768928156435</v>
      </c>
      <c r="AX20" s="2">
        <f>AW20+真實IC!AX20</f>
        <v>2.6998472153568134</v>
      </c>
      <c r="AY20" s="2">
        <f>AX20+真實IC!AY20</f>
        <v>2.6925657730941142</v>
      </c>
      <c r="AZ20" s="2">
        <f>AY20+真實IC!AZ20</f>
        <v>2.7479162063643101</v>
      </c>
      <c r="BA20" s="2">
        <f>AZ20+真實IC!BA20</f>
        <v>2.9380865084829422</v>
      </c>
      <c r="BB20" s="2">
        <f>BA20+真實IC!BB20</f>
        <v>3.104779722205127</v>
      </c>
      <c r="BC20" s="2">
        <f>BB20+真實IC!BC20</f>
        <v>3.1136247095119955</v>
      </c>
      <c r="BD20" s="2">
        <f>BC20+真實IC!BD20</f>
        <v>3.1393177533602694</v>
      </c>
      <c r="BE20" s="2">
        <f>BD20+真實IC!BE20</f>
        <v>3.2076315143254015</v>
      </c>
      <c r="BF20" s="2">
        <f>BE20+真實IC!BF20</f>
        <v>3.3050830477804931</v>
      </c>
      <c r="BG20" s="2">
        <f>BF20+真實IC!BG20</f>
        <v>3.4419360459274375</v>
      </c>
      <c r="BH20" s="2">
        <f>BG20+真實IC!BH20</f>
        <v>3.4175843898335665</v>
      </c>
      <c r="BI20" s="2">
        <f>BH20+真實IC!BI20</f>
        <v>3.5614073926402008</v>
      </c>
      <c r="BJ20" s="2">
        <f>BI20+真實IC!BJ20</f>
        <v>3.7054914609821985</v>
      </c>
      <c r="BK20" s="2">
        <f>BJ20+真實IC!BK20</f>
        <v>3.712636626365287</v>
      </c>
      <c r="BL20" s="2">
        <f>BK20+真實IC!BL20</f>
        <v>3.7676609286698408</v>
      </c>
      <c r="BM20" s="2">
        <f>BL20+真實IC!BM20</f>
        <v>3.7820722997118494</v>
      </c>
      <c r="BN20" s="2">
        <f>BM20+真實IC!BN20</f>
        <v>3.7550146824349588</v>
      </c>
      <c r="BO20" s="2">
        <f>BN20+真實IC!BO20</f>
        <v>3.7338779017810513</v>
      </c>
      <c r="BP20" s="2">
        <f>BO20+真實IC!BP20</f>
        <v>3.7450321987442843</v>
      </c>
      <c r="BQ20" s="2">
        <f>BP20+真實IC!BQ20</f>
        <v>3.804867383332371</v>
      </c>
      <c r="BR20" s="2">
        <f>BQ20+真實IC!BR20</f>
        <v>3.9513541366234533</v>
      </c>
      <c r="BS20" s="2">
        <f>BR20+真實IC!BS20</f>
        <v>3.9896063349330895</v>
      </c>
      <c r="BT20" s="2">
        <f>BS20+真實IC!BT20</f>
        <v>4.0409947971528117</v>
      </c>
      <c r="BU20" s="2">
        <f>BT20+真實IC!BU20</f>
        <v>4.1446361563756726</v>
      </c>
      <c r="BV20" s="2">
        <f>BU20+真實IC!BV20</f>
        <v>4.2168644825171535</v>
      </c>
      <c r="BW20" s="2">
        <f>BV20+真實IC!BW20</f>
        <v>4.795229198914595</v>
      </c>
      <c r="BX20" s="2">
        <f>BW20+真實IC!BX20</f>
        <v>4.806640090391193</v>
      </c>
      <c r="BY20" s="2">
        <f>BX20+真實IC!BY20</f>
        <v>5.0083346367842783</v>
      </c>
      <c r="BZ20" s="2">
        <f>BY20+真實IC!BZ20</f>
        <v>5.1644479471946836</v>
      </c>
      <c r="CA20" s="2">
        <f>BZ20+真實IC!CA20</f>
        <v>5.1328268040795519</v>
      </c>
      <c r="CB20" s="2">
        <f>CA20+真實IC!CB20</f>
        <v>5.1503973269307579</v>
      </c>
      <c r="CC20" s="2">
        <f>CB20+真實IC!CC20</f>
        <v>5.199045938474212</v>
      </c>
      <c r="CD20" s="2">
        <f>CC20+真實IC!CD20</f>
        <v>5.3787315111851441</v>
      </c>
      <c r="CE20" s="2">
        <f>CD20+真實IC!CE20</f>
        <v>5.5097458392554142</v>
      </c>
      <c r="CF20" s="2">
        <f>CE20+真實IC!CF20</f>
        <v>5.5020337760438371</v>
      </c>
      <c r="CG20" s="2">
        <f>CF20+真實IC!CG20</f>
        <v>5.6352321661871398</v>
      </c>
      <c r="CH20" s="2">
        <f>CG20+真實IC!CH20</f>
        <v>5.8271455645903432</v>
      </c>
      <c r="CI20" s="2">
        <f>CH20+真實IC!CI20</f>
        <v>5.8846565259714074</v>
      </c>
      <c r="CJ20" s="2">
        <f>CI20+真實IC!CJ20</f>
        <v>5.8652007338515544</v>
      </c>
      <c r="CK20" s="2">
        <f>CJ20+真實IC!CK20</f>
        <v>5.9686934853571296</v>
      </c>
      <c r="CL20" s="2">
        <f>CK20+真實IC!CL20</f>
        <v>6.0924930781135425</v>
      </c>
      <c r="CM20" s="2">
        <f>CL20+真實IC!CM20</f>
        <v>6.0782311582947717</v>
      </c>
      <c r="CN20" s="2">
        <f>CM20+真實IC!CN20</f>
        <v>6.5155028069100798</v>
      </c>
      <c r="CO20" s="2">
        <f>CN20+真實IC!CO20</f>
        <v>6.8170238444011781</v>
      </c>
      <c r="CP20" s="2">
        <f>CO20+真實IC!CP20</f>
        <v>6.9614648704830735</v>
      </c>
      <c r="CQ20" s="2">
        <f>CP20+真實IC!CQ20</f>
        <v>7.0948788397976932</v>
      </c>
      <c r="CR20" s="2">
        <f>CQ20+真實IC!CR20</f>
        <v>7.1898290021917077</v>
      </c>
      <c r="CS20" s="2">
        <f>CR20+真實IC!CS20</f>
        <v>7.2938787246121022</v>
      </c>
      <c r="CT20" s="2">
        <f>CS20+真實IC!CT20</f>
        <v>7.2439280182614194</v>
      </c>
      <c r="CU20" s="2">
        <f>CT20+真實IC!CU20</f>
        <v>7.4535317323878951</v>
      </c>
      <c r="CV20" s="2">
        <f>CU20+真實IC!CV20</f>
        <v>7.5442626336641725</v>
      </c>
      <c r="CW20" s="2">
        <f>CV20+真實IC!CW20</f>
        <v>7.6482120318849711</v>
      </c>
      <c r="CX20" s="2">
        <f>CW20+真實IC!CX20</f>
        <v>7.7375085920243896</v>
      </c>
      <c r="CY20" s="2">
        <f>CX20+真實IC!CY20</f>
        <v>7.7598236283721</v>
      </c>
      <c r="CZ20" s="2">
        <f>CY20+真實IC!CZ20</f>
        <v>8.0425511467410917</v>
      </c>
      <c r="DA20" s="2">
        <f>CZ20+真實IC!DA20</f>
        <v>8.1195865221563217</v>
      </c>
      <c r="DB20" s="2">
        <f>DA20+真實IC!DB20</f>
        <v>8.5584412244081438</v>
      </c>
      <c r="DC20" s="2">
        <f>DB20+真實IC!DC20</f>
        <v>8.5521720892465609</v>
      </c>
      <c r="DD20" s="2">
        <f>DC20+真實IC!DD20</f>
        <v>8.6938816260652558</v>
      </c>
      <c r="DE20" s="2">
        <f>DD20+真實IC!DE20</f>
        <v>8.797227452751871</v>
      </c>
      <c r="DF20" s="2">
        <f>DE20+真實IC!DF20</f>
        <v>9.0132717581104433</v>
      </c>
      <c r="DG20" s="2">
        <f>DF20+真實IC!DG20</f>
        <v>9.0926075407987916</v>
      </c>
      <c r="DH20" s="2">
        <f>DG20+真實IC!DH20</f>
        <v>9.1389055314741885</v>
      </c>
      <c r="DI20" s="2">
        <f>DH20+真實IC!DI20</f>
        <v>9.086426734346146</v>
      </c>
      <c r="DJ20" s="2">
        <f>DI20+真實IC!DJ20</f>
        <v>9.1300182486493409</v>
      </c>
      <c r="DK20" s="2">
        <f>DJ20+真實IC!DK20</f>
        <v>9.121362089293962</v>
      </c>
      <c r="DL20" s="2">
        <f>DK20+真實IC!DL20</f>
        <v>9.1427927898733721</v>
      </c>
      <c r="DM20" s="2">
        <f>DL20+真實IC!DM20</f>
        <v>9.2547889248106951</v>
      </c>
      <c r="DN20" s="2">
        <f>DM20+真實IC!DN20</f>
        <v>9.2698737970347338</v>
      </c>
      <c r="DO20" s="2">
        <f>DN20+真實IC!DO20</f>
        <v>9.3918095069857852</v>
      </c>
      <c r="DP20" s="2">
        <f>DO20+真實IC!DP20</f>
        <v>9.5188330410592314</v>
      </c>
      <c r="DQ20" s="2">
        <f>DP20+真實IC!DQ20</f>
        <v>9.6293568099724425</v>
      </c>
      <c r="DR20" s="2">
        <f>DQ20+真實IC!DR20</f>
        <v>9.6606705650348026</v>
      </c>
      <c r="DS20" s="2">
        <f>DR20+真實IC!DS20</f>
        <v>9.5928240624049561</v>
      </c>
      <c r="DT20" s="2">
        <f>DS20+真實IC!DT20</f>
        <v>9.6043690824444639</v>
      </c>
      <c r="DU20" s="2">
        <f>DT20+真實IC!DU20</f>
        <v>9.7506702955863105</v>
      </c>
      <c r="DV20" s="2">
        <f>DU20+真實IC!DV20</f>
        <v>9.8965963099117715</v>
      </c>
      <c r="DW20" s="2">
        <f>DV20+真實IC!DW20</f>
        <v>9.8439795139699342</v>
      </c>
      <c r="DX20" s="2">
        <f>DW20+真實IC!DX20</f>
        <v>10.092890996362618</v>
      </c>
      <c r="DY20" s="2">
        <f>DX20+真實IC!DY20</f>
        <v>10.152761292029805</v>
      </c>
      <c r="DZ20" s="2">
        <f>DY20+真實IC!DZ20</f>
        <v>10.153710066787635</v>
      </c>
      <c r="EA20" s="2">
        <f>DZ20+真實IC!EA20</f>
        <v>10.170914843564425</v>
      </c>
      <c r="EB20" s="2">
        <f>EA20+真實IC!EB20</f>
        <v>10.341916208923895</v>
      </c>
      <c r="EC20" s="2">
        <f>EB20+真實IC!EC20</f>
        <v>10.471255365406812</v>
      </c>
      <c r="ED20" s="2">
        <f>EC20+真實IC!ED20</f>
        <v>10.598051227883769</v>
      </c>
      <c r="EE20" s="2">
        <f>ED20+真實IC!EE20</f>
        <v>10.672277488510463</v>
      </c>
      <c r="EF20" s="2">
        <f>EE20+真實IC!EF20</f>
        <v>10.798097212801856</v>
      </c>
      <c r="EG20" s="2">
        <f>EF20+真實IC!EG20</f>
        <v>11.323767614492928</v>
      </c>
      <c r="EH20" s="2">
        <f>EG20+真實IC!EH20</f>
        <v>11.349575546789405</v>
      </c>
      <c r="EI20" s="2">
        <f>EH20+真實IC!EI20</f>
        <v>11.378801678275277</v>
      </c>
      <c r="EJ20" s="2">
        <f>EI20+真實IC!EJ20</f>
        <v>11.469241431717245</v>
      </c>
      <c r="EK20" s="2">
        <f>EJ20+真實IC!EK20</f>
        <v>11.643850669169847</v>
      </c>
      <c r="EL20" s="2">
        <f>EK20+真實IC!EL20</f>
        <v>11.70441142816165</v>
      </c>
    </row>
    <row r="21" spans="1:142" x14ac:dyDescent="0.3">
      <c r="A21" s="11"/>
      <c r="B21" s="11">
        <v>256</v>
      </c>
      <c r="C21" s="2">
        <v>0.2490064650579937</v>
      </c>
      <c r="D21" s="2">
        <f>C21+真實IC!D21</f>
        <v>0.3065131219121256</v>
      </c>
      <c r="E21" s="2">
        <f>D21+真實IC!E21</f>
        <v>0.34309352027809925</v>
      </c>
      <c r="F21" s="2">
        <f>E21+真實IC!F21</f>
        <v>0.23059187980619483</v>
      </c>
      <c r="G21" s="2">
        <f>F21+真實IC!G21</f>
        <v>0.37586702236986713</v>
      </c>
      <c r="H21" s="2">
        <f>G21+真實IC!H21</f>
        <v>0.33622179613191089</v>
      </c>
      <c r="I21" s="2">
        <f>H21+真實IC!I21</f>
        <v>0.24930734763207196</v>
      </c>
      <c r="J21" s="2">
        <f>I21+真實IC!J21</f>
        <v>0.48076856873991086</v>
      </c>
      <c r="K21" s="2">
        <f>J21+真實IC!K21</f>
        <v>0.56683942779418806</v>
      </c>
      <c r="L21" s="2">
        <f>K21+真實IC!L21</f>
        <v>0.48979940686894863</v>
      </c>
      <c r="M21" s="2">
        <f>L21+真實IC!M21</f>
        <v>0.2384588116676829</v>
      </c>
      <c r="N21" s="2">
        <f>M21+真實IC!N21</f>
        <v>0.3693255922923695</v>
      </c>
      <c r="O21" s="2">
        <f>N21+真實IC!O21</f>
        <v>0.43863257171172393</v>
      </c>
      <c r="P21" s="2">
        <f>O21+真實IC!P21</f>
        <v>0.38687687221849792</v>
      </c>
      <c r="Q21" s="2">
        <f>P21+真實IC!Q21</f>
        <v>0.28888837328366979</v>
      </c>
      <c r="R21" s="2">
        <f>Q21+真實IC!R21</f>
        <v>0.18710367094140479</v>
      </c>
      <c r="S21" s="2">
        <f>R21+真實IC!S21</f>
        <v>0.27143246616171313</v>
      </c>
      <c r="T21" s="2">
        <f>S21+真實IC!T21</f>
        <v>0.20767420565627553</v>
      </c>
      <c r="U21" s="2">
        <f>T21+真實IC!U21</f>
        <v>0.17215021313605572</v>
      </c>
      <c r="V21" s="2">
        <f>U21+真實IC!V21</f>
        <v>0.15704687098232792</v>
      </c>
      <c r="W21" s="2">
        <f>V21+真實IC!W21</f>
        <v>0.32251691760889556</v>
      </c>
      <c r="X21" s="2">
        <f>W21+真實IC!X21</f>
        <v>0.56519245872444301</v>
      </c>
      <c r="Y21" s="2">
        <f>X21+真實IC!Y21</f>
        <v>0.67194078107618216</v>
      </c>
      <c r="Z21" s="2">
        <f>Y21+真實IC!Z21</f>
        <v>0.87520980731058884</v>
      </c>
      <c r="AA21" s="2">
        <f>Z21+真實IC!AA21</f>
        <v>1.0276877635936232</v>
      </c>
      <c r="AB21" s="2">
        <f>AA21+真實IC!AB21</f>
        <v>1.1307232623429391</v>
      </c>
      <c r="AC21" s="2">
        <f>AB21+真實IC!AC21</f>
        <v>1.1744813843885675</v>
      </c>
      <c r="AD21" s="2">
        <f>AC21+真實IC!AD21</f>
        <v>1.1531937108138879</v>
      </c>
      <c r="AE21" s="2">
        <f>AD21+真實IC!AE21</f>
        <v>1.1478641965848375</v>
      </c>
      <c r="AF21" s="2">
        <f>AE21+真實IC!AF21</f>
        <v>1.2209083251133199</v>
      </c>
      <c r="AG21" s="2">
        <f>AF21+真實IC!AG21</f>
        <v>1.2484849410952126</v>
      </c>
      <c r="AH21" s="2">
        <f>AG21+真實IC!AH21</f>
        <v>1.2349973493267752</v>
      </c>
      <c r="AI21" s="2">
        <f>AH21+真實IC!AI21</f>
        <v>1.2908266540841236</v>
      </c>
      <c r="AJ21" s="2">
        <f>AI21+真實IC!AJ21</f>
        <v>1.3332963748650972</v>
      </c>
      <c r="AK21" s="2">
        <f>AJ21+真實IC!AK21</f>
        <v>1.383486468895015</v>
      </c>
      <c r="AL21" s="2">
        <f>AK21+真實IC!AL21</f>
        <v>1.4690339114393989</v>
      </c>
      <c r="AM21" s="2">
        <f>AL21+真實IC!AM21</f>
        <v>1.4655320348722691</v>
      </c>
      <c r="AN21" s="2">
        <f>AM21+真實IC!AN21</f>
        <v>1.6059724535037541</v>
      </c>
      <c r="AO21" s="2">
        <f>AN21+真實IC!AO21</f>
        <v>1.8035894739018954</v>
      </c>
      <c r="AP21" s="2">
        <f>AO21+真實IC!AP21</f>
        <v>1.8070795883169422</v>
      </c>
      <c r="AQ21" s="2">
        <f>AP21+真實IC!AQ21</f>
        <v>1.7674186482743084</v>
      </c>
      <c r="AR21" s="2">
        <f>AQ21+真實IC!AR21</f>
        <v>1.8955734655927143</v>
      </c>
      <c r="AS21" s="2">
        <f>AR21+真實IC!AS21</f>
        <v>1.7878133964476668</v>
      </c>
      <c r="AT21" s="2">
        <f>AS21+真實IC!AT21</f>
        <v>1.9733172985041181</v>
      </c>
      <c r="AU21" s="2">
        <f>AT21+真實IC!AU21</f>
        <v>2.1842634510421912</v>
      </c>
      <c r="AV21" s="2">
        <f>AU21+真實IC!AV21</f>
        <v>2.2647978062207446</v>
      </c>
      <c r="AW21" s="2">
        <f>AV21+真實IC!AW21</f>
        <v>2.3079814121010163</v>
      </c>
      <c r="AX21" s="2">
        <f>AW21+真實IC!AX21</f>
        <v>2.5144880138060186</v>
      </c>
      <c r="AY21" s="2">
        <f>AX21+真實IC!AY21</f>
        <v>2.464257833650406</v>
      </c>
      <c r="AZ21" s="2">
        <f>AY21+真實IC!AZ21</f>
        <v>2.4988324585990886</v>
      </c>
      <c r="BA21" s="2">
        <f>AZ21+真實IC!BA21</f>
        <v>2.7174361665016136</v>
      </c>
      <c r="BB21" s="2">
        <f>BA21+真實IC!BB21</f>
        <v>2.8890453181567084</v>
      </c>
      <c r="BC21" s="2">
        <f>BB21+真實IC!BC21</f>
        <v>2.8894569024823418</v>
      </c>
      <c r="BD21" s="2">
        <f>BC21+真實IC!BD21</f>
        <v>2.9297540443675159</v>
      </c>
      <c r="BE21" s="2">
        <f>BD21+真實IC!BE21</f>
        <v>3.0151653571165475</v>
      </c>
      <c r="BF21" s="2">
        <f>BE21+真實IC!BF21</f>
        <v>3.0882151630698567</v>
      </c>
      <c r="BG21" s="2">
        <f>BF21+真實IC!BG21</f>
        <v>3.1468862624735743</v>
      </c>
      <c r="BH21" s="2">
        <f>BG21+真實IC!BH21</f>
        <v>3.0928529464743959</v>
      </c>
      <c r="BI21" s="2">
        <f>BH21+真實IC!BI21</f>
        <v>3.2230941796013086</v>
      </c>
      <c r="BJ21" s="2">
        <f>BI21+真實IC!BJ21</f>
        <v>3.1793547326248075</v>
      </c>
      <c r="BK21" s="2">
        <f>BJ21+真實IC!BK21</f>
        <v>3.1991724935323815</v>
      </c>
      <c r="BL21" s="2">
        <f>BK21+真實IC!BL21</f>
        <v>3.2730708545871634</v>
      </c>
      <c r="BM21" s="2">
        <f>BL21+真實IC!BM21</f>
        <v>3.2941014212856912</v>
      </c>
      <c r="BN21" s="2">
        <f>BM21+真實IC!BN21</f>
        <v>3.2471927795965252</v>
      </c>
      <c r="BO21" s="2">
        <f>BN21+真實IC!BO21</f>
        <v>3.2238634300446321</v>
      </c>
      <c r="BP21" s="2">
        <f>BO21+真實IC!BP21</f>
        <v>3.2311191331600901</v>
      </c>
      <c r="BQ21" s="2">
        <f>BP21+真實IC!BQ21</f>
        <v>3.284120934456964</v>
      </c>
      <c r="BR21" s="2">
        <f>BQ21+真實IC!BR21</f>
        <v>3.4002013820063959</v>
      </c>
      <c r="BS21" s="2">
        <f>BR21+真實IC!BS21</f>
        <v>3.4304419373984678</v>
      </c>
      <c r="BT21" s="2">
        <f>BS21+真實IC!BT21</f>
        <v>3.5013450430824666</v>
      </c>
      <c r="BU21" s="2">
        <f>BT21+真實IC!BU21</f>
        <v>3.6219906623420912</v>
      </c>
      <c r="BV21" s="2">
        <f>BU21+真實IC!BV21</f>
        <v>3.715741657855669</v>
      </c>
      <c r="BW21" s="2">
        <f>BV21+真實IC!BW21</f>
        <v>4.4598805728176547</v>
      </c>
      <c r="BX21" s="2">
        <f>BW21+真實IC!BX21</f>
        <v>4.471745134722064</v>
      </c>
      <c r="BY21" s="2">
        <f>BX21+真實IC!BY21</f>
        <v>4.6174456359288722</v>
      </c>
      <c r="BZ21" s="2">
        <f>BY21+真實IC!BZ21</f>
        <v>4.7529845180806296</v>
      </c>
      <c r="CA21" s="2">
        <f>BZ21+真實IC!CA21</f>
        <v>4.6885590659552516</v>
      </c>
      <c r="CB21" s="2">
        <f>CA21+真實IC!CB21</f>
        <v>4.7026670807188049</v>
      </c>
      <c r="CC21" s="2">
        <f>CB21+真實IC!CC21</f>
        <v>4.7162909145402132</v>
      </c>
      <c r="CD21" s="2">
        <f>CC21+真實IC!CD21</f>
        <v>4.8920214140515856</v>
      </c>
      <c r="CE21" s="2">
        <f>CD21+真實IC!CE21</f>
        <v>4.9903911498945925</v>
      </c>
      <c r="CF21" s="2">
        <f>CE21+真實IC!CF21</f>
        <v>4.9498020391262179</v>
      </c>
      <c r="CG21" s="2">
        <f>CF21+真實IC!CG21</f>
        <v>5.1090756337030578</v>
      </c>
      <c r="CH21" s="2">
        <f>CG21+真實IC!CH21</f>
        <v>5.3623699744495541</v>
      </c>
      <c r="CI21" s="2">
        <f>CH21+真實IC!CI21</f>
        <v>5.4278765247528247</v>
      </c>
      <c r="CJ21" s="2">
        <f>CI21+真實IC!CJ21</f>
        <v>5.4483399419225167</v>
      </c>
      <c r="CK21" s="2">
        <f>CJ21+真實IC!CK21</f>
        <v>5.5304696212745927</v>
      </c>
      <c r="CL21" s="2">
        <f>CK21+真實IC!CL21</f>
        <v>5.6840690954870849</v>
      </c>
      <c r="CM21" s="2">
        <f>CL21+真實IC!CM21</f>
        <v>5.669755534939017</v>
      </c>
      <c r="CN21" s="2">
        <f>CM21+真實IC!CN21</f>
        <v>6.0185659175634738</v>
      </c>
      <c r="CO21" s="2">
        <f>CN21+真實IC!CO21</f>
        <v>6.4012148942446885</v>
      </c>
      <c r="CP21" s="2">
        <f>CO21+真實IC!CP21</f>
        <v>6.5483524053190036</v>
      </c>
      <c r="CQ21" s="2">
        <f>CP21+真實IC!CQ21</f>
        <v>6.7209646091916353</v>
      </c>
      <c r="CR21" s="2">
        <f>CQ21+真實IC!CR21</f>
        <v>6.8309937767146822</v>
      </c>
      <c r="CS21" s="2">
        <f>CR21+真實IC!CS21</f>
        <v>6.9086683751436544</v>
      </c>
      <c r="CT21" s="2">
        <f>CS21+真實IC!CT21</f>
        <v>6.8502281389638195</v>
      </c>
      <c r="CU21" s="2">
        <f>CT21+真實IC!CU21</f>
        <v>7.0535001300336981</v>
      </c>
      <c r="CV21" s="2">
        <f>CU21+真實IC!CV21</f>
        <v>7.1776983058119557</v>
      </c>
      <c r="CW21" s="2">
        <f>CV21+真實IC!CW21</f>
        <v>7.2350171992557044</v>
      </c>
      <c r="CX21" s="2">
        <f>CW21+真實IC!CX21</f>
        <v>7.3250020036594687</v>
      </c>
      <c r="CY21" s="2">
        <f>CX21+真實IC!CY21</f>
        <v>7.3569060560651671</v>
      </c>
      <c r="CZ21" s="2">
        <f>CY21+真實IC!CZ21</f>
        <v>7.7105640666282946</v>
      </c>
      <c r="DA21" s="2">
        <f>CZ21+真實IC!DA21</f>
        <v>7.8747597813376125</v>
      </c>
      <c r="DB21" s="2">
        <f>DA21+真實IC!DB21</f>
        <v>8.4175442972262573</v>
      </c>
      <c r="DC21" s="2">
        <f>DB21+真實IC!DC21</f>
        <v>8.445372276649735</v>
      </c>
      <c r="DD21" s="2">
        <f>DC21+真實IC!DD21</f>
        <v>8.5926655672782797</v>
      </c>
      <c r="DE21" s="2">
        <f>DD21+真實IC!DE21</f>
        <v>8.7132447937941251</v>
      </c>
      <c r="DF21" s="2">
        <f>DE21+真實IC!DF21</f>
        <v>8.8729243468053927</v>
      </c>
      <c r="DG21" s="2">
        <f>DF21+真實IC!DG21</f>
        <v>8.9763633227865895</v>
      </c>
      <c r="DH21" s="2">
        <f>DG21+真實IC!DH21</f>
        <v>9.0344180637815708</v>
      </c>
      <c r="DI21" s="2">
        <f>DH21+真實IC!DI21</f>
        <v>8.9459277689901455</v>
      </c>
      <c r="DJ21" s="2">
        <f>DI21+真實IC!DJ21</f>
        <v>8.9798084852455027</v>
      </c>
      <c r="DK21" s="2">
        <f>DJ21+真實IC!DK21</f>
        <v>8.9718371821630001</v>
      </c>
      <c r="DL21" s="2">
        <f>DK21+真實IC!DL21</f>
        <v>8.9796281072178683</v>
      </c>
      <c r="DM21" s="2">
        <f>DL21+真實IC!DM21</f>
        <v>9.0070010785189929</v>
      </c>
      <c r="DN21" s="2">
        <f>DM21+真實IC!DN21</f>
        <v>9.0008073776919169</v>
      </c>
      <c r="DO21" s="2">
        <f>DN21+真實IC!DO21</f>
        <v>9.0920788873611933</v>
      </c>
      <c r="DP21" s="2">
        <f>DO21+真實IC!DP21</f>
        <v>9.2013636210577285</v>
      </c>
      <c r="DQ21" s="2">
        <f>DP21+真實IC!DQ21</f>
        <v>9.3167399073629635</v>
      </c>
      <c r="DR21" s="2">
        <f>DQ21+真實IC!DR21</f>
        <v>9.354555838133491</v>
      </c>
      <c r="DS21" s="2">
        <f>DR21+真實IC!DS21</f>
        <v>9.2428463453715626</v>
      </c>
      <c r="DT21" s="2">
        <f>DS21+真實IC!DT21</f>
        <v>9.2550600479017682</v>
      </c>
      <c r="DU21" s="2">
        <f>DT21+真實IC!DU21</f>
        <v>9.4247292176908459</v>
      </c>
      <c r="DV21" s="2">
        <f>DU21+真實IC!DV21</f>
        <v>9.5789697518502681</v>
      </c>
      <c r="DW21" s="2">
        <f>DV21+真實IC!DW21</f>
        <v>9.4989350959803929</v>
      </c>
      <c r="DX21" s="2">
        <f>DW21+真實IC!DX21</f>
        <v>9.7877623469230564</v>
      </c>
      <c r="DY21" s="2">
        <f>DX21+真實IC!DY21</f>
        <v>9.8732663448049323</v>
      </c>
      <c r="DZ21" s="2">
        <f>DY21+真實IC!DZ21</f>
        <v>9.8453864154865336</v>
      </c>
      <c r="EA21" s="2">
        <f>DZ21+真實IC!EA21</f>
        <v>9.8281246949663359</v>
      </c>
      <c r="EB21" s="2">
        <f>EA21+真實IC!EB21</f>
        <v>9.9416087372342083</v>
      </c>
      <c r="EC21" s="2">
        <f>EB21+真實IC!EC21</f>
        <v>10.064363888837992</v>
      </c>
      <c r="ED21" s="2">
        <f>EC21+真實IC!ED21</f>
        <v>10.194437549618163</v>
      </c>
      <c r="EE21" s="2">
        <f>ED21+真實IC!EE21</f>
        <v>10.271217189922968</v>
      </c>
      <c r="EF21" s="2">
        <f>EE21+真實IC!EF21</f>
        <v>10.413289547351589</v>
      </c>
      <c r="EG21" s="2">
        <f>EF21+真實IC!EG21</f>
        <v>11.058200128337772</v>
      </c>
      <c r="EH21" s="2">
        <f>EG21+真實IC!EH21</f>
        <v>11.074922547742561</v>
      </c>
      <c r="EI21" s="2">
        <f>EH21+真實IC!EI21</f>
        <v>11.154490461315362</v>
      </c>
      <c r="EJ21" s="2">
        <f>EI21+真實IC!EJ21</f>
        <v>11.261775245293464</v>
      </c>
      <c r="EK21" s="2">
        <f>EJ21+真實IC!EK21</f>
        <v>11.492569642377982</v>
      </c>
      <c r="EL21" s="2">
        <f>EK21+真實IC!EL21</f>
        <v>11.504929229610283</v>
      </c>
    </row>
    <row r="22" spans="1:142" x14ac:dyDescent="0.3">
      <c r="A22" s="11"/>
      <c r="B22" s="11">
        <v>400</v>
      </c>
      <c r="C22" s="2">
        <v>0.28886619116808843</v>
      </c>
      <c r="D22" s="2">
        <f>C22+真實IC!D22</f>
        <v>0.38594482626239129</v>
      </c>
      <c r="E22" s="2">
        <f>D22+真實IC!E22</f>
        <v>0.44242825648012674</v>
      </c>
      <c r="F22" s="2">
        <f>E22+真實IC!F22</f>
        <v>0.21615655651888532</v>
      </c>
      <c r="G22" s="2">
        <f>F22+真實IC!G22</f>
        <v>0.317678012267676</v>
      </c>
      <c r="H22" s="2">
        <f>G22+真實IC!H22</f>
        <v>0.25375074023065902</v>
      </c>
      <c r="I22" s="2">
        <f>H22+真實IC!I22</f>
        <v>0.14205804689322044</v>
      </c>
      <c r="J22" s="2">
        <f>I22+真實IC!J22</f>
        <v>0.32941004753718262</v>
      </c>
      <c r="K22" s="2">
        <f>J22+真實IC!K22</f>
        <v>0.42959882677828704</v>
      </c>
      <c r="L22" s="2">
        <f>K22+真實IC!L22</f>
        <v>0.32644587537845665</v>
      </c>
      <c r="M22" s="2">
        <f>L22+真實IC!M22</f>
        <v>0.3523104457084853</v>
      </c>
      <c r="N22" s="2">
        <f>M22+真實IC!N22</f>
        <v>0.49655520050028168</v>
      </c>
      <c r="O22" s="2">
        <f>N22+真實IC!O22</f>
        <v>0.5759722492999827</v>
      </c>
      <c r="P22" s="2">
        <f>O22+真實IC!P22</f>
        <v>0.53625156592093104</v>
      </c>
      <c r="Q22" s="2">
        <f>P22+真實IC!Q22</f>
        <v>0.42906790510998061</v>
      </c>
      <c r="R22" s="2">
        <f>Q22+真實IC!R22</f>
        <v>0.30361166963209407</v>
      </c>
      <c r="S22" s="2">
        <f>R22+真實IC!S22</f>
        <v>0.45367461117096886</v>
      </c>
      <c r="T22" s="2">
        <f>S22+真實IC!T22</f>
        <v>0.32484982620169078</v>
      </c>
      <c r="U22" s="2">
        <f>T22+真實IC!U22</f>
        <v>0.3927735107918352</v>
      </c>
      <c r="V22" s="2">
        <f>U22+真實IC!V22</f>
        <v>0.40704726533229058</v>
      </c>
      <c r="W22" s="2">
        <f>V22+真實IC!W22</f>
        <v>0.57878038471286453</v>
      </c>
      <c r="X22" s="2">
        <f>W22+真實IC!X22</f>
        <v>0.8118355965214834</v>
      </c>
      <c r="Y22" s="2">
        <f>X22+真實IC!Y22</f>
        <v>0.96705007730595094</v>
      </c>
      <c r="Z22" s="2">
        <f>Y22+真實IC!Z22</f>
        <v>1.1678118273635989</v>
      </c>
      <c r="AA22" s="2">
        <f>Z22+真實IC!AA22</f>
        <v>1.3063083257198616</v>
      </c>
      <c r="AB22" s="2">
        <f>AA22+真實IC!AB22</f>
        <v>1.3911350189916238</v>
      </c>
      <c r="AC22" s="2">
        <f>AB22+真實IC!AC22</f>
        <v>1.4969090843466013</v>
      </c>
      <c r="AD22" s="2">
        <f>AC22+真實IC!AD22</f>
        <v>1.4967718057293844</v>
      </c>
      <c r="AE22" s="2">
        <f>AD22+真實IC!AE22</f>
        <v>1.5159480656659778</v>
      </c>
      <c r="AF22" s="2">
        <f>AE22+真實IC!AF22</f>
        <v>1.5389841325792246</v>
      </c>
      <c r="AG22" s="2">
        <f>AF22+真實IC!AG22</f>
        <v>1.5723350634751054</v>
      </c>
      <c r="AH22" s="2">
        <f>AG22+真實IC!AH22</f>
        <v>1.5340486900881913</v>
      </c>
      <c r="AI22" s="2">
        <f>AH22+真實IC!AI22</f>
        <v>1.5876259260352037</v>
      </c>
      <c r="AJ22" s="2">
        <f>AI22+真實IC!AJ22</f>
        <v>1.646436613032308</v>
      </c>
      <c r="AK22" s="2">
        <f>AJ22+真實IC!AK22</f>
        <v>1.6933929830058645</v>
      </c>
      <c r="AL22" s="2">
        <f>AK22+真實IC!AL22</f>
        <v>1.8162814643930525</v>
      </c>
      <c r="AM22" s="2">
        <f>AL22+真實IC!AM22</f>
        <v>1.7815085573061511</v>
      </c>
      <c r="AN22" s="2">
        <f>AM22+真實IC!AN22</f>
        <v>1.9401682083342191</v>
      </c>
      <c r="AO22" s="2">
        <f>AN22+真實IC!AO22</f>
        <v>2.1072747435564985</v>
      </c>
      <c r="AP22" s="2">
        <f>AO22+真實IC!AP22</f>
        <v>2.0719207133930229</v>
      </c>
      <c r="AQ22" s="2">
        <f>AP22+真實IC!AQ22</f>
        <v>2.0362445220882188</v>
      </c>
      <c r="AR22" s="2">
        <f>AQ22+真實IC!AR22</f>
        <v>2.1429507834453854</v>
      </c>
      <c r="AS22" s="2">
        <f>AR22+真實IC!AS22</f>
        <v>2.1084772936080411</v>
      </c>
      <c r="AT22" s="2">
        <f>AS22+真實IC!AT22</f>
        <v>2.2220816384675501</v>
      </c>
      <c r="AU22" s="2">
        <f>AT22+真實IC!AU22</f>
        <v>2.4771144071731799</v>
      </c>
      <c r="AV22" s="2">
        <f>AU22+真實IC!AV22</f>
        <v>2.5154888242831421</v>
      </c>
      <c r="AW22" s="2">
        <f>AV22+真實IC!AW22</f>
        <v>2.5969127370001126</v>
      </c>
      <c r="AX22" s="2">
        <f>AW22+真實IC!AX22</f>
        <v>2.5845600665972843</v>
      </c>
      <c r="AY22" s="2">
        <f>AX22+真實IC!AY22</f>
        <v>2.5025062081338483</v>
      </c>
      <c r="AZ22" s="2">
        <f>AY22+真實IC!AZ22</f>
        <v>2.5708431643281675</v>
      </c>
      <c r="BA22" s="2">
        <f>AZ22+真實IC!BA22</f>
        <v>2.7494320899384395</v>
      </c>
      <c r="BB22" s="2">
        <f>BA22+真實IC!BB22</f>
        <v>2.9694102108135128</v>
      </c>
      <c r="BC22" s="2">
        <f>BB22+真實IC!BC22</f>
        <v>2.9759198884631965</v>
      </c>
      <c r="BD22" s="2">
        <f>BC22+真實IC!BD22</f>
        <v>3.0145821218434095</v>
      </c>
      <c r="BE22" s="2">
        <f>BD22+真實IC!BE22</f>
        <v>3.1428291323718036</v>
      </c>
      <c r="BF22" s="2">
        <f>BE22+真實IC!BF22</f>
        <v>3.2190143666847426</v>
      </c>
      <c r="BG22" s="2">
        <f>BF22+真實IC!BG22</f>
        <v>3.2423342950423653</v>
      </c>
      <c r="BH22" s="2">
        <f>BG22+真實IC!BH22</f>
        <v>3.1644623824793956</v>
      </c>
      <c r="BI22" s="2">
        <f>BH22+真實IC!BI22</f>
        <v>3.3332890490081568</v>
      </c>
      <c r="BJ22" s="2">
        <f>BI22+真實IC!BJ22</f>
        <v>3.2851141585871284</v>
      </c>
      <c r="BK22" s="2">
        <f>BJ22+真實IC!BK22</f>
        <v>3.2494219238618678</v>
      </c>
      <c r="BL22" s="2">
        <f>BK22+真實IC!BL22</f>
        <v>3.361924013835615</v>
      </c>
      <c r="BM22" s="2">
        <f>BL22+真實IC!BM22</f>
        <v>3.3643544970811483</v>
      </c>
      <c r="BN22" s="2">
        <f>BM22+真實IC!BN22</f>
        <v>3.3013856139797708</v>
      </c>
      <c r="BO22" s="2">
        <f>BN22+真實IC!BO22</f>
        <v>3.2644016252708621</v>
      </c>
      <c r="BP22" s="2">
        <f>BO22+真實IC!BP22</f>
        <v>3.2651628472178453</v>
      </c>
      <c r="BQ22" s="2">
        <f>BP22+真實IC!BQ22</f>
        <v>3.3268111209598485</v>
      </c>
      <c r="BR22" s="2">
        <f>BQ22+真實IC!BR22</f>
        <v>3.3841190537042602</v>
      </c>
      <c r="BS22" s="2">
        <f>BR22+真實IC!BS22</f>
        <v>3.4112392148553479</v>
      </c>
      <c r="BT22" s="2">
        <f>BS22+真實IC!BT22</f>
        <v>3.4627390284924053</v>
      </c>
      <c r="BU22" s="2">
        <f>BT22+真實IC!BU22</f>
        <v>3.5968211234630201</v>
      </c>
      <c r="BV22" s="2">
        <f>BU22+真實IC!BV22</f>
        <v>3.6616215825041003</v>
      </c>
      <c r="BW22" s="2">
        <f>BV22+真實IC!BW22</f>
        <v>4.2701568795321672</v>
      </c>
      <c r="BX22" s="2">
        <f>BW22+真實IC!BX22</f>
        <v>4.2711976907980294</v>
      </c>
      <c r="BY22" s="2">
        <f>BX22+真實IC!BY22</f>
        <v>4.4425619991642904</v>
      </c>
      <c r="BZ22" s="2">
        <f>BY22+真實IC!BZ22</f>
        <v>4.6032104317961959</v>
      </c>
      <c r="CA22" s="2">
        <f>BZ22+真實IC!CA22</f>
        <v>4.4887261713162632</v>
      </c>
      <c r="CB22" s="2">
        <f>CA22+真實IC!CB22</f>
        <v>4.5424951954459374</v>
      </c>
      <c r="CC22" s="2">
        <f>CB22+真實IC!CC22</f>
        <v>4.5135099903713387</v>
      </c>
      <c r="CD22" s="2">
        <f>CC22+真實IC!CD22</f>
        <v>4.7026621301884015</v>
      </c>
      <c r="CE22" s="2">
        <f>CD22+真實IC!CE22</f>
        <v>4.6936161402694889</v>
      </c>
      <c r="CF22" s="2">
        <f>CE22+真實IC!CF22</f>
        <v>4.6528625572143421</v>
      </c>
      <c r="CG22" s="2">
        <f>CF22+真實IC!CG22</f>
        <v>4.8472829008260119</v>
      </c>
      <c r="CH22" s="2">
        <f>CG22+真實IC!CH22</f>
        <v>4.9710806353552357</v>
      </c>
      <c r="CI22" s="2">
        <f>CH22+真實IC!CI22</f>
        <v>4.9912140105832314</v>
      </c>
      <c r="CJ22" s="2">
        <f>CI22+真實IC!CJ22</f>
        <v>5.034173546357775</v>
      </c>
      <c r="CK22" s="2">
        <f>CJ22+真實IC!CK22</f>
        <v>5.1171125348336588</v>
      </c>
      <c r="CL22" s="2">
        <f>CK22+真實IC!CL22</f>
        <v>5.306961804545737</v>
      </c>
      <c r="CM22" s="2">
        <f>CL22+真實IC!CM22</f>
        <v>5.3344815375411141</v>
      </c>
      <c r="CN22" s="2">
        <f>CM22+真實IC!CN22</f>
        <v>5.7467099343571277</v>
      </c>
      <c r="CO22" s="2">
        <f>CN22+真實IC!CO22</f>
        <v>6.1164345160502736</v>
      </c>
      <c r="CP22" s="2">
        <f>CO22+真實IC!CP22</f>
        <v>6.3382675945193796</v>
      </c>
      <c r="CQ22" s="2">
        <f>CP22+真實IC!CQ22</f>
        <v>6.5353085002009488</v>
      </c>
      <c r="CR22" s="2">
        <f>CQ22+真實IC!CR22</f>
        <v>6.681384717714014</v>
      </c>
      <c r="CS22" s="2">
        <f>CR22+真實IC!CS22</f>
        <v>6.7123819257252686</v>
      </c>
      <c r="CT22" s="2">
        <f>CS22+真實IC!CT22</f>
        <v>6.6534709418965914</v>
      </c>
      <c r="CU22" s="2">
        <f>CT22+真實IC!CU22</f>
        <v>6.8799653447528648</v>
      </c>
      <c r="CV22" s="2">
        <f>CU22+真實IC!CV22</f>
        <v>7.0195010028243656</v>
      </c>
      <c r="CW22" s="2">
        <f>CV22+真實IC!CW22</f>
        <v>7.0221180227781996</v>
      </c>
      <c r="CX22" s="2">
        <f>CW22+真實IC!CX22</f>
        <v>7.0642293378349628</v>
      </c>
      <c r="CY22" s="2">
        <f>CX22+真實IC!CY22</f>
        <v>7.1641118798250414</v>
      </c>
      <c r="CZ22" s="2">
        <f>CY22+真實IC!CZ22</f>
        <v>7.481448244434584</v>
      </c>
      <c r="DA22" s="2">
        <f>CZ22+真實IC!DA22</f>
        <v>7.7310336756721307</v>
      </c>
      <c r="DB22" s="2">
        <f>DA22+真實IC!DB22</f>
        <v>8.1682704636265822</v>
      </c>
      <c r="DC22" s="2">
        <f>DB22+真實IC!DC22</f>
        <v>8.2229382928830983</v>
      </c>
      <c r="DD22" s="2">
        <f>DC22+真實IC!DD22</f>
        <v>8.4206054076677006</v>
      </c>
      <c r="DE22" s="2">
        <f>DD22+真實IC!DE22</f>
        <v>8.5809379921435447</v>
      </c>
      <c r="DF22" s="2">
        <f>DE22+真實IC!DF22</f>
        <v>8.7124495116686553</v>
      </c>
      <c r="DG22" s="2">
        <f>DF22+真實IC!DG22</f>
        <v>8.869522073017059</v>
      </c>
      <c r="DH22" s="2">
        <f>DG22+真實IC!DH22</f>
        <v>8.8899185186152003</v>
      </c>
      <c r="DI22" s="2">
        <f>DH22+真實IC!DI22</f>
        <v>8.7949171381593878</v>
      </c>
      <c r="DJ22" s="2">
        <f>DI22+真實IC!DJ22</f>
        <v>8.854342985666932</v>
      </c>
      <c r="DK22" s="2">
        <f>DJ22+真實IC!DK22</f>
        <v>8.942288990630411</v>
      </c>
      <c r="DL22" s="2">
        <f>DK22+真實IC!DL22</f>
        <v>8.9729123144927723</v>
      </c>
      <c r="DM22" s="2">
        <f>DL22+真實IC!DM22</f>
        <v>9.0032365936385261</v>
      </c>
      <c r="DN22" s="2">
        <f>DM22+真實IC!DN22</f>
        <v>8.9911419348580139</v>
      </c>
      <c r="DO22" s="2">
        <f>DN22+真實IC!DO22</f>
        <v>9.0677256267100113</v>
      </c>
      <c r="DP22" s="2">
        <f>DO22+真實IC!DP22</f>
        <v>9.2196829409338736</v>
      </c>
      <c r="DQ22" s="2">
        <f>DP22+真實IC!DQ22</f>
        <v>9.4260515349433245</v>
      </c>
      <c r="DR22" s="2">
        <f>DQ22+真實IC!DR22</f>
        <v>9.4293143148211094</v>
      </c>
      <c r="DS22" s="2">
        <f>DR22+真實IC!DS22</f>
        <v>9.2836554689359545</v>
      </c>
      <c r="DT22" s="2">
        <f>DS22+真實IC!DT22</f>
        <v>9.2793487915197659</v>
      </c>
      <c r="DU22" s="2">
        <f>DT22+真實IC!DU22</f>
        <v>9.3812978911178231</v>
      </c>
      <c r="DV22" s="2">
        <f>DU22+真實IC!DV22</f>
        <v>9.5621232944092842</v>
      </c>
      <c r="DW22" s="2">
        <f>DV22+真實IC!DW22</f>
        <v>9.4800385477680518</v>
      </c>
      <c r="DX22" s="2">
        <f>DW22+真實IC!DX22</f>
        <v>9.6585207459018179</v>
      </c>
      <c r="DY22" s="2">
        <f>DX22+真實IC!DY22</f>
        <v>9.7529523857167781</v>
      </c>
      <c r="DZ22" s="2">
        <f>DY22+真實IC!DZ22</f>
        <v>9.7016894092223467</v>
      </c>
      <c r="EA22" s="2">
        <f>DZ22+真實IC!EA22</f>
        <v>9.7159154360230868</v>
      </c>
      <c r="EB22" s="2">
        <f>EA22+真實IC!EB22</f>
        <v>9.9336437312332997</v>
      </c>
      <c r="EC22" s="2">
        <f>EB22+真實IC!EC22</f>
        <v>10.093965456244371</v>
      </c>
      <c r="ED22" s="2">
        <f>EC22+真實IC!ED22</f>
        <v>10.218031927638759</v>
      </c>
      <c r="EE22" s="2">
        <f>ED22+真實IC!EE22</f>
        <v>10.299950182099032</v>
      </c>
      <c r="EF22" s="2">
        <f>EE22+真實IC!EF22</f>
        <v>10.410569781988309</v>
      </c>
      <c r="EG22" s="2">
        <f>EF22+真實IC!EG22</f>
        <v>11.199930249943296</v>
      </c>
      <c r="EH22" s="2">
        <f>EG22+真實IC!EH22</f>
        <v>11.189477202162667</v>
      </c>
      <c r="EI22" s="2">
        <f>EH22+真實IC!EI22</f>
        <v>11.257218714245329</v>
      </c>
      <c r="EJ22" s="2">
        <f>EI22+真實IC!EJ22</f>
        <v>11.34837495964714</v>
      </c>
      <c r="EK22" s="2">
        <f>EJ22+真實IC!EK22</f>
        <v>11.528053376213382</v>
      </c>
      <c r="EL22" s="2">
        <f>EK22+真實IC!EL22</f>
        <v>11.546053741042591</v>
      </c>
    </row>
    <row r="23" spans="1:142" x14ac:dyDescent="0.3">
      <c r="A23" s="11"/>
      <c r="B23" s="11">
        <v>512</v>
      </c>
      <c r="C23" s="2">
        <v>0.28298926569632887</v>
      </c>
      <c r="D23" s="2">
        <f>C23+真實IC!D23</f>
        <v>0.34985662895518099</v>
      </c>
      <c r="E23" s="2">
        <f>D23+真實IC!E23</f>
        <v>0.60470617022283402</v>
      </c>
      <c r="F23" s="2">
        <f>E23+真實IC!F23</f>
        <v>0.23606087514156993</v>
      </c>
      <c r="G23" s="2">
        <f>F23+真實IC!G23</f>
        <v>0.36408120164593494</v>
      </c>
      <c r="H23" s="2">
        <f>G23+真實IC!H23</f>
        <v>0.24887499722638062</v>
      </c>
      <c r="I23" s="2">
        <f>H23+真實IC!I23</f>
        <v>0.11237520486857713</v>
      </c>
      <c r="J23" s="2">
        <f>I23+真實IC!J23</f>
        <v>0.30321397042773801</v>
      </c>
      <c r="K23" s="2">
        <f>J23+真實IC!K23</f>
        <v>0.39571821184816175</v>
      </c>
      <c r="L23" s="2">
        <f>K23+真實IC!L23</f>
        <v>0.30513155011549237</v>
      </c>
      <c r="M23" s="2">
        <f>L23+真實IC!M23</f>
        <v>0.24744070031492016</v>
      </c>
      <c r="N23" s="2">
        <f>M23+真實IC!N23</f>
        <v>0.25947478144456931</v>
      </c>
      <c r="O23" s="2">
        <f>N23+真實IC!O23</f>
        <v>0.3983931411039513</v>
      </c>
      <c r="P23" s="2">
        <f>O23+真實IC!P23</f>
        <v>0.31765119787886931</v>
      </c>
      <c r="Q23" s="2">
        <f>P23+真實IC!Q23</f>
        <v>0.24464447205026041</v>
      </c>
      <c r="R23" s="2">
        <f>Q23+真實IC!R23</f>
        <v>0.20637327894900295</v>
      </c>
      <c r="S23" s="2">
        <f>R23+真實IC!S23</f>
        <v>0.33922972997836853</v>
      </c>
      <c r="T23" s="2">
        <f>S23+真實IC!T23</f>
        <v>0.23716771092746933</v>
      </c>
      <c r="U23" s="2">
        <f>T23+真實IC!U23</f>
        <v>0.31281941135545299</v>
      </c>
      <c r="V23" s="2">
        <f>U23+真實IC!V23</f>
        <v>0.27588870587949482</v>
      </c>
      <c r="W23" s="2">
        <f>V23+真實IC!W23</f>
        <v>0.32431272907520114</v>
      </c>
      <c r="X23" s="2">
        <f>W23+真實IC!X23</f>
        <v>0.53666640019165912</v>
      </c>
      <c r="Y23" s="2">
        <f>X23+真實IC!Y23</f>
        <v>0.77119947500711139</v>
      </c>
      <c r="Z23" s="2">
        <f>Y23+真實IC!Z23</f>
        <v>0.96822934624984902</v>
      </c>
      <c r="AA23" s="2">
        <f>Z23+真實IC!AA23</f>
        <v>1.1447294410233888</v>
      </c>
      <c r="AB23" s="2">
        <f>AA23+真實IC!AB23</f>
        <v>1.2854087886184258</v>
      </c>
      <c r="AC23" s="2">
        <f>AB23+真實IC!AC23</f>
        <v>1.4439217604462833</v>
      </c>
      <c r="AD23" s="2">
        <f>AC23+真實IC!AD23</f>
        <v>1.4674631240914495</v>
      </c>
      <c r="AE23" s="2">
        <f>AD23+真實IC!AE23</f>
        <v>1.505876735272446</v>
      </c>
      <c r="AF23" s="2">
        <f>AE23+真實IC!AF23</f>
        <v>1.5663678428907091</v>
      </c>
      <c r="AG23" s="2">
        <f>AF23+真實IC!AG23</f>
        <v>1.5451781537690115</v>
      </c>
      <c r="AH23" s="2">
        <f>AG23+真實IC!AH23</f>
        <v>1.507651523532433</v>
      </c>
      <c r="AI23" s="2">
        <f>AH23+真實IC!AI23</f>
        <v>1.5663181452370794</v>
      </c>
      <c r="AJ23" s="2">
        <f>AI23+真實IC!AJ23</f>
        <v>1.6665642324981196</v>
      </c>
      <c r="AK23" s="2">
        <f>AJ23+真實IC!AK23</f>
        <v>1.6996924922763696</v>
      </c>
      <c r="AL23" s="2">
        <f>AK23+真實IC!AL23</f>
        <v>1.8841182289607126</v>
      </c>
      <c r="AM23" s="2">
        <f>AL23+真實IC!AM23</f>
        <v>1.8893331659258787</v>
      </c>
      <c r="AN23" s="2">
        <f>AM23+真實IC!AN23</f>
        <v>2.1127055493958937</v>
      </c>
      <c r="AO23" s="2">
        <f>AN23+真實IC!AO23</f>
        <v>2.227670388965997</v>
      </c>
      <c r="AP23" s="2">
        <f>AO23+真實IC!AP23</f>
        <v>2.2540865464359103</v>
      </c>
      <c r="AQ23" s="2">
        <f>AP23+真實IC!AQ23</f>
        <v>2.1686665031062273</v>
      </c>
      <c r="AR23" s="2">
        <f>AQ23+真實IC!AR23</f>
        <v>2.3148026674455946</v>
      </c>
      <c r="AS23" s="2">
        <f>AR23+真實IC!AS23</f>
        <v>2.3005771189533251</v>
      </c>
      <c r="AT23" s="2">
        <f>AS23+真實IC!AT23</f>
        <v>2.4100830219182252</v>
      </c>
      <c r="AU23" s="2">
        <f>AT23+真實IC!AU23</f>
        <v>2.5889572015190065</v>
      </c>
      <c r="AV23" s="2">
        <f>AU23+真實IC!AV23</f>
        <v>2.6759550068500633</v>
      </c>
      <c r="AW23" s="2">
        <f>AV23+真實IC!AW23</f>
        <v>2.7780275694820964</v>
      </c>
      <c r="AX23" s="2">
        <f>AW23+真實IC!AX23</f>
        <v>2.7758731441630702</v>
      </c>
      <c r="AY23" s="2">
        <f>AX23+真實IC!AY23</f>
        <v>2.7865102288111512</v>
      </c>
      <c r="AZ23" s="2">
        <f>AY23+真實IC!AZ23</f>
        <v>2.857375189058879</v>
      </c>
      <c r="BA23" s="2">
        <f>AZ23+真實IC!BA23</f>
        <v>3.1006103949032755</v>
      </c>
      <c r="BB23" s="2">
        <f>BA23+真實IC!BB23</f>
        <v>3.5051350499105993</v>
      </c>
      <c r="BC23" s="2">
        <f>BB23+真實IC!BC23</f>
        <v>3.247021546796331</v>
      </c>
      <c r="BD23" s="2">
        <f>BC23+真實IC!BD23</f>
        <v>3.2681547192347966</v>
      </c>
      <c r="BE23" s="2">
        <f>BD23+真實IC!BE23</f>
        <v>3.4220350060556406</v>
      </c>
      <c r="BF23" s="2">
        <f>BE23+真實IC!BF23</f>
        <v>3.4895121783038152</v>
      </c>
      <c r="BG23" s="2">
        <f>BF23+真實IC!BG23</f>
        <v>3.3453542137414036</v>
      </c>
      <c r="BH23" s="2">
        <f>BG23+真實IC!BH23</f>
        <v>3.1970460934194835</v>
      </c>
      <c r="BI23" s="2">
        <f>BH23+真實IC!BI23</f>
        <v>3.325071154792707</v>
      </c>
      <c r="BJ23" s="2">
        <f>BI23+真實IC!BJ23</f>
        <v>3.2649155394302722</v>
      </c>
      <c r="BK23" s="2">
        <f>BJ23+真實IC!BK23</f>
        <v>3.2386566794675988</v>
      </c>
      <c r="BL23" s="2">
        <f>BK23+真實IC!BL23</f>
        <v>3.3530229696092677</v>
      </c>
      <c r="BM23" s="2">
        <f>BL23+真實IC!BM23</f>
        <v>3.4966186604824303</v>
      </c>
      <c r="BN23" s="2">
        <f>BM23+真實IC!BN23</f>
        <v>3.6112991343445504</v>
      </c>
      <c r="BO23" s="2">
        <f>BN23+真實IC!BO23</f>
        <v>3.6078109804394223</v>
      </c>
      <c r="BP23" s="2">
        <f>BO23+真實IC!BP23</f>
        <v>3.6082082699408424</v>
      </c>
      <c r="BQ23" s="2">
        <f>BP23+真實IC!BQ23</f>
        <v>3.6517548305793817</v>
      </c>
      <c r="BR23" s="2">
        <f>BQ23+真實IC!BR23</f>
        <v>3.728005830519038</v>
      </c>
      <c r="BS23" s="2">
        <f>BR23+真實IC!BS23</f>
        <v>3.6893215288918921</v>
      </c>
      <c r="BT23" s="2">
        <f>BS23+真實IC!BT23</f>
        <v>3.9755510957412659</v>
      </c>
      <c r="BU23" s="2">
        <f>BT23+真實IC!BU23</f>
        <v>3.944138288813114</v>
      </c>
      <c r="BV23" s="2">
        <f>BU23+真實IC!BV23</f>
        <v>4.0232308246523845</v>
      </c>
      <c r="BW23" s="2">
        <f>BV23+真實IC!BW23</f>
        <v>4.7357438691312232</v>
      </c>
      <c r="BX23" s="2">
        <f>BW23+真實IC!BX23</f>
        <v>4.730563398215029</v>
      </c>
      <c r="BY23" s="2">
        <f>BX23+真實IC!BY23</f>
        <v>4.9434375679672629</v>
      </c>
      <c r="BZ23" s="2">
        <f>BY23+真實IC!BZ23</f>
        <v>5.0798968984633355</v>
      </c>
      <c r="CA23" s="2">
        <f>BZ23+真實IC!CA23</f>
        <v>5.0059010662540402</v>
      </c>
      <c r="CB23" s="2">
        <f>CA23+真實IC!CB23</f>
        <v>5.0734430048989996</v>
      </c>
      <c r="CC23" s="2">
        <f>CB23+真實IC!CC23</f>
        <v>4.9679979993565091</v>
      </c>
      <c r="CD23" s="2">
        <f>CC23+真實IC!CD23</f>
        <v>5.1515632796049324</v>
      </c>
      <c r="CE23" s="2">
        <f>CD23+真實IC!CE23</f>
        <v>5.0959895445430758</v>
      </c>
      <c r="CF23" s="2">
        <f>CE23+真實IC!CF23</f>
        <v>5.070768808266445</v>
      </c>
      <c r="CG23" s="2">
        <f>CF23+真實IC!CG23</f>
        <v>5.2169439439001062</v>
      </c>
      <c r="CH23" s="2">
        <f>CG23+真實IC!CH23</f>
        <v>5.2889481611413878</v>
      </c>
      <c r="CI23" s="2">
        <f>CH23+真實IC!CI23</f>
        <v>5.3174909615461132</v>
      </c>
      <c r="CJ23" s="2">
        <f>CI23+真實IC!CJ23</f>
        <v>5.3955445595725928</v>
      </c>
      <c r="CK23" s="2">
        <f>CJ23+真實IC!CK23</f>
        <v>5.490089586941429</v>
      </c>
      <c r="CL23" s="2">
        <f>CK23+真實IC!CL23</f>
        <v>5.5974556503415434</v>
      </c>
      <c r="CM23" s="2">
        <f>CL23+真實IC!CM23</f>
        <v>5.5271163783104678</v>
      </c>
      <c r="CN23" s="2">
        <f>CM23+真實IC!CN23</f>
        <v>6.1933573602752459</v>
      </c>
      <c r="CO23" s="2">
        <f>CN23+真實IC!CO23</f>
        <v>6.5806289865232568</v>
      </c>
      <c r="CP23" s="2">
        <f>CO23+真實IC!CP23</f>
        <v>6.8008652095845674</v>
      </c>
      <c r="CQ23" s="2">
        <f>CP23+真實IC!CQ23</f>
        <v>7.0582400787146344</v>
      </c>
      <c r="CR23" s="2">
        <f>CQ23+真實IC!CR23</f>
        <v>7.1972852270797283</v>
      </c>
      <c r="CS23" s="2">
        <f>CR23+真實IC!CS23</f>
        <v>7.184908133191219</v>
      </c>
      <c r="CT23" s="2">
        <f>CS23+真實IC!CT23</f>
        <v>7.1580717038268169</v>
      </c>
      <c r="CU23" s="2">
        <f>CT23+真實IC!CU23</f>
        <v>7.4665417442916944</v>
      </c>
      <c r="CV23" s="2">
        <f>CU23+真實IC!CV23</f>
        <v>7.6139463105809826</v>
      </c>
      <c r="CW23" s="2">
        <f>CV23+真實IC!CW23</f>
        <v>7.6504036199819714</v>
      </c>
      <c r="CX23" s="2">
        <f>CW23+真實IC!CX23</f>
        <v>7.6414587146451121</v>
      </c>
      <c r="CY23" s="2">
        <f>CX23+真實IC!CY23</f>
        <v>7.7827303550825846</v>
      </c>
      <c r="CZ23" s="2">
        <f>CY23+真實IC!CZ23</f>
        <v>8.250235410774998</v>
      </c>
      <c r="DA23" s="2">
        <f>CZ23+真實IC!DA23</f>
        <v>8.5857819723511817</v>
      </c>
      <c r="DB23" s="2">
        <f>DA23+真實IC!DB23</f>
        <v>9.0582234965814834</v>
      </c>
      <c r="DC23" s="2">
        <f>DB23+真實IC!DC23</f>
        <v>9.1253678865010937</v>
      </c>
      <c r="DD23" s="2">
        <f>DC23+真實IC!DD23</f>
        <v>9.3158717953520167</v>
      </c>
      <c r="DE23" s="2">
        <f>DD23+真實IC!DE23</f>
        <v>9.4237626453014283</v>
      </c>
      <c r="DF23" s="2">
        <f>DE23+真實IC!DF23</f>
        <v>9.5324687199650864</v>
      </c>
      <c r="DG23" s="2">
        <f>DF23+真實IC!DG23</f>
        <v>9.6956400894071404</v>
      </c>
      <c r="DH23" s="2">
        <f>DG23+真實IC!DH23</f>
        <v>9.6761857471005932</v>
      </c>
      <c r="DI23" s="2">
        <f>DH23+真實IC!DI23</f>
        <v>9.6199367123851633</v>
      </c>
      <c r="DJ23" s="2">
        <f>DI23+真實IC!DJ23</f>
        <v>9.7028684794057458</v>
      </c>
      <c r="DK23" s="2">
        <f>DJ23+真實IC!DK23</f>
        <v>9.6388379306418059</v>
      </c>
      <c r="DL23" s="2">
        <f>DK23+真實IC!DL23</f>
        <v>9.6965376534160725</v>
      </c>
      <c r="DM23" s="2">
        <f>DL23+真實IC!DM23</f>
        <v>9.7354817392331618</v>
      </c>
      <c r="DN23" s="2">
        <f>DM23+真實IC!DN23</f>
        <v>9.6899259989963387</v>
      </c>
      <c r="DO23" s="2">
        <f>DN23+真實IC!DO23</f>
        <v>9.7741897224174732</v>
      </c>
      <c r="DP23" s="2">
        <f>DO23+真實IC!DP23</f>
        <v>10.018141618733685</v>
      </c>
      <c r="DQ23" s="2">
        <f>DP23+真實IC!DQ23</f>
        <v>10.304355042256033</v>
      </c>
      <c r="DR23" s="2">
        <f>DQ23+真實IC!DR23</f>
        <v>10.310321643234271</v>
      </c>
      <c r="DS23" s="2">
        <f>DR23+真實IC!DS23</f>
        <v>10.223282146342818</v>
      </c>
      <c r="DT23" s="2">
        <f>DS23+真實IC!DT23</f>
        <v>10.136445643029496</v>
      </c>
      <c r="DU23" s="2">
        <f>DT23+真實IC!DU23</f>
        <v>10.356374450553004</v>
      </c>
      <c r="DV23" s="2">
        <f>DU23+真實IC!DV23</f>
        <v>10.536292209735032</v>
      </c>
      <c r="DW23" s="2">
        <f>DV23+真實IC!DW23</f>
        <v>10.441708517237707</v>
      </c>
      <c r="DX23" s="2">
        <f>DW23+真實IC!DX23</f>
        <v>10.561170839397411</v>
      </c>
      <c r="DY23" s="2">
        <f>DX23+真實IC!DY23</f>
        <v>10.636644309036473</v>
      </c>
      <c r="DZ23" s="2">
        <f>DY23+真實IC!DZ23</f>
        <v>10.665020399305225</v>
      </c>
      <c r="EA23" s="2">
        <f>DZ23+真實IC!EA23</f>
        <v>10.594146944160517</v>
      </c>
      <c r="EB23" s="2">
        <f>EA23+真實IC!EB23</f>
        <v>10.585743075541675</v>
      </c>
      <c r="EC23" s="2">
        <f>EB23+真實IC!EC23</f>
        <v>10.712451852051315</v>
      </c>
      <c r="ED23" s="2">
        <f>EC23+真實IC!ED23</f>
        <v>10.907965855604351</v>
      </c>
      <c r="EE23" s="2">
        <f>ED23+真實IC!EE23</f>
        <v>10.983201409816175</v>
      </c>
      <c r="EF23" s="2">
        <f>EE23+真實IC!EF23</f>
        <v>11.106690315008109</v>
      </c>
      <c r="EG23" s="2">
        <f>EF23+真實IC!EG23</f>
        <v>11.118204718983549</v>
      </c>
      <c r="EH23" s="2">
        <f>EG23+真實IC!EH23</f>
        <v>11.074209006733845</v>
      </c>
      <c r="EI23" s="2">
        <f>EH23+真實IC!EI23</f>
        <v>11.15268977696849</v>
      </c>
      <c r="EJ23" s="2">
        <f>EI23+真實IC!EJ23</f>
        <v>11.221947968671122</v>
      </c>
      <c r="EK23" s="2">
        <f>EJ23+真實IC!EK23</f>
        <v>11.324179851991314</v>
      </c>
      <c r="EL23" s="2">
        <f>EK23+真實IC!EL23</f>
        <v>11.381148994460403</v>
      </c>
    </row>
    <row r="24" spans="1:142" x14ac:dyDescent="0.3">
      <c r="A24" s="11"/>
      <c r="B24" s="11">
        <v>1051</v>
      </c>
      <c r="C24" s="2">
        <v>9.9113364206882743E-2</v>
      </c>
      <c r="D24" s="2">
        <f>C24+真實IC!D24</f>
        <v>0.11371015325652903</v>
      </c>
      <c r="E24" s="2">
        <f>D24+真實IC!E24</f>
        <v>0.39822265094703091</v>
      </c>
      <c r="F24" s="2">
        <f>E24+真實IC!F24</f>
        <v>0.24013340754084431</v>
      </c>
      <c r="G24" s="2">
        <f>F24+真實IC!G24</f>
        <v>0.23172999674446493</v>
      </c>
      <c r="H24" s="2">
        <f>G24+真實IC!H24</f>
        <v>0.18161452895098221</v>
      </c>
      <c r="I24" s="2">
        <f>H24+真實IC!I24</f>
        <v>0.17950259574783869</v>
      </c>
      <c r="J24" s="2">
        <f>I24+真實IC!J24</f>
        <v>0.2851650893635691</v>
      </c>
      <c r="K24" s="2">
        <f>J24+真實IC!K24</f>
        <v>0.29143820704392032</v>
      </c>
      <c r="L24" s="2">
        <f>K24+真實IC!L24</f>
        <v>0.19763851378716993</v>
      </c>
      <c r="M24" s="2">
        <f>L24+真實IC!M24</f>
        <v>5.0819174887661439E-2</v>
      </c>
      <c r="N24" s="2">
        <f>M24+真實IC!N24</f>
        <v>0.13618901984041762</v>
      </c>
      <c r="O24" s="2">
        <f>N24+真實IC!O24</f>
        <v>0.35604849595343752</v>
      </c>
      <c r="P24" s="2">
        <f>O24+真實IC!P24</f>
        <v>0.27964338371403219</v>
      </c>
      <c r="Q24" s="2">
        <f>P24+真實IC!Q24</f>
        <v>-4.1415168203939201E-2</v>
      </c>
      <c r="R24" s="2">
        <f>Q24+真實IC!R24</f>
        <v>4.668604735805916E-3</v>
      </c>
      <c r="S24" s="2">
        <f>R24+真實IC!S24</f>
        <v>4.0818693800706587E-2</v>
      </c>
      <c r="T24" s="2">
        <f>S24+真實IC!T24</f>
        <v>-4.7458345932236454E-2</v>
      </c>
      <c r="U24" s="2">
        <f>T24+真實IC!U24</f>
        <v>0.26173609476754034</v>
      </c>
      <c r="V24" s="2">
        <f>U24+真實IC!V24</f>
        <v>0.27508626862359697</v>
      </c>
      <c r="W24" s="2">
        <f>V24+真實IC!W24</f>
        <v>0.34682839388393344</v>
      </c>
      <c r="X24" s="2">
        <f>W24+真實IC!X24</f>
        <v>0.36790311671871601</v>
      </c>
      <c r="Y24" s="2">
        <f>X24+真實IC!Y24</f>
        <v>0.90365483826229098</v>
      </c>
      <c r="Z24" s="2">
        <f>Y24+真實IC!Z24</f>
        <v>1.0150510212238952</v>
      </c>
      <c r="AA24" s="2">
        <f>Z24+真實IC!AA24</f>
        <v>1.1797428537070205</v>
      </c>
      <c r="AB24" s="2">
        <f>AA24+真實IC!AB24</f>
        <v>1.2366763813659656</v>
      </c>
      <c r="AC24" s="2">
        <f>AB24+真實IC!AC24</f>
        <v>1.3641728432234517</v>
      </c>
      <c r="AD24" s="2">
        <f>AC24+真實IC!AD24</f>
        <v>1.3752521796755413</v>
      </c>
      <c r="AE24" s="2">
        <f>AD24+真實IC!AE24</f>
        <v>1.4704904513989074</v>
      </c>
      <c r="AF24" s="2">
        <f>AE24+真實IC!AF24</f>
        <v>1.5784571935645253</v>
      </c>
      <c r="AG24" s="2">
        <f>AF24+真實IC!AG24</f>
        <v>1.5604106552634711</v>
      </c>
      <c r="AH24" s="2">
        <f>AG24+真實IC!AH24</f>
        <v>1.4775229954577034</v>
      </c>
      <c r="AI24" s="2">
        <f>AH24+真實IC!AI24</f>
        <v>1.4664009992743341</v>
      </c>
      <c r="AJ24" s="2">
        <f>AI24+真實IC!AJ24</f>
        <v>1.4501166548186559</v>
      </c>
      <c r="AK24" s="2">
        <f>AJ24+真實IC!AK24</f>
        <v>1.4436441403130384</v>
      </c>
      <c r="AL24" s="2">
        <f>AK24+真實IC!AL24</f>
        <v>1.5018850600242153</v>
      </c>
      <c r="AM24" s="2">
        <f>AL24+真實IC!AM24</f>
        <v>1.4175308128554744</v>
      </c>
      <c r="AN24" s="2">
        <f>AM24+真實IC!AN24</f>
        <v>1.5525868641932203</v>
      </c>
      <c r="AO24" s="2">
        <f>AN24+真實IC!AO24</f>
        <v>1.8002214355157258</v>
      </c>
      <c r="AP24" s="2">
        <f>AO24+真實IC!AP24</f>
        <v>2.0131017362594825</v>
      </c>
      <c r="AQ24" s="2">
        <f>AP24+真實IC!AQ24</f>
        <v>1.9308259746741556</v>
      </c>
      <c r="AR24" s="2">
        <f>AQ24+真實IC!AR24</f>
        <v>2.1016593808449811</v>
      </c>
      <c r="AS24" s="2">
        <f>AR24+真實IC!AS24</f>
        <v>2.0137745561833578</v>
      </c>
      <c r="AT24" s="2">
        <f>AS24+真實IC!AT24</f>
        <v>2.1645435361090386</v>
      </c>
      <c r="AU24" s="2">
        <f>AT24+真實IC!AU24</f>
        <v>2.2312349106077107</v>
      </c>
      <c r="AV24" s="2">
        <f>AU24+真實IC!AV24</f>
        <v>2.3519621589056134</v>
      </c>
      <c r="AW24" s="2">
        <f>AV24+真實IC!AW24</f>
        <v>2.4785932985903782</v>
      </c>
      <c r="AX24" s="2">
        <f>AW24+真實IC!AX24</f>
        <v>2.535974930275926</v>
      </c>
      <c r="AY24" s="2">
        <f>AX24+真實IC!AY24</f>
        <v>2.6136479685941443</v>
      </c>
      <c r="AZ24" s="2">
        <f>AY24+真實IC!AZ24</f>
        <v>2.6271985756240728</v>
      </c>
      <c r="BA24" s="2">
        <f>AZ24+真實IC!BA24</f>
        <v>2.677689881036085</v>
      </c>
      <c r="BB24" s="2">
        <f>BA24+真實IC!BB24</f>
        <v>3.3881004277311448</v>
      </c>
      <c r="BC24" s="2">
        <f>BB24+真實IC!BC24</f>
        <v>3.4949407739468454</v>
      </c>
      <c r="BD24" s="2">
        <f>BC24+真實IC!BD24</f>
        <v>3.5135718080337091</v>
      </c>
      <c r="BE24" s="2">
        <f>BD24+真實IC!BE24</f>
        <v>3.6953170191530491</v>
      </c>
      <c r="BF24" s="2">
        <f>BE24+真實IC!BF24</f>
        <v>3.8085122119243118</v>
      </c>
      <c r="BG24" s="2">
        <f>BF24+真實IC!BG24</f>
        <v>3.7710583105758917</v>
      </c>
      <c r="BH24" s="2">
        <f>BG24+真實IC!BH24</f>
        <v>3.8356962567056732</v>
      </c>
      <c r="BI24" s="2">
        <f>BH24+真實IC!BI24</f>
        <v>3.915830583938217</v>
      </c>
      <c r="BJ24" s="2">
        <f>BI24+真實IC!BJ24</f>
        <v>3.8085015637077184</v>
      </c>
      <c r="BK24" s="2">
        <f>BJ24+真實IC!BK24</f>
        <v>3.7903996054648341</v>
      </c>
      <c r="BL24" s="2">
        <f>BK24+真實IC!BL24</f>
        <v>3.8965065256160005</v>
      </c>
      <c r="BM24" s="2">
        <f>BL24+真實IC!BM24</f>
        <v>3.9812894654549886</v>
      </c>
      <c r="BN24" s="2">
        <f>BM24+真實IC!BN24</f>
        <v>4.0902027257715359</v>
      </c>
      <c r="BO24" s="2">
        <f>BN24+真實IC!BO24</f>
        <v>4.0777346633346641</v>
      </c>
      <c r="BP24" s="2">
        <f>BO24+真實IC!BP24</f>
        <v>4.1095287676645542</v>
      </c>
      <c r="BQ24" s="2">
        <f>BP24+真實IC!BQ24</f>
        <v>4.0743031278481077</v>
      </c>
      <c r="BR24" s="2">
        <f>BQ24+真實IC!BR24</f>
        <v>4.1732240170333492</v>
      </c>
      <c r="BS24" s="2">
        <f>BR24+真實IC!BS24</f>
        <v>4.1124504655057343</v>
      </c>
      <c r="BT24" s="2">
        <f>BS24+真實IC!BT24</f>
        <v>4.3891694816459426</v>
      </c>
      <c r="BU24" s="2">
        <f>BT24+真實IC!BU24</f>
        <v>4.3979179739607881</v>
      </c>
      <c r="BV24" s="2">
        <f>BU24+真實IC!BV24</f>
        <v>4.4138186747387316</v>
      </c>
      <c r="BW24" s="2">
        <f>BV24+真實IC!BW24</f>
        <v>5.522830744776094</v>
      </c>
      <c r="BX24" s="2">
        <f>BW24+真實IC!BX24</f>
        <v>5.4723704170720016</v>
      </c>
      <c r="BY24" s="2">
        <f>BX24+真實IC!BY24</f>
        <v>5.8048147097805192</v>
      </c>
      <c r="BZ24" s="2">
        <f>BY24+真實IC!BZ24</f>
        <v>5.9513152860230596</v>
      </c>
      <c r="CA24" s="2">
        <f>BZ24+真實IC!CA24</f>
        <v>5.9201139551831794</v>
      </c>
      <c r="CB24" s="2">
        <f>CA24+真實IC!CB24</f>
        <v>6.0397072243783398</v>
      </c>
      <c r="CC24" s="2">
        <f>CB24+真實IC!CC24</f>
        <v>5.728399176023613</v>
      </c>
      <c r="CD24" s="2">
        <f>CC24+真實IC!CD24</f>
        <v>5.9026590126358247</v>
      </c>
      <c r="CE24" s="2">
        <f>CD24+真實IC!CE24</f>
        <v>5.8476542853334719</v>
      </c>
      <c r="CF24" s="2">
        <f>CE24+真實IC!CF24</f>
        <v>5.8689316837807572</v>
      </c>
      <c r="CG24" s="2">
        <f>CF24+真實IC!CG24</f>
        <v>6.088009753941753</v>
      </c>
      <c r="CH24" s="2">
        <f>CG24+真實IC!CH24</f>
        <v>5.9871069068235263</v>
      </c>
      <c r="CI24" s="2">
        <f>CH24+真實IC!CI24</f>
        <v>6.0112806510557473</v>
      </c>
      <c r="CJ24" s="2">
        <f>CI24+真實IC!CJ24</f>
        <v>5.7343506196297591</v>
      </c>
      <c r="CK24" s="2">
        <f>CJ24+真實IC!CK24</f>
        <v>6.057409884958143</v>
      </c>
      <c r="CL24" s="2">
        <f>CK24+真實IC!CL24</f>
        <v>6.0570112547910568</v>
      </c>
      <c r="CM24" s="2">
        <f>CL24+真實IC!CM24</f>
        <v>6.2512567792923655</v>
      </c>
      <c r="CN24" s="2">
        <f>CM24+真實IC!CN24</f>
        <v>6.8588164532695322</v>
      </c>
      <c r="CO24" s="2">
        <f>CN24+真實IC!CO24</f>
        <v>7.5745454619948926</v>
      </c>
      <c r="CP24" s="2">
        <f>CO24+真實IC!CP24</f>
        <v>7.9421805841652482</v>
      </c>
      <c r="CQ24" s="2">
        <f>CP24+真實IC!CQ24</f>
        <v>8.2001534097059956</v>
      </c>
      <c r="CR24" s="2">
        <f>CQ24+真實IC!CR24</f>
        <v>8.2377515167873607</v>
      </c>
      <c r="CS24" s="2">
        <f>CR24+真實IC!CS24</f>
        <v>8.0889712899436734</v>
      </c>
      <c r="CT24" s="2">
        <f>CS24+真實IC!CT24</f>
        <v>8.1168894314837967</v>
      </c>
      <c r="CU24" s="2">
        <f>CT24+真實IC!CU24</f>
        <v>8.3062699962582176</v>
      </c>
      <c r="CV24" s="2">
        <f>CU24+真實IC!CV24</f>
        <v>8.2780593706682666</v>
      </c>
      <c r="CW24" s="2">
        <f>CV24+真實IC!CW24</f>
        <v>8.532064986360739</v>
      </c>
      <c r="CX24" s="2">
        <f>CW24+真實IC!CX24</f>
        <v>8.6033337167685655</v>
      </c>
      <c r="CY24" s="2">
        <f>CX24+真實IC!CY24</f>
        <v>8.9627042531231744</v>
      </c>
      <c r="CZ24" s="2">
        <f>CY24+真實IC!CZ24</f>
        <v>9.5060928551467381</v>
      </c>
      <c r="DA24" s="2">
        <f>CZ24+真實IC!DA24</f>
        <v>10.141072560645426</v>
      </c>
      <c r="DB24" s="2">
        <f>DA24+真實IC!DB24</f>
        <v>10.953334963590759</v>
      </c>
      <c r="DC24" s="2">
        <f>DB24+真實IC!DC24</f>
        <v>11.130925369662258</v>
      </c>
      <c r="DD24" s="2">
        <f>DC24+真實IC!DD24</f>
        <v>11.03684931672314</v>
      </c>
      <c r="DE24" s="2">
        <f>DD24+真實IC!DE24</f>
        <v>11.283373316681415</v>
      </c>
      <c r="DF24" s="2">
        <f>DE24+真實IC!DF24</f>
        <v>11.398278788260534</v>
      </c>
      <c r="DG24" s="2">
        <f>DF24+真實IC!DG24</f>
        <v>11.573633515241005</v>
      </c>
      <c r="DH24" s="2">
        <f>DG24+真實IC!DH24</f>
        <v>11.516058532833281</v>
      </c>
      <c r="DI24" s="2">
        <f>DH24+真實IC!DI24</f>
        <v>11.35972658737392</v>
      </c>
      <c r="DJ24" s="2">
        <f>DI24+真實IC!DJ24</f>
        <v>11.131397798932246</v>
      </c>
      <c r="DK24" s="2">
        <f>DJ24+真實IC!DK24</f>
        <v>10.966939211462776</v>
      </c>
      <c r="DL24" s="2">
        <f>DK24+真實IC!DL24</f>
        <v>11.033400663794449</v>
      </c>
      <c r="DM24" s="2">
        <f>DL24+真實IC!DM24</f>
        <v>10.991047613343687</v>
      </c>
      <c r="DN24" s="2">
        <f>DM24+真實IC!DN24</f>
        <v>11.007741063416873</v>
      </c>
      <c r="DO24" s="2">
        <f>DN24+真實IC!DO24</f>
        <v>11.121882347690381</v>
      </c>
      <c r="DP24" s="2">
        <f>DO24+真實IC!DP24</f>
        <v>11.36951353055499</v>
      </c>
      <c r="DQ24" s="2">
        <f>DP24+真實IC!DQ24</f>
        <v>11.582869075503037</v>
      </c>
      <c r="DR24" s="2">
        <f>DQ24+真實IC!DR24</f>
        <v>11.561989457519029</v>
      </c>
      <c r="DS24" s="2">
        <f>DR24+真實IC!DS24</f>
        <v>11.37860296915319</v>
      </c>
      <c r="DT24" s="2">
        <f>DS24+真實IC!DT24</f>
        <v>11.352470676429448</v>
      </c>
      <c r="DU24" s="2">
        <f>DT24+真實IC!DU24</f>
        <v>11.559732554509615</v>
      </c>
      <c r="DV24" s="2">
        <f>DU24+真實IC!DV24</f>
        <v>11.954051072524681</v>
      </c>
      <c r="DW24" s="2">
        <f>DV24+真實IC!DW24</f>
        <v>12.055233569179926</v>
      </c>
      <c r="DX24" s="2">
        <f>DW24+真實IC!DX24</f>
        <v>12.087969175298737</v>
      </c>
      <c r="DY24" s="2">
        <f>DX24+真實IC!DY24</f>
        <v>12.089543720165294</v>
      </c>
      <c r="DZ24" s="2">
        <f>DY24+真實IC!DZ24</f>
        <v>11.963607836790839</v>
      </c>
      <c r="EA24" s="2">
        <f>DZ24+真實IC!EA24</f>
        <v>11.851686138216859</v>
      </c>
      <c r="EB24" s="2">
        <f>EA24+真實IC!EB24</f>
        <v>11.851548288610561</v>
      </c>
      <c r="EC24" s="2">
        <f>EB24+真實IC!EC24</f>
        <v>11.862248525295454</v>
      </c>
      <c r="ED24" s="2">
        <f>EC24+真實IC!ED24</f>
        <v>12.029964959862047</v>
      </c>
      <c r="EE24" s="2">
        <f>ED24+真實IC!EE24</f>
        <v>12.177195624750247</v>
      </c>
      <c r="EF24" s="2">
        <f>EE24+真實IC!EF24</f>
        <v>12.411058493056288</v>
      </c>
      <c r="EG24" s="2">
        <f>EF24+真實IC!EG24</f>
        <v>12.379599115723098</v>
      </c>
      <c r="EH24" s="2">
        <f>EG24+真實IC!EH24</f>
        <v>12.250532173934705</v>
      </c>
      <c r="EI24" s="2">
        <f>EH24+真實IC!EI24</f>
        <v>12.362276454956138</v>
      </c>
      <c r="EJ24" s="2">
        <f>EI24+真實IC!EJ24</f>
        <v>12.46309097117739</v>
      </c>
      <c r="EK24" s="2">
        <f>EJ24+真實IC!EK24</f>
        <v>12.537616750268606</v>
      </c>
      <c r="EL24" s="2">
        <f>EK24+真實IC!EL24</f>
        <v>12.374151260212884</v>
      </c>
    </row>
    <row r="25" spans="1:142" x14ac:dyDescent="0.3">
      <c r="A25" s="11"/>
      <c r="B25" s="11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圖表</vt:lpstr>
      </vt:variant>
      <vt:variant>
        <vt:i4>1</vt:i4>
      </vt:variant>
    </vt:vector>
  </HeadingPairs>
  <TitlesOfParts>
    <vt:vector size="5" baseType="lpstr">
      <vt:lpstr>真實IC</vt:lpstr>
      <vt:lpstr>勝率</vt:lpstr>
      <vt:lpstr>累積報酬</vt:lpstr>
      <vt:lpstr>畫圖0</vt:lpstr>
      <vt:lpstr>畫圖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2026-01-03T05:56:28Z</dcterms:modified>
</cp:coreProperties>
</file>