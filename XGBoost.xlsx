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AEBBB70F-EC31-403A-AF91-F235AAF6D46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J25" i="7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E25" i="7"/>
  <c r="F25" i="7" s="1"/>
  <c r="G25" i="7" s="1"/>
  <c r="H25" i="7" s="1"/>
  <c r="I25" i="7" s="1"/>
  <c r="D25" i="7"/>
  <c r="E24" i="7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D24" i="7"/>
  <c r="N23" i="7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M23" i="7"/>
  <c r="F23" i="7"/>
  <c r="G23" i="7" s="1"/>
  <c r="H23" i="7" s="1"/>
  <c r="I23" i="7" s="1"/>
  <c r="J23" i="7" s="1"/>
  <c r="K23" i="7" s="1"/>
  <c r="L23" i="7" s="1"/>
  <c r="D23" i="7"/>
  <c r="E23" i="7" s="1"/>
  <c r="H22" i="7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D22" i="7"/>
  <c r="E22" i="7" s="1"/>
  <c r="F22" i="7" s="1"/>
  <c r="G22" i="7" s="1"/>
  <c r="L21" i="7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K21" i="7"/>
  <c r="E21" i="7"/>
  <c r="F21" i="7" s="1"/>
  <c r="G21" i="7" s="1"/>
  <c r="H21" i="7" s="1"/>
  <c r="I21" i="7" s="1"/>
  <c r="J21" i="7" s="1"/>
  <c r="D21" i="7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D20" i="7"/>
  <c r="J19" i="7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E19" i="7"/>
  <c r="F19" i="7" s="1"/>
  <c r="G19" i="7" s="1"/>
  <c r="H19" i="7" s="1"/>
  <c r="I19" i="7" s="1"/>
  <c r="D19" i="7"/>
  <c r="D18" i="7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G16" i="7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D16" i="7"/>
  <c r="E16" i="7" s="1"/>
  <c r="F16" i="7" s="1"/>
  <c r="G15" i="7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F15" i="7"/>
  <c r="D15" i="7"/>
  <c r="E15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4" i="7"/>
  <c r="M13" i="7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I13" i="7"/>
  <c r="J13" i="7" s="1"/>
  <c r="K13" i="7" s="1"/>
  <c r="L13" i="7" s="1"/>
  <c r="D13" i="7"/>
  <c r="E13" i="7" s="1"/>
  <c r="F13" i="7" s="1"/>
  <c r="G13" i="7" s="1"/>
  <c r="H1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H8" i="7"/>
  <c r="EG8" i="7"/>
  <c r="EF8" i="7"/>
  <c r="EE8" i="7"/>
  <c r="EC8" i="7"/>
  <c r="DR8" i="7"/>
  <c r="DK8" i="7"/>
  <c r="DJ8" i="7"/>
  <c r="DI8" i="7"/>
  <c r="DG8" i="7"/>
  <c r="DE8" i="7"/>
  <c r="CX8" i="7"/>
  <c r="CV8" i="7"/>
  <c r="CU8" i="7"/>
  <c r="CT8" i="7"/>
  <c r="CM8" i="7"/>
  <c r="CK8" i="7"/>
  <c r="CH8" i="7"/>
  <c r="CB8" i="7"/>
  <c r="BZ8" i="7"/>
  <c r="BY8" i="7"/>
  <c r="BW8" i="7"/>
  <c r="BT8" i="7"/>
  <c r="BS8" i="7"/>
  <c r="BP8" i="7"/>
  <c r="BO8" i="7"/>
  <c r="BN8" i="7"/>
  <c r="BJ8" i="7"/>
  <c r="BC8" i="7"/>
  <c r="BA8" i="7"/>
  <c r="AW8" i="7"/>
  <c r="AS8" i="7"/>
  <c r="AO8" i="7"/>
  <c r="AM8" i="7"/>
  <c r="AK8" i="7"/>
  <c r="AC8" i="7"/>
  <c r="AB8" i="7"/>
  <c r="Z8" i="7"/>
  <c r="Y8" i="7"/>
  <c r="X8" i="7"/>
  <c r="W8" i="7"/>
  <c r="V8" i="7"/>
  <c r="U8" i="7"/>
  <c r="R8" i="7"/>
  <c r="L8" i="7"/>
  <c r="D8" i="7"/>
  <c r="C8" i="7"/>
  <c r="EH7" i="7"/>
  <c r="EG7" i="7"/>
  <c r="EF7" i="7"/>
  <c r="EC7" i="7"/>
  <c r="EB7" i="7"/>
  <c r="DY7" i="7"/>
  <c r="DR7" i="7"/>
  <c r="DK7" i="7"/>
  <c r="DJ7" i="7"/>
  <c r="DG7" i="7"/>
  <c r="DF7" i="7"/>
  <c r="CY7" i="7"/>
  <c r="CN7" i="7"/>
  <c r="CK7" i="7"/>
  <c r="CJ7" i="7"/>
  <c r="CF7" i="7"/>
  <c r="CB7" i="7"/>
  <c r="BZ7" i="7"/>
  <c r="BV7" i="7"/>
  <c r="BU7" i="7"/>
  <c r="BT7" i="7"/>
  <c r="BS7" i="7"/>
  <c r="BP7" i="7"/>
  <c r="BO7" i="7"/>
  <c r="BN7" i="7"/>
  <c r="BL7" i="7"/>
  <c r="BD7" i="7"/>
  <c r="BC7" i="7"/>
  <c r="AS7" i="7"/>
  <c r="AR7" i="7"/>
  <c r="AM7" i="7"/>
  <c r="AH7" i="7"/>
  <c r="AG7" i="7"/>
  <c r="AE7" i="7"/>
  <c r="AD7" i="7"/>
  <c r="W7" i="7"/>
  <c r="O7" i="7"/>
  <c r="M7" i="7"/>
  <c r="L7" i="7"/>
  <c r="H7" i="7"/>
  <c r="G7" i="7"/>
  <c r="C7" i="7"/>
  <c r="EL6" i="7" a="1"/>
  <c r="EL6" i="7" s="1"/>
  <c r="EK6" i="7" a="1"/>
  <c r="EK6" i="7"/>
  <c r="EJ6" i="7" a="1"/>
  <c r="EJ6" i="7" s="1"/>
  <c r="EI6" i="7" a="1"/>
  <c r="EI6" i="7"/>
  <c r="EI7" i="7" s="1"/>
  <c r="EH6" i="7" a="1"/>
  <c r="EH6" i="7"/>
  <c r="EG6" i="7" a="1"/>
  <c r="EG6" i="7" s="1"/>
  <c r="EF6" i="7" a="1"/>
  <c r="EF6" i="7" s="1"/>
  <c r="EE6" i="7" a="1"/>
  <c r="EE6" i="7"/>
  <c r="EE7" i="7" s="1"/>
  <c r="ED6" i="7" a="1"/>
  <c r="ED6" i="7"/>
  <c r="EC6" i="7" a="1"/>
  <c r="EC6" i="7"/>
  <c r="EB6" i="7" a="1"/>
  <c r="EB6" i="7"/>
  <c r="EB8" i="7" s="1"/>
  <c r="EA6" i="7" a="1"/>
  <c r="EA6" i="7"/>
  <c r="DZ6" i="7" a="1"/>
  <c r="DZ6" i="7" s="1"/>
  <c r="DY6" i="7" a="1"/>
  <c r="DY6" i="7"/>
  <c r="DY8" i="7" s="1"/>
  <c r="DX6" i="7" a="1"/>
  <c r="DX6" i="7" s="1"/>
  <c r="DX7" i="7" s="1"/>
  <c r="DW6" i="7" a="1"/>
  <c r="DW6" i="7" s="1"/>
  <c r="DV6" i="7" a="1"/>
  <c r="DV6" i="7"/>
  <c r="DU6" i="7" a="1"/>
  <c r="DU6" i="7" s="1"/>
  <c r="DT6" i="7" a="1"/>
  <c r="DT6" i="7"/>
  <c r="DS6" i="7" a="1"/>
  <c r="DS6" i="7"/>
  <c r="DR6" i="7" a="1"/>
  <c r="DR6" i="7"/>
  <c r="DQ6" i="7" a="1"/>
  <c r="DQ6" i="7"/>
  <c r="DP6" i="7" a="1"/>
  <c r="DP6" i="7"/>
  <c r="DO6" i="7" a="1"/>
  <c r="DO6" i="7" s="1"/>
  <c r="DN6" i="7" a="1"/>
  <c r="DN6" i="7" s="1"/>
  <c r="DN8" i="7" s="1"/>
  <c r="DM6" i="7" a="1"/>
  <c r="DM6" i="7"/>
  <c r="DL6" i="7" a="1"/>
  <c r="DL6" i="7" s="1"/>
  <c r="DK6" i="7" a="1"/>
  <c r="DK6" i="7"/>
  <c r="DJ6" i="7" a="1"/>
  <c r="DJ6" i="7" s="1"/>
  <c r="DI6" i="7" a="1"/>
  <c r="DI6" i="7" s="1"/>
  <c r="DI7" i="7" s="1"/>
  <c r="DH6" i="7" a="1"/>
  <c r="DH6" i="7"/>
  <c r="DG6" i="7" a="1"/>
  <c r="DG6" i="7"/>
  <c r="DF6" i="7" a="1"/>
  <c r="DF6" i="7"/>
  <c r="DF8" i="7" s="1"/>
  <c r="DE6" i="7" a="1"/>
  <c r="DE6" i="7"/>
  <c r="DE7" i="7" s="1"/>
  <c r="DD6" i="7" a="1"/>
  <c r="DD6" i="7"/>
  <c r="DC6" i="7" a="1"/>
  <c r="DC6" i="7"/>
  <c r="DB6" i="7" a="1"/>
  <c r="DB6" i="7" s="1"/>
  <c r="DA6" i="7" a="1"/>
  <c r="DA6" i="7"/>
  <c r="CZ6" i="7" a="1"/>
  <c r="CZ6" i="7" s="1"/>
  <c r="CY6" i="7" a="1"/>
  <c r="CY6" i="7" s="1"/>
  <c r="CY8" i="7" s="1"/>
  <c r="CX6" i="7" a="1"/>
  <c r="CX6" i="7"/>
  <c r="CX7" i="7" s="1"/>
  <c r="CW6" i="7" a="1"/>
  <c r="CW6" i="7"/>
  <c r="CV6" i="7" a="1"/>
  <c r="CV6" i="7"/>
  <c r="CV7" i="7" s="1"/>
  <c r="CU6" i="7" a="1"/>
  <c r="CU6" i="7"/>
  <c r="CU7" i="7" s="1"/>
  <c r="CT6" i="7" a="1"/>
  <c r="CT6" i="7"/>
  <c r="CT7" i="7" s="1"/>
  <c r="CS6" i="7" a="1"/>
  <c r="CS6" i="7"/>
  <c r="CR6" i="7" a="1"/>
  <c r="CR6" i="7"/>
  <c r="CQ6" i="7" a="1"/>
  <c r="CQ6" i="7"/>
  <c r="CP6" i="7" a="1"/>
  <c r="CP6" i="7" s="1"/>
  <c r="CO6" i="7" a="1"/>
  <c r="CO6" i="7" s="1"/>
  <c r="CN6" i="7" a="1"/>
  <c r="CN6" i="7" s="1"/>
  <c r="CN8" i="7" s="1"/>
  <c r="CM6" i="7" a="1"/>
  <c r="CM6" i="7"/>
  <c r="CM7" i="7" s="1"/>
  <c r="CL6" i="7" a="1"/>
  <c r="CL6" i="7" s="1"/>
  <c r="CL7" i="7" s="1"/>
  <c r="CK6" i="7" a="1"/>
  <c r="CK6" i="7"/>
  <c r="CJ6" i="7" a="1"/>
  <c r="CJ6" i="7"/>
  <c r="CJ8" i="7" s="1"/>
  <c r="CI6" i="7" a="1"/>
  <c r="CI6" i="7"/>
  <c r="CH6" i="7" a="1"/>
  <c r="CH6" i="7"/>
  <c r="CH7" i="7" s="1"/>
  <c r="CG6" i="7" a="1"/>
  <c r="CG6" i="7"/>
  <c r="CF6" i="7" a="1"/>
  <c r="CF6" i="7"/>
  <c r="CF8" i="7" s="1"/>
  <c r="CE6" i="7" a="1"/>
  <c r="CE6" i="7"/>
  <c r="CD6" i="7" a="1"/>
  <c r="CD6" i="7" s="1"/>
  <c r="CC6" i="7" a="1"/>
  <c r="CC6" i="7" s="1"/>
  <c r="CB6" i="7" a="1"/>
  <c r="CB6" i="7"/>
  <c r="CA6" i="7" a="1"/>
  <c r="CA6" i="7"/>
  <c r="BZ6" i="7" a="1"/>
  <c r="BZ6" i="7"/>
  <c r="BY6" i="7" a="1"/>
  <c r="BY6" i="7"/>
  <c r="BY7" i="7" s="1"/>
  <c r="BX6" i="7" a="1"/>
  <c r="BX6" i="7" s="1"/>
  <c r="BX7" i="7" s="1"/>
  <c r="BW6" i="7" a="1"/>
  <c r="BW6" i="7"/>
  <c r="BW7" i="7" s="1"/>
  <c r="BV6" i="7" a="1"/>
  <c r="BV6" i="7"/>
  <c r="BV8" i="7" s="1"/>
  <c r="BU6" i="7" a="1"/>
  <c r="BU6" i="7"/>
  <c r="BU8" i="7" s="1"/>
  <c r="BT6" i="7" a="1"/>
  <c r="BT6" i="7"/>
  <c r="BS6" i="7" a="1"/>
  <c r="BS6" i="7"/>
  <c r="BR6" i="7" a="1"/>
  <c r="BR6" i="7" s="1"/>
  <c r="BQ6" i="7" a="1"/>
  <c r="BQ6" i="7"/>
  <c r="BP6" i="7" a="1"/>
  <c r="BP6" i="7"/>
  <c r="BO6" i="7" a="1"/>
  <c r="BO6" i="7"/>
  <c r="BN6" i="7" a="1"/>
  <c r="BN6" i="7"/>
  <c r="BM6" i="7" a="1"/>
  <c r="BM6" i="7" s="1"/>
  <c r="BL6" i="7" a="1"/>
  <c r="BL6" i="7"/>
  <c r="BL8" i="7" s="1"/>
  <c r="BK6" i="7" a="1"/>
  <c r="BK6" i="7"/>
  <c r="BK8" i="7" s="1"/>
  <c r="BJ6" i="7" a="1"/>
  <c r="BJ6" i="7" s="1"/>
  <c r="BJ7" i="7" s="1"/>
  <c r="BI6" i="7" a="1"/>
  <c r="BI6" i="7" s="1"/>
  <c r="BH6" i="7" a="1"/>
  <c r="BH6" i="7" s="1"/>
  <c r="BG6" i="7" a="1"/>
  <c r="BG6" i="7" s="1"/>
  <c r="BF6" i="7" a="1"/>
  <c r="BF6" i="7" s="1"/>
  <c r="BE6" i="7" a="1"/>
  <c r="BE6" i="7" s="1"/>
  <c r="BD6" i="7" a="1"/>
  <c r="BD6" i="7"/>
  <c r="BD8" i="7" s="1"/>
  <c r="BC6" i="7" a="1"/>
  <c r="BC6" i="7"/>
  <c r="BB6" i="7" a="1"/>
  <c r="BB6" i="7" s="1"/>
  <c r="BA6" i="7" a="1"/>
  <c r="BA6" i="7" s="1"/>
  <c r="BA7" i="7" s="1"/>
  <c r="AZ6" i="7" a="1"/>
  <c r="AZ6" i="7"/>
  <c r="AY6" i="7" a="1"/>
  <c r="AY6" i="7"/>
  <c r="AX6" i="7" a="1"/>
  <c r="AX6" i="7"/>
  <c r="AW6" i="7" a="1"/>
  <c r="AW6" i="7"/>
  <c r="AW7" i="7" s="1"/>
  <c r="AV6" i="7" a="1"/>
  <c r="AV6" i="7" s="1"/>
  <c r="AU6" i="7" a="1"/>
  <c r="AU6" i="7" s="1"/>
  <c r="AT6" i="7" a="1"/>
  <c r="AT6" i="7" s="1"/>
  <c r="AT8" i="7" s="1"/>
  <c r="AS6" i="7" a="1"/>
  <c r="AS6" i="7"/>
  <c r="AR6" i="7" a="1"/>
  <c r="AR6" i="7"/>
  <c r="AR8" i="7" s="1"/>
  <c r="AQ6" i="7" a="1"/>
  <c r="AQ6" i="7" s="1"/>
  <c r="AP6" i="7" a="1"/>
  <c r="AP6" i="7"/>
  <c r="AO6" i="7" a="1"/>
  <c r="AO6" i="7"/>
  <c r="AO7" i="7" s="1"/>
  <c r="AN6" i="7" a="1"/>
  <c r="AN6" i="7"/>
  <c r="AN8" i="7" s="1"/>
  <c r="AM6" i="7" a="1"/>
  <c r="AM6" i="7"/>
  <c r="AL6" i="7" a="1"/>
  <c r="AL6" i="7"/>
  <c r="AL7" i="7" s="1"/>
  <c r="AK6" i="7" a="1"/>
  <c r="AK6" i="7" s="1"/>
  <c r="AK7" i="7" s="1"/>
  <c r="AJ6" i="7" a="1"/>
  <c r="AJ6" i="7"/>
  <c r="AI6" i="7" a="1"/>
  <c r="AI6" i="7" s="1"/>
  <c r="AH6" i="7" a="1"/>
  <c r="AH6" i="7"/>
  <c r="AH8" i="7" s="1"/>
  <c r="AG6" i="7" a="1"/>
  <c r="AG6" i="7"/>
  <c r="AG8" i="7" s="1"/>
  <c r="AF6" i="7" a="1"/>
  <c r="AF6" i="7" s="1"/>
  <c r="AE6" i="7" a="1"/>
  <c r="AE6" i="7"/>
  <c r="AE8" i="7" s="1"/>
  <c r="AD6" i="7" a="1"/>
  <c r="AD6" i="7" s="1"/>
  <c r="AD8" i="7" s="1"/>
  <c r="AC6" i="7" a="1"/>
  <c r="AC6" i="7" s="1"/>
  <c r="AC7" i="7" s="1"/>
  <c r="AB6" i="7" a="1"/>
  <c r="AB6" i="7"/>
  <c r="AB7" i="7" s="1"/>
  <c r="AA6" i="7" a="1"/>
  <c r="AA6" i="7"/>
  <c r="Z6" i="7" a="1"/>
  <c r="Z6" i="7" s="1"/>
  <c r="Z7" i="7" s="1"/>
  <c r="Y6" i="7" a="1"/>
  <c r="Y6" i="7" s="1"/>
  <c r="Y7" i="7" s="1"/>
  <c r="X6" i="7" a="1"/>
  <c r="X6" i="7" s="1"/>
  <c r="X7" i="7" s="1"/>
  <c r="W6" i="7" a="1"/>
  <c r="W6" i="7"/>
  <c r="V6" i="7" a="1"/>
  <c r="V6" i="7"/>
  <c r="V7" i="7" s="1"/>
  <c r="U6" i="7" a="1"/>
  <c r="U6" i="7"/>
  <c r="U7" i="7" s="1"/>
  <c r="T6" i="7" a="1"/>
  <c r="T6" i="7" s="1"/>
  <c r="S6" i="7" a="1"/>
  <c r="S6" i="7"/>
  <c r="R6" i="7" a="1"/>
  <c r="R6" i="7"/>
  <c r="R7" i="7" s="1"/>
  <c r="Q6" i="7" a="1"/>
  <c r="Q6" i="7" s="1"/>
  <c r="P6" i="7" a="1"/>
  <c r="P6" i="7" s="1"/>
  <c r="O6" i="7" a="1"/>
  <c r="O6" i="7" s="1"/>
  <c r="O8" i="7" s="1"/>
  <c r="N6" i="7" a="1"/>
  <c r="N6" i="7" s="1"/>
  <c r="N7" i="7" s="1"/>
  <c r="M6" i="7" a="1"/>
  <c r="M6" i="7"/>
  <c r="M8" i="7" s="1"/>
  <c r="L6" i="7" a="1"/>
  <c r="L6" i="7"/>
  <c r="K6" i="7" a="1"/>
  <c r="K6" i="7"/>
  <c r="J6" i="7" a="1"/>
  <c r="J6" i="7" s="1"/>
  <c r="I6" i="7" a="1"/>
  <c r="I6" i="7"/>
  <c r="I8" i="7" s="1"/>
  <c r="H6" i="7" a="1"/>
  <c r="H6" i="7" s="1"/>
  <c r="H8" i="7" s="1"/>
  <c r="G6" i="7" a="1"/>
  <c r="G6" i="7" s="1"/>
  <c r="G8" i="7" s="1"/>
  <c r="F6" i="7" a="1"/>
  <c r="F6" i="7"/>
  <c r="E6" i="7" a="1"/>
  <c r="E6" i="7"/>
  <c r="D6" i="7" a="1"/>
  <c r="D6" i="7" s="1"/>
  <c r="D7" i="7" s="1"/>
  <c r="C6" i="7" a="1"/>
  <c r="C6" i="7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G25" i="4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E25" i="4"/>
  <c r="F25" i="4" s="1"/>
  <c r="D25" i="4"/>
  <c r="T24" i="4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R24" i="4"/>
  <c r="S24" i="4" s="1"/>
  <c r="I24" i="4"/>
  <c r="J24" i="4" s="1"/>
  <c r="K24" i="4" s="1"/>
  <c r="L24" i="4" s="1"/>
  <c r="M24" i="4" s="1"/>
  <c r="N24" i="4" s="1"/>
  <c r="O24" i="4" s="1"/>
  <c r="P24" i="4" s="1"/>
  <c r="Q24" i="4" s="1"/>
  <c r="H24" i="4"/>
  <c r="G24" i="4"/>
  <c r="F24" i="4"/>
  <c r="D24" i="4"/>
  <c r="E24" i="4" s="1"/>
  <c r="B24" i="4"/>
  <c r="BD23" i="4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23" i="4"/>
  <c r="F22" i="4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D22" i="4"/>
  <c r="E22" i="4" s="1"/>
  <c r="B22" i="4"/>
  <c r="E21" i="4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D21" i="4"/>
  <c r="B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B20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B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B18" i="4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D17" i="4"/>
  <c r="E17" i="4" s="1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AM15" i="4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F15" i="4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D15" i="4"/>
  <c r="E15" i="4" s="1"/>
  <c r="B15" i="4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14" i="4"/>
  <c r="B14" i="4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E13" i="4"/>
  <c r="D13" i="4"/>
  <c r="B13" i="4"/>
  <c r="AG12" i="4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U12" i="4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B12" i="4"/>
  <c r="EK8" i="4"/>
  <c r="EJ8" i="4"/>
  <c r="EI8" i="4"/>
  <c r="EC8" i="4"/>
  <c r="DW8" i="4"/>
  <c r="DV8" i="4"/>
  <c r="DM8" i="4"/>
  <c r="DL8" i="4"/>
  <c r="DK8" i="4"/>
  <c r="DH8" i="4"/>
  <c r="DG8" i="4"/>
  <c r="CX8" i="4"/>
  <c r="CW8" i="4"/>
  <c r="CV8" i="4"/>
  <c r="CP8" i="4"/>
  <c r="CO8" i="4"/>
  <c r="CM8" i="4"/>
  <c r="CK8" i="4"/>
  <c r="CJ8" i="4"/>
  <c r="CC8" i="4"/>
  <c r="CB8" i="4"/>
  <c r="CA8" i="4"/>
  <c r="BZ8" i="4"/>
  <c r="BN8" i="4"/>
  <c r="BM8" i="4"/>
  <c r="BE8" i="4"/>
  <c r="BD8" i="4"/>
  <c r="BC8" i="4"/>
  <c r="BB8" i="4"/>
  <c r="AT8" i="4"/>
  <c r="AS8" i="4"/>
  <c r="AK8" i="4"/>
  <c r="AH8" i="4"/>
  <c r="AG8" i="4"/>
  <c r="AE8" i="4"/>
  <c r="W8" i="4"/>
  <c r="V8" i="4"/>
  <c r="T8" i="4"/>
  <c r="L8" i="4"/>
  <c r="EI7" i="4"/>
  <c r="EG7" i="4"/>
  <c r="EF7" i="4"/>
  <c r="EE7" i="4"/>
  <c r="ED7" i="4"/>
  <c r="EC7" i="4"/>
  <c r="EB7" i="4"/>
  <c r="DZ7" i="4"/>
  <c r="DX7" i="4"/>
  <c r="DW7" i="4"/>
  <c r="DV7" i="4"/>
  <c r="DJ7" i="4"/>
  <c r="DH7" i="4"/>
  <c r="DG7" i="4"/>
  <c r="CZ7" i="4"/>
  <c r="CY7" i="4"/>
  <c r="CX7" i="4"/>
  <c r="CM7" i="4"/>
  <c r="CL7" i="4"/>
  <c r="CK7" i="4"/>
  <c r="CJ7" i="4"/>
  <c r="CC7" i="4"/>
  <c r="CB7" i="4"/>
  <c r="CA7" i="4"/>
  <c r="BP7" i="4"/>
  <c r="BO7" i="4"/>
  <c r="BN7" i="4"/>
  <c r="BM7" i="4"/>
  <c r="BL7" i="4"/>
  <c r="BK7" i="4"/>
  <c r="BJ7" i="4"/>
  <c r="BG7" i="4"/>
  <c r="AS7" i="4"/>
  <c r="AR7" i="4"/>
  <c r="AQ7" i="4"/>
  <c r="AP7" i="4"/>
  <c r="AO7" i="4"/>
  <c r="AN7" i="4"/>
  <c r="AM7" i="4"/>
  <c r="AG7" i="4"/>
  <c r="O7" i="4"/>
  <c r="N7" i="4"/>
  <c r="M7" i="4"/>
  <c r="K7" i="4"/>
  <c r="J7" i="4"/>
  <c r="C7" i="4"/>
  <c r="EL6" i="4" a="1"/>
  <c r="EL6" i="4"/>
  <c r="EK6" i="4" a="1"/>
  <c r="EK6" i="4"/>
  <c r="EK7" i="4" s="1"/>
  <c r="EJ6" i="4" a="1"/>
  <c r="EJ6" i="4" s="1"/>
  <c r="EJ7" i="4" s="1"/>
  <c r="EI6" i="4" a="1"/>
  <c r="EI6" i="4"/>
  <c r="EH6" i="4" a="1"/>
  <c r="EH6" i="4" s="1"/>
  <c r="EG6" i="4" a="1"/>
  <c r="EG6" i="4" s="1"/>
  <c r="EG8" i="4" s="1"/>
  <c r="EF6" i="4" a="1"/>
  <c r="EF6" i="4"/>
  <c r="EF8" i="4" s="1"/>
  <c r="EE6" i="4" a="1"/>
  <c r="EE6" i="4"/>
  <c r="EE8" i="4" s="1"/>
  <c r="ED6" i="4" a="1"/>
  <c r="ED6" i="4" s="1"/>
  <c r="ED8" i="4" s="1"/>
  <c r="EC6" i="4" a="1"/>
  <c r="EC6" i="4"/>
  <c r="EB6" i="4" a="1"/>
  <c r="EB6" i="4"/>
  <c r="EB8" i="4" s="1"/>
  <c r="EA6" i="4" a="1"/>
  <c r="EA6" i="4" s="1"/>
  <c r="DZ6" i="4" a="1"/>
  <c r="DZ6" i="4"/>
  <c r="DZ8" i="4" s="1"/>
  <c r="DY6" i="4" a="1"/>
  <c r="DY6" i="4"/>
  <c r="DY7" i="4" s="1"/>
  <c r="DX6" i="4" a="1"/>
  <c r="DX6" i="4"/>
  <c r="DX8" i="4" s="1"/>
  <c r="DW6" i="4" a="1"/>
  <c r="DW6" i="4" s="1"/>
  <c r="DV6" i="4" a="1"/>
  <c r="DV6" i="4"/>
  <c r="DU6" i="4" a="1"/>
  <c r="DU6" i="4"/>
  <c r="DU8" i="4" s="1"/>
  <c r="DT6" i="4" a="1"/>
  <c r="DT6" i="4"/>
  <c r="DS6" i="4" a="1"/>
  <c r="DS6" i="4" s="1"/>
  <c r="DR6" i="4" a="1"/>
  <c r="DR6" i="4"/>
  <c r="DR7" i="4" s="1"/>
  <c r="DQ6" i="4" a="1"/>
  <c r="DQ6" i="4"/>
  <c r="DP6" i="4" a="1"/>
  <c r="DP6" i="4" s="1"/>
  <c r="DO6" i="4" a="1"/>
  <c r="DO6" i="4"/>
  <c r="DN6" i="4" a="1"/>
  <c r="DN6" i="4"/>
  <c r="DM6" i="4" a="1"/>
  <c r="DM6" i="4"/>
  <c r="DM7" i="4" s="1"/>
  <c r="DL6" i="4" a="1"/>
  <c r="DL6" i="4"/>
  <c r="DL7" i="4" s="1"/>
  <c r="DK6" i="4" a="1"/>
  <c r="DK6" i="4" s="1"/>
  <c r="DK7" i="4" s="1"/>
  <c r="DJ6" i="4" a="1"/>
  <c r="DJ6" i="4"/>
  <c r="DJ8" i="4" s="1"/>
  <c r="DI6" i="4" a="1"/>
  <c r="DI6" i="4"/>
  <c r="DH6" i="4" a="1"/>
  <c r="DH6" i="4" s="1"/>
  <c r="DG6" i="4" a="1"/>
  <c r="DG6" i="4"/>
  <c r="DF6" i="4" a="1"/>
  <c r="DF6" i="4"/>
  <c r="DF8" i="4" s="1"/>
  <c r="DE6" i="4" a="1"/>
  <c r="DE6" i="4"/>
  <c r="DD6" i="4" a="1"/>
  <c r="DD6" i="4"/>
  <c r="DC6" i="4" a="1"/>
  <c r="DC6" i="4" s="1"/>
  <c r="DB6" i="4" a="1"/>
  <c r="DB6" i="4"/>
  <c r="DA6" i="4" a="1"/>
  <c r="DA6" i="4"/>
  <c r="CZ6" i="4" a="1"/>
  <c r="CZ6" i="4" s="1"/>
  <c r="CZ8" i="4" s="1"/>
  <c r="CY6" i="4" a="1"/>
  <c r="CY6" i="4"/>
  <c r="CY8" i="4" s="1"/>
  <c r="CX6" i="4" a="1"/>
  <c r="CX6" i="4"/>
  <c r="CW6" i="4" a="1"/>
  <c r="CW6" i="4" s="1"/>
  <c r="CW7" i="4" s="1"/>
  <c r="CV6" i="4" a="1"/>
  <c r="CV6" i="4"/>
  <c r="CV7" i="4" s="1"/>
  <c r="CU6" i="4" a="1"/>
  <c r="CU6" i="4"/>
  <c r="CT6" i="4" a="1"/>
  <c r="CT6" i="4"/>
  <c r="CS6" i="4" a="1"/>
  <c r="CS6" i="4"/>
  <c r="CR6" i="4" a="1"/>
  <c r="CR6" i="4" s="1"/>
  <c r="CQ6" i="4" a="1"/>
  <c r="CQ6" i="4" s="1"/>
  <c r="CP6" i="4" a="1"/>
  <c r="CP6" i="4"/>
  <c r="CP7" i="4" s="1"/>
  <c r="CO6" i="4" a="1"/>
  <c r="CO6" i="4"/>
  <c r="CO7" i="4" s="1"/>
  <c r="CN6" i="4" a="1"/>
  <c r="CN6" i="4"/>
  <c r="CM6" i="4" a="1"/>
  <c r="CM6" i="4" s="1"/>
  <c r="CL6" i="4" a="1"/>
  <c r="CL6" i="4" s="1"/>
  <c r="CL8" i="4" s="1"/>
  <c r="CK6" i="4" a="1"/>
  <c r="CK6" i="4"/>
  <c r="CJ6" i="4" a="1"/>
  <c r="CJ6" i="4"/>
  <c r="CI6" i="4" a="1"/>
  <c r="CI6" i="4" s="1"/>
  <c r="CI7" i="4" s="1"/>
  <c r="CH6" i="4" a="1"/>
  <c r="CH6" i="4"/>
  <c r="CG6" i="4" a="1"/>
  <c r="CG6" i="4"/>
  <c r="CG7" i="4" s="1"/>
  <c r="CF6" i="4" a="1"/>
  <c r="CF6" i="4"/>
  <c r="CE6" i="4" a="1"/>
  <c r="CE6" i="4"/>
  <c r="CD6" i="4" a="1"/>
  <c r="CD6" i="4" s="1"/>
  <c r="CC6" i="4" a="1"/>
  <c r="CC6" i="4"/>
  <c r="CB6" i="4" a="1"/>
  <c r="CB6" i="4"/>
  <c r="CA6" i="4" a="1"/>
  <c r="CA6" i="4" s="1"/>
  <c r="BZ6" i="4" a="1"/>
  <c r="BZ6" i="4"/>
  <c r="BZ7" i="4" s="1"/>
  <c r="BY6" i="4" a="1"/>
  <c r="BY6" i="4"/>
  <c r="BX6" i="4" a="1"/>
  <c r="BX6" i="4"/>
  <c r="BW6" i="4" a="1"/>
  <c r="BW6" i="4"/>
  <c r="BV6" i="4" a="1"/>
  <c r="BV6" i="4"/>
  <c r="BU6" i="4" a="1"/>
  <c r="BU6" i="4"/>
  <c r="BT6" i="4" a="1"/>
  <c r="BT6" i="4" s="1"/>
  <c r="BS6" i="4" a="1"/>
  <c r="BS6" i="4"/>
  <c r="BR6" i="4" a="1"/>
  <c r="BR6" i="4"/>
  <c r="BQ6" i="4" a="1"/>
  <c r="BQ6" i="4" s="1"/>
  <c r="BP6" i="4" a="1"/>
  <c r="BP6" i="4" s="1"/>
  <c r="BP8" i="4" s="1"/>
  <c r="BO6" i="4" a="1"/>
  <c r="BO6" i="4"/>
  <c r="BO8" i="4" s="1"/>
  <c r="BN6" i="4" a="1"/>
  <c r="BN6" i="4"/>
  <c r="BM6" i="4" a="1"/>
  <c r="BM6" i="4"/>
  <c r="BL6" i="4" a="1"/>
  <c r="BL6" i="4"/>
  <c r="BL8" i="4" s="1"/>
  <c r="BK6" i="4" a="1"/>
  <c r="BK6" i="4"/>
  <c r="BK8" i="4" s="1"/>
  <c r="BJ6" i="4" a="1"/>
  <c r="BJ6" i="4"/>
  <c r="BJ8" i="4" s="1"/>
  <c r="BI6" i="4" a="1"/>
  <c r="BI6" i="4"/>
  <c r="BH6" i="4" a="1"/>
  <c r="BH6" i="4" s="1"/>
  <c r="BG6" i="4" a="1"/>
  <c r="BG6" i="4"/>
  <c r="BG8" i="4" s="1"/>
  <c r="BF6" i="4" a="1"/>
  <c r="BF6" i="4" s="1"/>
  <c r="BE6" i="4" a="1"/>
  <c r="BE6" i="4" s="1"/>
  <c r="BE7" i="4" s="1"/>
  <c r="BD6" i="4" a="1"/>
  <c r="BD6" i="4"/>
  <c r="BD7" i="4" s="1"/>
  <c r="BC6" i="4" a="1"/>
  <c r="BC6" i="4"/>
  <c r="BC7" i="4" s="1"/>
  <c r="BB6" i="4" a="1"/>
  <c r="BB6" i="4"/>
  <c r="BB7" i="4" s="1"/>
  <c r="BA6" i="4" a="1"/>
  <c r="BA6" i="4"/>
  <c r="AZ6" i="4" a="1"/>
  <c r="AZ6" i="4"/>
  <c r="AY6" i="4" a="1"/>
  <c r="AY6" i="4"/>
  <c r="AX6" i="4" a="1"/>
  <c r="AX6" i="4"/>
  <c r="AW6" i="4" a="1"/>
  <c r="AW6" i="4"/>
  <c r="AV6" i="4" a="1"/>
  <c r="AV6" i="4"/>
  <c r="AU6" i="4" a="1"/>
  <c r="AU6" i="4"/>
  <c r="AT6" i="4" a="1"/>
  <c r="AT6" i="4" s="1"/>
  <c r="AT7" i="4" s="1"/>
  <c r="AS6" i="4" a="1"/>
  <c r="AS6" i="4"/>
  <c r="AR6" i="4" a="1"/>
  <c r="AR6" i="4"/>
  <c r="AR8" i="4" s="1"/>
  <c r="AQ6" i="4" a="1"/>
  <c r="AQ6" i="4" s="1"/>
  <c r="AQ8" i="4" s="1"/>
  <c r="AP6" i="4" a="1"/>
  <c r="AP6" i="4"/>
  <c r="AP8" i="4" s="1"/>
  <c r="AO6" i="4" a="1"/>
  <c r="AO6" i="4"/>
  <c r="AO8" i="4" s="1"/>
  <c r="AN6" i="4" a="1"/>
  <c r="AN6" i="4"/>
  <c r="AN8" i="4" s="1"/>
  <c r="AM6" i="4" a="1"/>
  <c r="AM6" i="4"/>
  <c r="AM8" i="4" s="1"/>
  <c r="AL6" i="4" a="1"/>
  <c r="AL6" i="4"/>
  <c r="AK6" i="4" a="1"/>
  <c r="AK6" i="4"/>
  <c r="AK7" i="4" s="1"/>
  <c r="AJ6" i="4" a="1"/>
  <c r="AJ6" i="4" s="1"/>
  <c r="AI6" i="4" a="1"/>
  <c r="AI6" i="4" s="1"/>
  <c r="AH6" i="4" a="1"/>
  <c r="AH6" i="4"/>
  <c r="AH7" i="4" s="1"/>
  <c r="AG6" i="4" a="1"/>
  <c r="AG6" i="4"/>
  <c r="AF6" i="4" a="1"/>
  <c r="AF6" i="4" s="1"/>
  <c r="AE6" i="4" a="1"/>
  <c r="AE6" i="4"/>
  <c r="AE7" i="4" s="1"/>
  <c r="AD6" i="4" a="1"/>
  <c r="AD6" i="4"/>
  <c r="AC6" i="4" a="1"/>
  <c r="AC6" i="4"/>
  <c r="AB6" i="4" a="1"/>
  <c r="AB6" i="4"/>
  <c r="AA6" i="4" a="1"/>
  <c r="AA6" i="4"/>
  <c r="Z6" i="4" a="1"/>
  <c r="Z6" i="4"/>
  <c r="Z8" i="4" s="1"/>
  <c r="Y6" i="4" a="1"/>
  <c r="Y6" i="4"/>
  <c r="X6" i="4" a="1"/>
  <c r="X6" i="4" s="1"/>
  <c r="W6" i="4" a="1"/>
  <c r="W6" i="4"/>
  <c r="W7" i="4" s="1"/>
  <c r="V6" i="4" a="1"/>
  <c r="V6" i="4"/>
  <c r="V7" i="4" s="1"/>
  <c r="U6" i="4" a="1"/>
  <c r="U6" i="4"/>
  <c r="T6" i="4" a="1"/>
  <c r="T6" i="4"/>
  <c r="T7" i="4" s="1"/>
  <c r="S6" i="4" a="1"/>
  <c r="S6" i="4"/>
  <c r="R6" i="4" a="1"/>
  <c r="R6" i="4" s="1"/>
  <c r="Q6" i="4" a="1"/>
  <c r="Q6" i="4" s="1"/>
  <c r="P6" i="4" a="1"/>
  <c r="P6" i="4" s="1"/>
  <c r="O6" i="4" a="1"/>
  <c r="O6" i="4"/>
  <c r="O8" i="4" s="1"/>
  <c r="N6" i="4" a="1"/>
  <c r="N6" i="4"/>
  <c r="N8" i="4" s="1"/>
  <c r="M6" i="4" a="1"/>
  <c r="M6" i="4" s="1"/>
  <c r="M8" i="4" s="1"/>
  <c r="L6" i="4" a="1"/>
  <c r="L6" i="4"/>
  <c r="L7" i="4" s="1"/>
  <c r="K6" i="4" a="1"/>
  <c r="K6" i="4"/>
  <c r="K8" i="4" s="1"/>
  <c r="J6" i="4" a="1"/>
  <c r="J6" i="4" s="1"/>
  <c r="J8" i="4" s="1"/>
  <c r="I6" i="4" a="1"/>
  <c r="I6" i="4"/>
  <c r="I8" i="4" s="1"/>
  <c r="H6" i="4" a="1"/>
  <c r="H6" i="4" s="1"/>
  <c r="G6" i="4" a="1"/>
  <c r="G6" i="4"/>
  <c r="F6" i="4" a="1"/>
  <c r="F6" i="4"/>
  <c r="E6" i="4" a="1"/>
  <c r="E6" i="4"/>
  <c r="D6" i="4" a="1"/>
  <c r="D6" i="4"/>
  <c r="C6" i="4" a="1"/>
  <c r="C6" i="4"/>
  <c r="C8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EM21" i="3" s="1"/>
  <c r="EN21" i="3" s="1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L8" i="3"/>
  <c r="EG8" i="3"/>
  <c r="EE8" i="3"/>
  <c r="DU8" i="3"/>
  <c r="DT8" i="3"/>
  <c r="DS8" i="3"/>
  <c r="DR8" i="3"/>
  <c r="DQ8" i="3"/>
  <c r="DO8" i="3"/>
  <c r="DJ8" i="3"/>
  <c r="DI8" i="3"/>
  <c r="DH8" i="3"/>
  <c r="DG8" i="3"/>
  <c r="CU8" i="3"/>
  <c r="CO8" i="3"/>
  <c r="CN8" i="3"/>
  <c r="CM8" i="3"/>
  <c r="CL8" i="3"/>
  <c r="CE8" i="3"/>
  <c r="CD8" i="3"/>
  <c r="CB8" i="3"/>
  <c r="CA8" i="3"/>
  <c r="BZ8" i="3"/>
  <c r="BU8" i="3"/>
  <c r="BQ8" i="3"/>
  <c r="BP8" i="3"/>
  <c r="BE8" i="3"/>
  <c r="BC8" i="3"/>
  <c r="BB8" i="3"/>
  <c r="AZ8" i="3"/>
  <c r="AM8" i="3"/>
  <c r="AL8" i="3"/>
  <c r="AK8" i="3"/>
  <c r="AJ8" i="3"/>
  <c r="AI8" i="3"/>
  <c r="AH8" i="3"/>
  <c r="AE8" i="3"/>
  <c r="AD8" i="3"/>
  <c r="X8" i="3"/>
  <c r="N8" i="3"/>
  <c r="L8" i="3"/>
  <c r="K8" i="3"/>
  <c r="J8" i="3"/>
  <c r="I8" i="3"/>
  <c r="C8" i="3"/>
  <c r="EF7" i="3"/>
  <c r="EE7" i="3"/>
  <c r="ED7" i="3"/>
  <c r="DU7" i="3"/>
  <c r="DT7" i="3"/>
  <c r="DR7" i="3"/>
  <c r="DQ7" i="3"/>
  <c r="DJ7" i="3"/>
  <c r="DI7" i="3"/>
  <c r="DH7" i="3"/>
  <c r="DG7" i="3"/>
  <c r="DF7" i="3"/>
  <c r="DE7" i="3"/>
  <c r="DD7" i="3"/>
  <c r="DC7" i="3"/>
  <c r="DB7" i="3"/>
  <c r="CU7" i="3"/>
  <c r="CT7" i="3"/>
  <c r="CI7" i="3"/>
  <c r="CD7" i="3"/>
  <c r="CC7" i="3"/>
  <c r="CB7" i="3"/>
  <c r="CA7" i="3"/>
  <c r="BQ7" i="3"/>
  <c r="BP7" i="3"/>
  <c r="BO7" i="3"/>
  <c r="BN7" i="3"/>
  <c r="BM7" i="3"/>
  <c r="BL7" i="3"/>
  <c r="BJ7" i="3"/>
  <c r="BI7" i="3"/>
  <c r="BE7" i="3"/>
  <c r="BC7" i="3"/>
  <c r="AO7" i="3"/>
  <c r="AN7" i="3"/>
  <c r="AM7" i="3"/>
  <c r="AL7" i="3"/>
  <c r="AK7" i="3"/>
  <c r="AJ7" i="3"/>
  <c r="AI7" i="3"/>
  <c r="Z7" i="3"/>
  <c r="Y7" i="3"/>
  <c r="X7" i="3"/>
  <c r="W7" i="3"/>
  <c r="V7" i="3"/>
  <c r="J7" i="3"/>
  <c r="C7" i="3"/>
  <c r="EM6" i="3" a="1"/>
  <c r="EM6" i="3"/>
  <c r="EM7" i="3" s="1"/>
  <c r="EL6" i="3" a="1"/>
  <c r="EL6" i="3"/>
  <c r="EL7" i="3" s="1"/>
  <c r="EK6" i="3" a="1"/>
  <c r="EK6" i="3"/>
  <c r="EJ6" i="3" a="1"/>
  <c r="EJ6" i="3"/>
  <c r="EI6" i="3" a="1"/>
  <c r="EI6" i="3" s="1"/>
  <c r="EH6" i="3" a="1"/>
  <c r="EH6" i="3" s="1"/>
  <c r="EH7" i="3" s="1"/>
  <c r="EG6" i="3" a="1"/>
  <c r="EG6" i="3"/>
  <c r="EG7" i="3" s="1"/>
  <c r="EF6" i="3" a="1"/>
  <c r="EF6" i="3" s="1"/>
  <c r="EF8" i="3" s="1"/>
  <c r="EE6" i="3" a="1"/>
  <c r="EE6" i="3"/>
  <c r="ED6" i="3" a="1"/>
  <c r="ED6" i="3" s="1"/>
  <c r="ED8" i="3" s="1"/>
  <c r="EC6" i="3" a="1"/>
  <c r="EC6" i="3" s="1"/>
  <c r="EB6" i="3" a="1"/>
  <c r="EB6" i="3"/>
  <c r="EA6" i="3" a="1"/>
  <c r="EA6" i="3"/>
  <c r="DZ6" i="3" a="1"/>
  <c r="DZ6" i="3"/>
  <c r="DY6" i="3" a="1"/>
  <c r="DY6" i="3"/>
  <c r="DX6" i="3" a="1"/>
  <c r="DX6" i="3"/>
  <c r="DW6" i="3" a="1"/>
  <c r="DW6" i="3"/>
  <c r="DV6" i="3" a="1"/>
  <c r="DV6" i="3" s="1"/>
  <c r="DU6" i="3" a="1"/>
  <c r="DU6" i="3" s="1"/>
  <c r="DT6" i="3" a="1"/>
  <c r="DT6" i="3"/>
  <c r="DS6" i="3" a="1"/>
  <c r="DS6" i="3" s="1"/>
  <c r="DS7" i="3" s="1"/>
  <c r="DR6" i="3" a="1"/>
  <c r="DR6" i="3"/>
  <c r="DQ6" i="3" a="1"/>
  <c r="DQ6" i="3"/>
  <c r="DP6" i="3" a="1"/>
  <c r="DP6" i="3"/>
  <c r="DO6" i="3" a="1"/>
  <c r="DO6" i="3"/>
  <c r="DO7" i="3" s="1"/>
  <c r="DN6" i="3" a="1"/>
  <c r="DN6" i="3"/>
  <c r="DM6" i="3" a="1"/>
  <c r="DM6" i="3" s="1"/>
  <c r="DL6" i="3" a="1"/>
  <c r="DL6" i="3"/>
  <c r="DK6" i="3" a="1"/>
  <c r="DK6" i="3" s="1"/>
  <c r="DJ6" i="3" a="1"/>
  <c r="DJ6" i="3" s="1"/>
  <c r="DI6" i="3" a="1"/>
  <c r="DI6" i="3" s="1"/>
  <c r="DH6" i="3" a="1"/>
  <c r="DH6" i="3" s="1"/>
  <c r="DG6" i="3" a="1"/>
  <c r="DG6" i="3"/>
  <c r="DF6" i="3" a="1"/>
  <c r="DF6" i="3"/>
  <c r="DF8" i="3" s="1"/>
  <c r="DE6" i="3" a="1"/>
  <c r="DE6" i="3" s="1"/>
  <c r="DE8" i="3" s="1"/>
  <c r="DD6" i="3" a="1"/>
  <c r="DD6" i="3"/>
  <c r="DD8" i="3" s="1"/>
  <c r="DC6" i="3" a="1"/>
  <c r="DC6" i="3"/>
  <c r="DC8" i="3" s="1"/>
  <c r="DB6" i="3" a="1"/>
  <c r="DB6" i="3"/>
  <c r="DB8" i="3" s="1"/>
  <c r="DA6" i="3" a="1"/>
  <c r="DA6" i="3"/>
  <c r="CZ6" i="3" a="1"/>
  <c r="CZ6" i="3" s="1"/>
  <c r="CY6" i="3" a="1"/>
  <c r="CY6" i="3" s="1"/>
  <c r="CX6" i="3" a="1"/>
  <c r="CX6" i="3" s="1"/>
  <c r="CW6" i="3" a="1"/>
  <c r="CW6" i="3" s="1"/>
  <c r="CV6" i="3" a="1"/>
  <c r="CV6" i="3" s="1"/>
  <c r="CU6" i="3" a="1"/>
  <c r="CU6" i="3"/>
  <c r="CT6" i="3" a="1"/>
  <c r="CT6" i="3"/>
  <c r="CT8" i="3" s="1"/>
  <c r="CS6" i="3" a="1"/>
  <c r="CS6" i="3"/>
  <c r="CR6" i="3" a="1"/>
  <c r="CR6" i="3" s="1"/>
  <c r="CR7" i="3" s="1"/>
  <c r="CQ6" i="3" a="1"/>
  <c r="CQ6" i="3" s="1"/>
  <c r="CP6" i="3" a="1"/>
  <c r="CP6" i="3" s="1"/>
  <c r="CO6" i="3" a="1"/>
  <c r="CO6" i="3"/>
  <c r="CO7" i="3" s="1"/>
  <c r="CN6" i="3" a="1"/>
  <c r="CN6" i="3" s="1"/>
  <c r="CN7" i="3" s="1"/>
  <c r="CM6" i="3" a="1"/>
  <c r="CM6" i="3" s="1"/>
  <c r="CM7" i="3" s="1"/>
  <c r="CL6" i="3" a="1"/>
  <c r="CL6" i="3" s="1"/>
  <c r="CL7" i="3" s="1"/>
  <c r="CK6" i="3" a="1"/>
  <c r="CK6" i="3" s="1"/>
  <c r="CJ6" i="3" a="1"/>
  <c r="CJ6" i="3" s="1"/>
  <c r="CI6" i="3" a="1"/>
  <c r="CI6" i="3"/>
  <c r="CI8" i="3" s="1"/>
  <c r="CH6" i="3" a="1"/>
  <c r="CH6" i="3"/>
  <c r="CG6" i="3" a="1"/>
  <c r="CG6" i="3" s="1"/>
  <c r="CF6" i="3" a="1"/>
  <c r="CF6" i="3"/>
  <c r="CE6" i="3" a="1"/>
  <c r="CE6" i="3" s="1"/>
  <c r="CE7" i="3" s="1"/>
  <c r="CD6" i="3" a="1"/>
  <c r="CD6" i="3"/>
  <c r="CC6" i="3" a="1"/>
  <c r="CC6" i="3" s="1"/>
  <c r="CC8" i="3" s="1"/>
  <c r="CB6" i="3" a="1"/>
  <c r="CB6" i="3" s="1"/>
  <c r="CA6" i="3" a="1"/>
  <c r="CA6" i="3" s="1"/>
  <c r="BZ6" i="3" a="1"/>
  <c r="BZ6" i="3"/>
  <c r="BZ7" i="3" s="1"/>
  <c r="BY6" i="3" a="1"/>
  <c r="BY6" i="3"/>
  <c r="BX6" i="3" a="1"/>
  <c r="BX6" i="3"/>
  <c r="BW6" i="3" a="1"/>
  <c r="BW6" i="3" s="1"/>
  <c r="BV6" i="3" a="1"/>
  <c r="BV6" i="3"/>
  <c r="BV7" i="3" s="1"/>
  <c r="BU6" i="3" a="1"/>
  <c r="BU6" i="3"/>
  <c r="BU7" i="3" s="1"/>
  <c r="BT6" i="3" a="1"/>
  <c r="BT6" i="3"/>
  <c r="BT7" i="3" s="1"/>
  <c r="BS6" i="3" a="1"/>
  <c r="BS6" i="3"/>
  <c r="BS7" i="3" s="1"/>
  <c r="BR6" i="3" a="1"/>
  <c r="BR6" i="3" s="1"/>
  <c r="BQ6" i="3" a="1"/>
  <c r="BQ6" i="3" s="1"/>
  <c r="BP6" i="3" a="1"/>
  <c r="BP6" i="3" s="1"/>
  <c r="BO6" i="3" a="1"/>
  <c r="BO6" i="3" s="1"/>
  <c r="BO8" i="3" s="1"/>
  <c r="BN6" i="3" a="1"/>
  <c r="BN6" i="3" s="1"/>
  <c r="BN8" i="3" s="1"/>
  <c r="BM6" i="3" a="1"/>
  <c r="BM6" i="3"/>
  <c r="BM8" i="3" s="1"/>
  <c r="BL6" i="3" a="1"/>
  <c r="BL6" i="3"/>
  <c r="BL8" i="3" s="1"/>
  <c r="BK6" i="3" a="1"/>
  <c r="BK6" i="3" s="1"/>
  <c r="BJ6" i="3" a="1"/>
  <c r="BJ6" i="3"/>
  <c r="BJ8" i="3" s="1"/>
  <c r="BI6" i="3" a="1"/>
  <c r="BI6" i="3"/>
  <c r="BI8" i="3" s="1"/>
  <c r="BH6" i="3" a="1"/>
  <c r="BH6" i="3"/>
  <c r="BG6" i="3" a="1"/>
  <c r="BG6" i="3" s="1"/>
  <c r="BF6" i="3" a="1"/>
  <c r="BF6" i="3" s="1"/>
  <c r="BE6" i="3" a="1"/>
  <c r="BE6" i="3" s="1"/>
  <c r="BD6" i="3" a="1"/>
  <c r="BD6" i="3"/>
  <c r="BC6" i="3" a="1"/>
  <c r="BC6" i="3"/>
  <c r="BB6" i="3" a="1"/>
  <c r="BB6" i="3" s="1"/>
  <c r="BB7" i="3" s="1"/>
  <c r="BA6" i="3" a="1"/>
  <c r="BA6" i="3" s="1"/>
  <c r="AZ6" i="3" a="1"/>
  <c r="AZ6" i="3"/>
  <c r="AZ7" i="3" s="1"/>
  <c r="AY6" i="3" a="1"/>
  <c r="AY6" i="3"/>
  <c r="AY7" i="3" s="1"/>
  <c r="AX6" i="3" a="1"/>
  <c r="AX6" i="3" s="1"/>
  <c r="AW6" i="3" a="1"/>
  <c r="AW6" i="3"/>
  <c r="AW7" i="3" s="1"/>
  <c r="AV6" i="3" a="1"/>
  <c r="AV6" i="3" s="1"/>
  <c r="AU6" i="3" a="1"/>
  <c r="AU6" i="3" s="1"/>
  <c r="AT6" i="3" a="1"/>
  <c r="AT6" i="3" s="1"/>
  <c r="AS6" i="3" a="1"/>
  <c r="AS6" i="3" s="1"/>
  <c r="AR6" i="3" a="1"/>
  <c r="AR6" i="3" s="1"/>
  <c r="AQ6" i="3" a="1"/>
  <c r="AQ6" i="3"/>
  <c r="AP6" i="3" a="1"/>
  <c r="AP6" i="3"/>
  <c r="AO6" i="3" a="1"/>
  <c r="AO6" i="3"/>
  <c r="AO8" i="3" s="1"/>
  <c r="AN6" i="3" a="1"/>
  <c r="AN6" i="3"/>
  <c r="AN8" i="3" s="1"/>
  <c r="AM6" i="3" a="1"/>
  <c r="AM6" i="3"/>
  <c r="AL6" i="3" a="1"/>
  <c r="AL6" i="3" s="1"/>
  <c r="AK6" i="3" a="1"/>
  <c r="AK6" i="3" s="1"/>
  <c r="AJ6" i="3" a="1"/>
  <c r="AJ6" i="3" s="1"/>
  <c r="AI6" i="3" a="1"/>
  <c r="AI6" i="3" s="1"/>
  <c r="AH6" i="3" a="1"/>
  <c r="AH6" i="3"/>
  <c r="AH7" i="3" s="1"/>
  <c r="AG6" i="3" a="1"/>
  <c r="AG6" i="3" s="1"/>
  <c r="AF6" i="3" a="1"/>
  <c r="AF6" i="3"/>
  <c r="AE6" i="3" a="1"/>
  <c r="AE6" i="3" s="1"/>
  <c r="AE7" i="3" s="1"/>
  <c r="AD6" i="3" a="1"/>
  <c r="AD6" i="3" s="1"/>
  <c r="AD7" i="3" s="1"/>
  <c r="AC6" i="3" a="1"/>
  <c r="AC6" i="3"/>
  <c r="AB6" i="3" a="1"/>
  <c r="AB6" i="3" s="1"/>
  <c r="AA6" i="3" a="1"/>
  <c r="AA6" i="3" s="1"/>
  <c r="Z6" i="3" a="1"/>
  <c r="Z6" i="3" s="1"/>
  <c r="Z8" i="3" s="1"/>
  <c r="Y6" i="3" a="1"/>
  <c r="Y6" i="3" s="1"/>
  <c r="Y8" i="3" s="1"/>
  <c r="X6" i="3" a="1"/>
  <c r="X6" i="3" s="1"/>
  <c r="W6" i="3" a="1"/>
  <c r="W6" i="3"/>
  <c r="W8" i="3" s="1"/>
  <c r="V6" i="3" a="1"/>
  <c r="V6" i="3"/>
  <c r="V8" i="3" s="1"/>
  <c r="U6" i="3" a="1"/>
  <c r="U6" i="3"/>
  <c r="T6" i="3" a="1"/>
  <c r="T6" i="3"/>
  <c r="S6" i="3" a="1"/>
  <c r="S6" i="3"/>
  <c r="R6" i="3" a="1"/>
  <c r="R6" i="3"/>
  <c r="Q6" i="3" a="1"/>
  <c r="Q6" i="3" s="1"/>
  <c r="P6" i="3" a="1"/>
  <c r="P6" i="3"/>
  <c r="O6" i="3" a="1"/>
  <c r="O6" i="3" s="1"/>
  <c r="N6" i="3" a="1"/>
  <c r="N6" i="3" s="1"/>
  <c r="N7" i="3" s="1"/>
  <c r="M6" i="3" a="1"/>
  <c r="M6" i="3" s="1"/>
  <c r="L6" i="3" a="1"/>
  <c r="L6" i="3"/>
  <c r="L7" i="3" s="1"/>
  <c r="K6" i="3" a="1"/>
  <c r="K6" i="3" s="1"/>
  <c r="K7" i="3" s="1"/>
  <c r="J6" i="3" a="1"/>
  <c r="J6" i="3"/>
  <c r="I6" i="3" a="1"/>
  <c r="I6" i="3"/>
  <c r="I7" i="3" s="1"/>
  <c r="H6" i="3" a="1"/>
  <c r="H6" i="3"/>
  <c r="H7" i="3" s="1"/>
  <c r="G6" i="3" a="1"/>
  <c r="G6" i="3"/>
  <c r="G7" i="3" s="1"/>
  <c r="F6" i="3" a="1"/>
  <c r="F6" i="3"/>
  <c r="E6" i="3" a="1"/>
  <c r="E6" i="3"/>
  <c r="D6" i="3" a="1"/>
  <c r="D6" i="3" s="1"/>
  <c r="C6" i="3" a="1"/>
  <c r="C6" i="3" s="1"/>
  <c r="EN25" i="2"/>
  <c r="EM25" i="2"/>
  <c r="EO25" i="2" s="1"/>
  <c r="EN24" i="2"/>
  <c r="B24" i="2"/>
  <c r="EO23" i="2"/>
  <c r="EN23" i="2"/>
  <c r="B23" i="2"/>
  <c r="EN22" i="2"/>
  <c r="EO22" i="2" s="1"/>
  <c r="B22" i="2"/>
  <c r="EN21" i="2"/>
  <c r="EO21" i="2" s="1"/>
  <c r="B21" i="2"/>
  <c r="EN20" i="2"/>
  <c r="EO20" i="2" s="1"/>
  <c r="B20" i="2"/>
  <c r="EO19" i="2"/>
  <c r="EN19" i="2"/>
  <c r="B19" i="2"/>
  <c r="EN18" i="2"/>
  <c r="EO18" i="2" s="1"/>
  <c r="B18" i="2"/>
  <c r="EN17" i="2"/>
  <c r="EO17" i="2" s="1"/>
  <c r="B17" i="2"/>
  <c r="EN16" i="2"/>
  <c r="B16" i="2"/>
  <c r="EN15" i="2"/>
  <c r="EO15" i="2" s="1"/>
  <c r="B15" i="2"/>
  <c r="EN14" i="2"/>
  <c r="EO14" i="2" s="1"/>
  <c r="B14" i="2"/>
  <c r="EN13" i="2"/>
  <c r="EO13" i="2" s="1"/>
  <c r="B13" i="2"/>
  <c r="EN12" i="2"/>
  <c r="EO12" i="2" s="1"/>
  <c r="B12" i="2"/>
  <c r="EM8" i="2"/>
  <c r="EH8" i="2"/>
  <c r="EF8" i="2"/>
  <c r="EC8" i="2"/>
  <c r="DQ8" i="2"/>
  <c r="DL8" i="2"/>
  <c r="DH8" i="2"/>
  <c r="DF8" i="2"/>
  <c r="DE8" i="2"/>
  <c r="CS8" i="2"/>
  <c r="CQ8" i="2"/>
  <c r="CP8" i="2"/>
  <c r="CI8" i="2"/>
  <c r="CH8" i="2"/>
  <c r="CG8" i="2"/>
  <c r="CF8" i="2"/>
  <c r="CE8" i="2"/>
  <c r="BW8" i="2"/>
  <c r="BT8" i="2"/>
  <c r="BS8" i="2"/>
  <c r="BR8" i="2"/>
  <c r="BQ8" i="2"/>
  <c r="BP8" i="2"/>
  <c r="AU8" i="2"/>
  <c r="AT8" i="2"/>
  <c r="AR8" i="2"/>
  <c r="AB8" i="2"/>
  <c r="V8" i="2"/>
  <c r="U8" i="2"/>
  <c r="S8" i="2"/>
  <c r="R8" i="2"/>
  <c r="P8" i="2"/>
  <c r="O8" i="2"/>
  <c r="N8" i="2"/>
  <c r="M8" i="2"/>
  <c r="L8" i="2"/>
  <c r="K8" i="2"/>
  <c r="C8" i="2"/>
  <c r="EM7" i="2"/>
  <c r="EJ7" i="2"/>
  <c r="EB7" i="2"/>
  <c r="DQ7" i="2"/>
  <c r="DP7" i="2"/>
  <c r="DN7" i="2"/>
  <c r="DM7" i="2"/>
  <c r="DF7" i="2"/>
  <c r="DE7" i="2"/>
  <c r="CQ7" i="2"/>
  <c r="CP7" i="2"/>
  <c r="CI7" i="2"/>
  <c r="CH7" i="2"/>
  <c r="CD7" i="2"/>
  <c r="BU7" i="2"/>
  <c r="BJ7" i="2"/>
  <c r="BH7" i="2"/>
  <c r="BG7" i="2"/>
  <c r="BF7" i="2"/>
  <c r="BE7" i="2"/>
  <c r="BD7" i="2"/>
  <c r="BC7" i="2"/>
  <c r="BB7" i="2"/>
  <c r="AU7" i="2"/>
  <c r="AT7" i="2"/>
  <c r="AS7" i="2"/>
  <c r="AR7" i="2"/>
  <c r="AP7" i="2"/>
  <c r="AF7" i="2"/>
  <c r="AE7" i="2"/>
  <c r="V7" i="2"/>
  <c r="U7" i="2"/>
  <c r="T7" i="2"/>
  <c r="R7" i="2"/>
  <c r="P7" i="2"/>
  <c r="O7" i="2"/>
  <c r="K7" i="2"/>
  <c r="I7" i="2"/>
  <c r="EM6" i="2" a="1"/>
  <c r="EM6" i="2"/>
  <c r="EL6" i="2" a="1"/>
  <c r="EL6" i="2"/>
  <c r="EL8" i="2" s="1"/>
  <c r="EK6" i="2" a="1"/>
  <c r="EK6" i="2"/>
  <c r="EJ6" i="2" a="1"/>
  <c r="EJ6" i="2" s="1"/>
  <c r="EJ8" i="2" s="1"/>
  <c r="EI6" i="2" a="1"/>
  <c r="EI6" i="2"/>
  <c r="EH6" i="2" a="1"/>
  <c r="EH6" i="2"/>
  <c r="EH7" i="2" s="1"/>
  <c r="EG6" i="2" a="1"/>
  <c r="EG6" i="2" s="1"/>
  <c r="EF6" i="2" a="1"/>
  <c r="EF6" i="2"/>
  <c r="EF7" i="2" s="1"/>
  <c r="EE6" i="2" a="1"/>
  <c r="EE6" i="2"/>
  <c r="EE7" i="2" s="1"/>
  <c r="ED6" i="2" a="1"/>
  <c r="ED6" i="2"/>
  <c r="EC6" i="2" a="1"/>
  <c r="EC6" i="2" s="1"/>
  <c r="EC7" i="2" s="1"/>
  <c r="EB6" i="2" a="1"/>
  <c r="EB6" i="2"/>
  <c r="EB8" i="2" s="1"/>
  <c r="EA6" i="2" a="1"/>
  <c r="EA6" i="2" s="1"/>
  <c r="DZ6" i="2" a="1"/>
  <c r="DZ6" i="2"/>
  <c r="DY6" i="2" a="1"/>
  <c r="DY6" i="2" s="1"/>
  <c r="DX6" i="2" a="1"/>
  <c r="DX6" i="2" s="1"/>
  <c r="DX7" i="2" s="1"/>
  <c r="DW6" i="2" a="1"/>
  <c r="DW6" i="2"/>
  <c r="DV6" i="2" a="1"/>
  <c r="DV6" i="2" s="1"/>
  <c r="DU6" i="2" a="1"/>
  <c r="DU6" i="2"/>
  <c r="DT6" i="2" a="1"/>
  <c r="DT6" i="2"/>
  <c r="DS6" i="2" a="1"/>
  <c r="DS6" i="2" s="1"/>
  <c r="DR6" i="2" a="1"/>
  <c r="DR6" i="2" s="1"/>
  <c r="DQ6" i="2" a="1"/>
  <c r="DQ6" i="2"/>
  <c r="DP6" i="2" a="1"/>
  <c r="DP6" i="2"/>
  <c r="DP8" i="2" s="1"/>
  <c r="DO6" i="2" a="1"/>
  <c r="DO6" i="2" s="1"/>
  <c r="DN6" i="2" a="1"/>
  <c r="DN6" i="2" s="1"/>
  <c r="DN8" i="2" s="1"/>
  <c r="DM6" i="2" a="1"/>
  <c r="DM6" i="2"/>
  <c r="DM8" i="2" s="1"/>
  <c r="DL6" i="2" a="1"/>
  <c r="DL6" i="2"/>
  <c r="DL7" i="2" s="1"/>
  <c r="DK6" i="2" a="1"/>
  <c r="DK6" i="2" s="1"/>
  <c r="DK7" i="2" s="1"/>
  <c r="DJ6" i="2" a="1"/>
  <c r="DJ6" i="2"/>
  <c r="DJ7" i="2" s="1"/>
  <c r="DI6" i="2" a="1"/>
  <c r="DI6" i="2" s="1"/>
  <c r="DI8" i="2" s="1"/>
  <c r="DH6" i="2" a="1"/>
  <c r="DH6" i="2" s="1"/>
  <c r="DH7" i="2" s="1"/>
  <c r="DG6" i="2" a="1"/>
  <c r="DG6" i="2" s="1"/>
  <c r="DF6" i="2" a="1"/>
  <c r="DF6" i="2" s="1"/>
  <c r="DE6" i="2" a="1"/>
  <c r="DE6" i="2"/>
  <c r="DD6" i="2" a="1"/>
  <c r="DD6" i="2" s="1"/>
  <c r="DC6" i="2" a="1"/>
  <c r="DC6" i="2" s="1"/>
  <c r="DB6" i="2" a="1"/>
  <c r="DB6" i="2"/>
  <c r="DB8" i="2" s="1"/>
  <c r="DA6" i="2" a="1"/>
  <c r="DA6" i="2"/>
  <c r="CZ6" i="2" a="1"/>
  <c r="CZ6" i="2"/>
  <c r="CY6" i="2" a="1"/>
  <c r="CY6" i="2"/>
  <c r="CY7" i="2" s="1"/>
  <c r="CX6" i="2" a="1"/>
  <c r="CX6" i="2" s="1"/>
  <c r="CX7" i="2" s="1"/>
  <c r="CW6" i="2" a="1"/>
  <c r="CW6" i="2"/>
  <c r="CV6" i="2" a="1"/>
  <c r="CV6" i="2" s="1"/>
  <c r="CU6" i="2" a="1"/>
  <c r="CU6" i="2" s="1"/>
  <c r="CU7" i="2" s="1"/>
  <c r="CT6" i="2" a="1"/>
  <c r="CT6" i="2"/>
  <c r="CT8" i="2" s="1"/>
  <c r="CS6" i="2" a="1"/>
  <c r="CS6" i="2"/>
  <c r="CS7" i="2" s="1"/>
  <c r="CR6" i="2" a="1"/>
  <c r="CR6" i="2" s="1"/>
  <c r="CQ6" i="2" a="1"/>
  <c r="CQ6" i="2"/>
  <c r="CP6" i="2" a="1"/>
  <c r="CP6" i="2"/>
  <c r="CO6" i="2" a="1"/>
  <c r="CO6" i="2"/>
  <c r="CO8" i="2" s="1"/>
  <c r="CN6" i="2" a="1"/>
  <c r="CN6" i="2"/>
  <c r="CN8" i="2" s="1"/>
  <c r="CM6" i="2" a="1"/>
  <c r="CM6" i="2"/>
  <c r="CM8" i="2" s="1"/>
  <c r="CL6" i="2" a="1"/>
  <c r="CL6" i="2" s="1"/>
  <c r="CK6" i="2" a="1"/>
  <c r="CK6" i="2"/>
  <c r="CJ6" i="2" a="1"/>
  <c r="CJ6" i="2" s="1"/>
  <c r="CJ8" i="2" s="1"/>
  <c r="CI6" i="2" a="1"/>
  <c r="CI6" i="2" s="1"/>
  <c r="CH6" i="2" a="1"/>
  <c r="CH6" i="2"/>
  <c r="CG6" i="2" a="1"/>
  <c r="CG6" i="2" s="1"/>
  <c r="CG7" i="2" s="1"/>
  <c r="CF6" i="2" a="1"/>
  <c r="CF6" i="2" s="1"/>
  <c r="CF7" i="2" s="1"/>
  <c r="CE6" i="2" a="1"/>
  <c r="CE6" i="2" s="1"/>
  <c r="CE7" i="2" s="1"/>
  <c r="CD6" i="2" a="1"/>
  <c r="CD6" i="2"/>
  <c r="CD8" i="2" s="1"/>
  <c r="CC6" i="2" a="1"/>
  <c r="CC6" i="2"/>
  <c r="CC8" i="2" s="1"/>
  <c r="CB6" i="2" a="1"/>
  <c r="CB6" i="2"/>
  <c r="CA6" i="2" a="1"/>
  <c r="CA6" i="2"/>
  <c r="BZ6" i="2" a="1"/>
  <c r="BZ6" i="2"/>
  <c r="BY6" i="2" a="1"/>
  <c r="BY6" i="2" s="1"/>
  <c r="BX6" i="2" a="1"/>
  <c r="BX6" i="2" s="1"/>
  <c r="BW6" i="2" a="1"/>
  <c r="BW6" i="2" s="1"/>
  <c r="BW7" i="2" s="1"/>
  <c r="BV6" i="2" a="1"/>
  <c r="BV6" i="2" s="1"/>
  <c r="BU6" i="2" a="1"/>
  <c r="BU6" i="2"/>
  <c r="BU8" i="2" s="1"/>
  <c r="BT6" i="2" a="1"/>
  <c r="BT6" i="2"/>
  <c r="BT7" i="2" s="1"/>
  <c r="BS6" i="2" a="1"/>
  <c r="BS6" i="2"/>
  <c r="BS7" i="2" s="1"/>
  <c r="BR6" i="2" a="1"/>
  <c r="BR6" i="2"/>
  <c r="BR7" i="2" s="1"/>
  <c r="BQ6" i="2" a="1"/>
  <c r="BQ6" i="2"/>
  <c r="BQ7" i="2" s="1"/>
  <c r="BP6" i="2" a="1"/>
  <c r="BP6" i="2"/>
  <c r="BP7" i="2" s="1"/>
  <c r="BO6" i="2" a="1"/>
  <c r="BO6" i="2"/>
  <c r="BN6" i="2" a="1"/>
  <c r="BN6" i="2"/>
  <c r="BM6" i="2" a="1"/>
  <c r="BM6" i="2" s="1"/>
  <c r="BM7" i="2" s="1"/>
  <c r="BL6" i="2" a="1"/>
  <c r="BL6" i="2" s="1"/>
  <c r="BL7" i="2" s="1"/>
  <c r="BK6" i="2" a="1"/>
  <c r="BK6" i="2"/>
  <c r="BJ6" i="2" a="1"/>
  <c r="BJ6" i="2" s="1"/>
  <c r="BJ8" i="2" s="1"/>
  <c r="BI6" i="2" a="1"/>
  <c r="BI6" i="2"/>
  <c r="BH6" i="2" a="1"/>
  <c r="BH6" i="2" s="1"/>
  <c r="BH8" i="2" s="1"/>
  <c r="BG6" i="2" a="1"/>
  <c r="BG6" i="2" s="1"/>
  <c r="BG8" i="2" s="1"/>
  <c r="BF6" i="2" a="1"/>
  <c r="BF6" i="2" s="1"/>
  <c r="BF8" i="2" s="1"/>
  <c r="BE6" i="2" a="1"/>
  <c r="BE6" i="2"/>
  <c r="BE8" i="2" s="1"/>
  <c r="BD6" i="2" a="1"/>
  <c r="BD6" i="2"/>
  <c r="BD8" i="2" s="1"/>
  <c r="BC6" i="2" a="1"/>
  <c r="BC6" i="2"/>
  <c r="BC8" i="2" s="1"/>
  <c r="BB6" i="2" a="1"/>
  <c r="BB6" i="2" s="1"/>
  <c r="BB8" i="2" s="1"/>
  <c r="BA6" i="2" a="1"/>
  <c r="BA6" i="2" s="1"/>
  <c r="AZ6" i="2" a="1"/>
  <c r="AZ6" i="2"/>
  <c r="AY6" i="2" a="1"/>
  <c r="AY6" i="2"/>
  <c r="AX6" i="2" a="1"/>
  <c r="AX6" i="2" s="1"/>
  <c r="AW6" i="2" a="1"/>
  <c r="AW6" i="2" s="1"/>
  <c r="AW8" i="2" s="1"/>
  <c r="AV6" i="2" a="1"/>
  <c r="AV6" i="2"/>
  <c r="AV8" i="2" s="1"/>
  <c r="AU6" i="2" a="1"/>
  <c r="AU6" i="2"/>
  <c r="AT6" i="2" a="1"/>
  <c r="AT6" i="2"/>
  <c r="AS6" i="2" a="1"/>
  <c r="AS6" i="2"/>
  <c r="AS8" i="2" s="1"/>
  <c r="AR6" i="2" a="1"/>
  <c r="AR6" i="2"/>
  <c r="AQ6" i="2" a="1"/>
  <c r="AQ6" i="2" s="1"/>
  <c r="AQ7" i="2" s="1"/>
  <c r="AP6" i="2" a="1"/>
  <c r="AP6" i="2" s="1"/>
  <c r="AP8" i="2" s="1"/>
  <c r="AO6" i="2" a="1"/>
  <c r="AO6" i="2"/>
  <c r="AO7" i="2" s="1"/>
  <c r="AN6" i="2" a="1"/>
  <c r="AN6" i="2"/>
  <c r="AM6" i="2" a="1"/>
  <c r="AM6" i="2"/>
  <c r="AL6" i="2" a="1"/>
  <c r="AL6" i="2" s="1"/>
  <c r="AK6" i="2" a="1"/>
  <c r="AK6" i="2" s="1"/>
  <c r="AJ6" i="2" a="1"/>
  <c r="AJ6" i="2"/>
  <c r="AI6" i="2" a="1"/>
  <c r="AI6" i="2" s="1"/>
  <c r="AI7" i="2" s="1"/>
  <c r="AH6" i="2" a="1"/>
  <c r="AH6" i="2" s="1"/>
  <c r="AG6" i="2" a="1"/>
  <c r="AG6" i="2" s="1"/>
  <c r="AF6" i="2" a="1"/>
  <c r="AF6" i="2" s="1"/>
  <c r="AF8" i="2" s="1"/>
  <c r="AE6" i="2" a="1"/>
  <c r="AE6" i="2" s="1"/>
  <c r="AE8" i="2" s="1"/>
  <c r="AD6" i="2" a="1"/>
  <c r="AD6" i="2"/>
  <c r="AD8" i="2" s="1"/>
  <c r="AC6" i="2" a="1"/>
  <c r="AC6" i="2"/>
  <c r="AB6" i="2" a="1"/>
  <c r="AB6" i="2"/>
  <c r="AB7" i="2" s="1"/>
  <c r="AA6" i="2" a="1"/>
  <c r="AA6" i="2"/>
  <c r="Z6" i="2" a="1"/>
  <c r="Z6" i="2" s="1"/>
  <c r="Y6" i="2" a="1"/>
  <c r="Y6" i="2"/>
  <c r="X6" i="2" a="1"/>
  <c r="X6" i="2" s="1"/>
  <c r="W6" i="2" a="1"/>
  <c r="W6" i="2" s="1"/>
  <c r="V6" i="2" a="1"/>
  <c r="V6" i="2"/>
  <c r="U6" i="2" a="1"/>
  <c r="U6" i="2" s="1"/>
  <c r="T6" i="2" a="1"/>
  <c r="T6" i="2" s="1"/>
  <c r="T8" i="2" s="1"/>
  <c r="S6" i="2" a="1"/>
  <c r="S6" i="2"/>
  <c r="S7" i="2" s="1"/>
  <c r="R6" i="2" a="1"/>
  <c r="R6" i="2"/>
  <c r="Q6" i="2" a="1"/>
  <c r="Q6" i="2" s="1"/>
  <c r="P6" i="2" a="1"/>
  <c r="P6" i="2"/>
  <c r="O6" i="2" a="1"/>
  <c r="O6" i="2"/>
  <c r="N6" i="2" a="1"/>
  <c r="N6" i="2" s="1"/>
  <c r="N7" i="2" s="1"/>
  <c r="M6" i="2" a="1"/>
  <c r="M6" i="2"/>
  <c r="M7" i="2" s="1"/>
  <c r="L6" i="2" a="1"/>
  <c r="L6" i="2" s="1"/>
  <c r="L7" i="2" s="1"/>
  <c r="K6" i="2" a="1"/>
  <c r="K6" i="2"/>
  <c r="J6" i="2" a="1"/>
  <c r="J6" i="2" s="1"/>
  <c r="I6" i="2" a="1"/>
  <c r="I6" i="2" s="1"/>
  <c r="I8" i="2" s="1"/>
  <c r="H6" i="2" a="1"/>
  <c r="H6" i="2" s="1"/>
  <c r="G6" i="2" a="1"/>
  <c r="G6" i="2" s="1"/>
  <c r="F6" i="2" a="1"/>
  <c r="F6" i="2"/>
  <c r="F8" i="2" s="1"/>
  <c r="E6" i="2" a="1"/>
  <c r="E6" i="2"/>
  <c r="D6" i="2" a="1"/>
  <c r="D6" i="2" s="1"/>
  <c r="C6" i="2" a="1"/>
  <c r="C6" i="2"/>
  <c r="C7" i="2" s="1"/>
  <c r="EN25" i="1"/>
  <c r="EM25" i="1"/>
  <c r="EO25" i="1" s="1"/>
  <c r="EN24" i="1"/>
  <c r="EO24" i="1" s="1"/>
  <c r="EM24" i="1"/>
  <c r="B24" i="1"/>
  <c r="EN23" i="1"/>
  <c r="EM23" i="1"/>
  <c r="EO23" i="1" s="1"/>
  <c r="B23" i="1"/>
  <c r="EO22" i="1"/>
  <c r="EN22" i="1"/>
  <c r="EM22" i="1"/>
  <c r="B22" i="1"/>
  <c r="EN21" i="1"/>
  <c r="EM21" i="1"/>
  <c r="EO21" i="1" s="1"/>
  <c r="B21" i="1"/>
  <c r="EN20" i="1"/>
  <c r="EO20" i="1" s="1"/>
  <c r="EM20" i="1"/>
  <c r="B20" i="1"/>
  <c r="EN19" i="1"/>
  <c r="EM19" i="1"/>
  <c r="EO19" i="1" s="1"/>
  <c r="B19" i="1"/>
  <c r="EO18" i="1"/>
  <c r="EN18" i="1"/>
  <c r="EM18" i="1"/>
  <c r="B18" i="1"/>
  <c r="EN17" i="1"/>
  <c r="EM17" i="1"/>
  <c r="B17" i="1"/>
  <c r="EN16" i="1"/>
  <c r="EO16" i="1" s="1"/>
  <c r="EM16" i="1"/>
  <c r="B16" i="1"/>
  <c r="EN15" i="1"/>
  <c r="EM15" i="1"/>
  <c r="EO15" i="1" s="1"/>
  <c r="B15" i="1"/>
  <c r="EN14" i="1"/>
  <c r="EM14" i="1"/>
  <c r="EO14" i="1" s="1"/>
  <c r="B14" i="1"/>
  <c r="EN13" i="1"/>
  <c r="EO13" i="1" s="1"/>
  <c r="EM13" i="1"/>
  <c r="B13" i="1"/>
  <c r="EN12" i="1"/>
  <c r="EM12" i="1"/>
  <c r="EO12" i="1" s="1"/>
  <c r="B12" i="1"/>
  <c r="EM8" i="1"/>
  <c r="EG8" i="1"/>
  <c r="EF8" i="1"/>
  <c r="EE8" i="1"/>
  <c r="ED8" i="1"/>
  <c r="EC8" i="1"/>
  <c r="EB8" i="1"/>
  <c r="EA8" i="1"/>
  <c r="DZ8" i="1"/>
  <c r="DY8" i="1"/>
  <c r="DQ8" i="1"/>
  <c r="DF8" i="1"/>
  <c r="DD8" i="1"/>
  <c r="DB8" i="1"/>
  <c r="DA8" i="1"/>
  <c r="CU8" i="1"/>
  <c r="CS8" i="1"/>
  <c r="CR8" i="1"/>
  <c r="CQ8" i="1"/>
  <c r="CN8" i="1"/>
  <c r="CM8" i="1"/>
  <c r="CJ8" i="1"/>
  <c r="CE8" i="1"/>
  <c r="BZ8" i="1"/>
  <c r="BY8" i="1"/>
  <c r="BX8" i="1"/>
  <c r="BQ8" i="1"/>
  <c r="BP8" i="1"/>
  <c r="BO8" i="1"/>
  <c r="BN8" i="1"/>
  <c r="BM8" i="1"/>
  <c r="BC8" i="1"/>
  <c r="BA8" i="1"/>
  <c r="AZ8" i="1"/>
  <c r="AY8" i="1"/>
  <c r="AT8" i="1"/>
  <c r="AS8" i="1"/>
  <c r="AR8" i="1"/>
  <c r="AQ8" i="1"/>
  <c r="AG8" i="1"/>
  <c r="W8" i="1"/>
  <c r="V8" i="1"/>
  <c r="U8" i="1"/>
  <c r="T8" i="1"/>
  <c r="R8" i="1"/>
  <c r="Q8" i="1"/>
  <c r="K8" i="1"/>
  <c r="J8" i="1"/>
  <c r="I8" i="1"/>
  <c r="EM7" i="1"/>
  <c r="EK7" i="1"/>
  <c r="EJ7" i="1"/>
  <c r="EH7" i="1"/>
  <c r="EG7" i="1"/>
  <c r="EF7" i="1"/>
  <c r="DT7" i="1"/>
  <c r="DQ7" i="1"/>
  <c r="DL7" i="1"/>
  <c r="DK7" i="1"/>
  <c r="DJ7" i="1"/>
  <c r="DE7" i="1"/>
  <c r="DD7" i="1"/>
  <c r="DB7" i="1"/>
  <c r="DA7" i="1"/>
  <c r="CY7" i="1"/>
  <c r="CX7" i="1"/>
  <c r="CU7" i="1"/>
  <c r="CN7" i="1"/>
  <c r="CD7" i="1"/>
  <c r="CC7" i="1"/>
  <c r="CB7" i="1"/>
  <c r="CA7" i="1"/>
  <c r="BZ7" i="1"/>
  <c r="BY7" i="1"/>
  <c r="BX7" i="1"/>
  <c r="BG7" i="1"/>
  <c r="BF7" i="1"/>
  <c r="BD7" i="1"/>
  <c r="BC7" i="1"/>
  <c r="BB7" i="1"/>
  <c r="AQ7" i="1"/>
  <c r="AH7" i="1"/>
  <c r="AG7" i="1"/>
  <c r="AF7" i="1"/>
  <c r="AE7" i="1"/>
  <c r="AD7" i="1"/>
  <c r="AC7" i="1"/>
  <c r="AB7" i="1"/>
  <c r="AA7" i="1"/>
  <c r="Z7" i="1"/>
  <c r="U7" i="1"/>
  <c r="T7" i="1"/>
  <c r="Q7" i="1"/>
  <c r="P7" i="1"/>
  <c r="K7" i="1"/>
  <c r="J7" i="1"/>
  <c r="I7" i="1"/>
  <c r="EM6" i="1" a="1"/>
  <c r="EM6" i="1"/>
  <c r="EL6" i="1" a="1"/>
  <c r="EL6" i="1"/>
  <c r="EL8" i="1" s="1"/>
  <c r="EK6" i="1" a="1"/>
  <c r="EK6" i="1"/>
  <c r="EK8" i="1" s="1"/>
  <c r="EJ6" i="1" a="1"/>
  <c r="EJ6" i="1" s="1"/>
  <c r="EJ8" i="1" s="1"/>
  <c r="EI6" i="1" a="1"/>
  <c r="EI6" i="1"/>
  <c r="EI8" i="1" s="1"/>
  <c r="EH6" i="1" a="1"/>
  <c r="EH6" i="1"/>
  <c r="EH8" i="1" s="1"/>
  <c r="EG6" i="1" a="1"/>
  <c r="EG6" i="1"/>
  <c r="EF6" i="1" a="1"/>
  <c r="EF6" i="1"/>
  <c r="EE6" i="1" a="1"/>
  <c r="EE6" i="1"/>
  <c r="EE7" i="1" s="1"/>
  <c r="ED6" i="1" a="1"/>
  <c r="ED6" i="1"/>
  <c r="ED7" i="1" s="1"/>
  <c r="EC6" i="1" a="1"/>
  <c r="EC6" i="1" s="1"/>
  <c r="EC7" i="1" s="1"/>
  <c r="EB6" i="1" a="1"/>
  <c r="EB6" i="1"/>
  <c r="EB7" i="1" s="1"/>
  <c r="EA6" i="1" a="1"/>
  <c r="EA6" i="1"/>
  <c r="EA7" i="1" s="1"/>
  <c r="DZ6" i="1" a="1"/>
  <c r="DZ6" i="1"/>
  <c r="DZ7" i="1" s="1"/>
  <c r="DY6" i="1" a="1"/>
  <c r="DY6" i="1" s="1"/>
  <c r="DY7" i="1" s="1"/>
  <c r="DX6" i="1" a="1"/>
  <c r="DX6" i="1"/>
  <c r="DW6" i="1" a="1"/>
  <c r="DW6" i="1" s="1"/>
  <c r="DW7" i="1" s="1"/>
  <c r="DV6" i="1" a="1"/>
  <c r="DV6" i="1" s="1"/>
  <c r="DU6" i="1" a="1"/>
  <c r="DU6" i="1" s="1"/>
  <c r="DT6" i="1" a="1"/>
  <c r="DT6" i="1"/>
  <c r="DT8" i="1" s="1"/>
  <c r="DS6" i="1" a="1"/>
  <c r="DS6" i="1" s="1"/>
  <c r="DR6" i="1" a="1"/>
  <c r="DR6" i="1" s="1"/>
  <c r="DR7" i="1" s="1"/>
  <c r="DQ6" i="1" a="1"/>
  <c r="DQ6" i="1"/>
  <c r="DP6" i="1" a="1"/>
  <c r="DP6" i="1"/>
  <c r="DO6" i="1" a="1"/>
  <c r="DO6" i="1" s="1"/>
  <c r="DN6" i="1" a="1"/>
  <c r="DN6" i="1"/>
  <c r="DN7" i="1" s="1"/>
  <c r="DM6" i="1" a="1"/>
  <c r="DM6" i="1" s="1"/>
  <c r="DM7" i="1" s="1"/>
  <c r="DL6" i="1" a="1"/>
  <c r="DL6" i="1"/>
  <c r="DL8" i="1" s="1"/>
  <c r="DK6" i="1" a="1"/>
  <c r="DK6" i="1"/>
  <c r="DK8" i="1" s="1"/>
  <c r="DJ6" i="1" a="1"/>
  <c r="DJ6" i="1"/>
  <c r="DJ8" i="1" s="1"/>
  <c r="DI6" i="1" a="1"/>
  <c r="DI6" i="1"/>
  <c r="DI7" i="1" s="1"/>
  <c r="DH6" i="1" a="1"/>
  <c r="DH6" i="1"/>
  <c r="DG6" i="1" a="1"/>
  <c r="DG6" i="1" s="1"/>
  <c r="DF6" i="1" a="1"/>
  <c r="DF6" i="1"/>
  <c r="DF7" i="1" s="1"/>
  <c r="DE6" i="1" a="1"/>
  <c r="DE6" i="1"/>
  <c r="DE8" i="1" s="1"/>
  <c r="DD6" i="1" a="1"/>
  <c r="DD6" i="1"/>
  <c r="DC6" i="1" a="1"/>
  <c r="DC6" i="1" s="1"/>
  <c r="DC8" i="1" s="1"/>
  <c r="DB6" i="1" a="1"/>
  <c r="DB6" i="1" s="1"/>
  <c r="DA6" i="1" a="1"/>
  <c r="DA6" i="1"/>
  <c r="CZ6" i="1" a="1"/>
  <c r="CZ6" i="1" s="1"/>
  <c r="CZ8" i="1" s="1"/>
  <c r="CY6" i="1" a="1"/>
  <c r="CY6" i="1" s="1"/>
  <c r="CY8" i="1" s="1"/>
  <c r="CX6" i="1" a="1"/>
  <c r="CX6" i="1" s="1"/>
  <c r="CX8" i="1" s="1"/>
  <c r="CW6" i="1" a="1"/>
  <c r="CW6" i="1"/>
  <c r="CW8" i="1" s="1"/>
  <c r="CV6" i="1" a="1"/>
  <c r="CV6" i="1" s="1"/>
  <c r="CU6" i="1" a="1"/>
  <c r="CU6" i="1"/>
  <c r="CT6" i="1" a="1"/>
  <c r="CT6" i="1"/>
  <c r="CS6" i="1" a="1"/>
  <c r="CS6" i="1" s="1"/>
  <c r="CS7" i="1" s="1"/>
  <c r="CR6" i="1" a="1"/>
  <c r="CR6" i="1"/>
  <c r="CR7" i="1" s="1"/>
  <c r="CQ6" i="1" a="1"/>
  <c r="CQ6" i="1" s="1"/>
  <c r="CQ7" i="1" s="1"/>
  <c r="CP6" i="1" a="1"/>
  <c r="CP6" i="1" s="1"/>
  <c r="CO6" i="1" a="1"/>
  <c r="CO6" i="1" s="1"/>
  <c r="CN6" i="1" a="1"/>
  <c r="CN6" i="1"/>
  <c r="CM6" i="1" a="1"/>
  <c r="CM6" i="1"/>
  <c r="CM7" i="1" s="1"/>
  <c r="CL6" i="1" a="1"/>
  <c r="CL6" i="1"/>
  <c r="CL7" i="1" s="1"/>
  <c r="CK6" i="1" a="1"/>
  <c r="CK6" i="1" s="1"/>
  <c r="CK7" i="1" s="1"/>
  <c r="CJ6" i="1" a="1"/>
  <c r="CJ6" i="1"/>
  <c r="CJ7" i="1" s="1"/>
  <c r="CI6" i="1" a="1"/>
  <c r="CI6" i="1"/>
  <c r="CH6" i="1" a="1"/>
  <c r="CH6" i="1" s="1"/>
  <c r="CG6" i="1" a="1"/>
  <c r="CG6" i="1" s="1"/>
  <c r="CF6" i="1" a="1"/>
  <c r="CF6" i="1"/>
  <c r="CE6" i="1" a="1"/>
  <c r="CE6" i="1" s="1"/>
  <c r="CE7" i="1" s="1"/>
  <c r="CD6" i="1" a="1"/>
  <c r="CD6" i="1"/>
  <c r="CD8" i="1" s="1"/>
  <c r="CC6" i="1" a="1"/>
  <c r="CC6" i="1" s="1"/>
  <c r="CC8" i="1" s="1"/>
  <c r="CB6" i="1" a="1"/>
  <c r="CB6" i="1" s="1"/>
  <c r="CB8" i="1" s="1"/>
  <c r="CA6" i="1" a="1"/>
  <c r="CA6" i="1" s="1"/>
  <c r="CA8" i="1" s="1"/>
  <c r="BZ6" i="1" a="1"/>
  <c r="BZ6" i="1" s="1"/>
  <c r="BY6" i="1" a="1"/>
  <c r="BY6" i="1"/>
  <c r="BX6" i="1" a="1"/>
  <c r="BX6" i="1"/>
  <c r="BW6" i="1" a="1"/>
  <c r="BW6" i="1"/>
  <c r="BW7" i="1" s="1"/>
  <c r="BV6" i="1" a="1"/>
  <c r="BV6" i="1"/>
  <c r="BU6" i="1" a="1"/>
  <c r="BU6" i="1"/>
  <c r="BU8" i="1" s="1"/>
  <c r="BT6" i="1" a="1"/>
  <c r="BT6" i="1" s="1"/>
  <c r="BS6" i="1" a="1"/>
  <c r="BS6" i="1" s="1"/>
  <c r="BS7" i="1" s="1"/>
  <c r="BR6" i="1" a="1"/>
  <c r="BR6" i="1"/>
  <c r="BQ6" i="1" a="1"/>
  <c r="BQ6" i="1"/>
  <c r="BQ7" i="1" s="1"/>
  <c r="BP6" i="1" a="1"/>
  <c r="BP6" i="1"/>
  <c r="BP7" i="1" s="1"/>
  <c r="BO6" i="1" a="1"/>
  <c r="BO6" i="1" s="1"/>
  <c r="BO7" i="1" s="1"/>
  <c r="BN6" i="1" a="1"/>
  <c r="BN6" i="1"/>
  <c r="BN7" i="1" s="1"/>
  <c r="BM6" i="1" a="1"/>
  <c r="BM6" i="1"/>
  <c r="BM7" i="1" s="1"/>
  <c r="BL6" i="1" a="1"/>
  <c r="BL6" i="1"/>
  <c r="BK6" i="1" a="1"/>
  <c r="BK6" i="1"/>
  <c r="BJ6" i="1" a="1"/>
  <c r="BJ6" i="1"/>
  <c r="BI6" i="1" a="1"/>
  <c r="BI6" i="1"/>
  <c r="BH6" i="1" a="1"/>
  <c r="BH6" i="1" s="1"/>
  <c r="BH8" i="1" s="1"/>
  <c r="BG6" i="1" a="1"/>
  <c r="BG6" i="1"/>
  <c r="BG8" i="1" s="1"/>
  <c r="BF6" i="1" a="1"/>
  <c r="BF6" i="1" s="1"/>
  <c r="BF8" i="1" s="1"/>
  <c r="BE6" i="1" a="1"/>
  <c r="BE6" i="1" s="1"/>
  <c r="BD6" i="1" a="1"/>
  <c r="BD6" i="1" s="1"/>
  <c r="BD8" i="1" s="1"/>
  <c r="BC6" i="1" a="1"/>
  <c r="BC6" i="1"/>
  <c r="BB6" i="1" a="1"/>
  <c r="BB6" i="1"/>
  <c r="BB8" i="1" s="1"/>
  <c r="BA6" i="1" a="1"/>
  <c r="BA6" i="1"/>
  <c r="BA7" i="1" s="1"/>
  <c r="AZ6" i="1" a="1"/>
  <c r="AZ6" i="1"/>
  <c r="AZ7" i="1" s="1"/>
  <c r="AY6" i="1" a="1"/>
  <c r="AY6" i="1"/>
  <c r="AY7" i="1" s="1"/>
  <c r="AX6" i="1" a="1"/>
  <c r="AX6" i="1"/>
  <c r="AX7" i="1" s="1"/>
  <c r="AW6" i="1" a="1"/>
  <c r="AW6" i="1"/>
  <c r="AW7" i="1" s="1"/>
  <c r="AV6" i="1" a="1"/>
  <c r="AV6" i="1" s="1"/>
  <c r="AV7" i="1" s="1"/>
  <c r="AU6" i="1" a="1"/>
  <c r="AU6" i="1"/>
  <c r="AU7" i="1" s="1"/>
  <c r="AT6" i="1" a="1"/>
  <c r="AT6" i="1"/>
  <c r="AT7" i="1" s="1"/>
  <c r="AS6" i="1" a="1"/>
  <c r="AS6" i="1" s="1"/>
  <c r="AS7" i="1" s="1"/>
  <c r="AR6" i="1" a="1"/>
  <c r="AR6" i="1"/>
  <c r="AR7" i="1" s="1"/>
  <c r="AQ6" i="1" a="1"/>
  <c r="AQ6" i="1"/>
  <c r="AP6" i="1" a="1"/>
  <c r="AP6" i="1" s="1"/>
  <c r="AO6" i="1" a="1"/>
  <c r="AO6" i="1"/>
  <c r="AN6" i="1" a="1"/>
  <c r="AN6" i="1"/>
  <c r="AN7" i="1" s="1"/>
  <c r="AM6" i="1" a="1"/>
  <c r="AM6" i="1"/>
  <c r="AM7" i="1" s="1"/>
  <c r="AL6" i="1" a="1"/>
  <c r="AL6" i="1"/>
  <c r="AK6" i="1" a="1"/>
  <c r="AK6" i="1" s="1"/>
  <c r="AJ6" i="1" a="1"/>
  <c r="AJ6" i="1"/>
  <c r="AI6" i="1" a="1"/>
  <c r="AI6" i="1" s="1"/>
  <c r="AH6" i="1" a="1"/>
  <c r="AH6" i="1" s="1"/>
  <c r="AH8" i="1" s="1"/>
  <c r="AG6" i="1" a="1"/>
  <c r="AG6" i="1"/>
  <c r="AF6" i="1" a="1"/>
  <c r="AF6" i="1"/>
  <c r="AF8" i="1" s="1"/>
  <c r="AE6" i="1" a="1"/>
  <c r="AE6" i="1"/>
  <c r="AE8" i="1" s="1"/>
  <c r="AD6" i="1" a="1"/>
  <c r="AD6" i="1"/>
  <c r="AD8" i="1" s="1"/>
  <c r="AC6" i="1" a="1"/>
  <c r="AC6" i="1"/>
  <c r="AC8" i="1" s="1"/>
  <c r="AB6" i="1" a="1"/>
  <c r="AB6" i="1"/>
  <c r="AB8" i="1" s="1"/>
  <c r="AA6" i="1" a="1"/>
  <c r="AA6" i="1"/>
  <c r="AA8" i="1" s="1"/>
  <c r="Z6" i="1" a="1"/>
  <c r="Z6" i="1"/>
  <c r="Z8" i="1" s="1"/>
  <c r="Y6" i="1" a="1"/>
  <c r="Y6" i="1" s="1"/>
  <c r="X6" i="1" a="1"/>
  <c r="X6" i="1"/>
  <c r="W6" i="1" a="1"/>
  <c r="W6" i="1" s="1"/>
  <c r="W7" i="1" s="1"/>
  <c r="V6" i="1" a="1"/>
  <c r="V6" i="1"/>
  <c r="V7" i="1" s="1"/>
  <c r="U6" i="1" a="1"/>
  <c r="U6" i="1"/>
  <c r="T6" i="1" a="1"/>
  <c r="T6" i="1"/>
  <c r="S6" i="1" a="1"/>
  <c r="S6" i="1" s="1"/>
  <c r="S7" i="1" s="1"/>
  <c r="R6" i="1" a="1"/>
  <c r="R6" i="1"/>
  <c r="R7" i="1" s="1"/>
  <c r="Q6" i="1" a="1"/>
  <c r="Q6" i="1"/>
  <c r="P6" i="1" a="1"/>
  <c r="P6" i="1"/>
  <c r="P8" i="1" s="1"/>
  <c r="O6" i="1" a="1"/>
  <c r="O6" i="1"/>
  <c r="N6" i="1" a="1"/>
  <c r="N6" i="1" s="1"/>
  <c r="M6" i="1" a="1"/>
  <c r="M6" i="1"/>
  <c r="L6" i="1" a="1"/>
  <c r="L6" i="1" s="1"/>
  <c r="K6" i="1" a="1"/>
  <c r="K6" i="1"/>
  <c r="J6" i="1" a="1"/>
  <c r="J6" i="1"/>
  <c r="I6" i="1" a="1"/>
  <c r="I6" i="1"/>
  <c r="H6" i="1" a="1"/>
  <c r="H6" i="1"/>
  <c r="G6" i="1" a="1"/>
  <c r="G6" i="1" s="1"/>
  <c r="F6" i="1" a="1"/>
  <c r="F6" i="1"/>
  <c r="F8" i="1" s="1"/>
  <c r="E6" i="1" a="1"/>
  <c r="E6" i="1"/>
  <c r="E8" i="1" s="1"/>
  <c r="D6" i="1" a="1"/>
  <c r="D6" i="1"/>
  <c r="D8" i="1" s="1"/>
  <c r="C6" i="1" a="1"/>
  <c r="C6" i="1"/>
  <c r="EO24" i="2" l="1"/>
  <c r="EO16" i="2"/>
  <c r="CD8" i="4"/>
  <c r="CD7" i="4"/>
  <c r="CQ8" i="4"/>
  <c r="CQ7" i="4"/>
  <c r="CR8" i="4"/>
  <c r="CR7" i="4"/>
  <c r="W8" i="2"/>
  <c r="W7" i="2"/>
  <c r="AG8" i="3"/>
  <c r="AG7" i="3"/>
  <c r="CH8" i="1"/>
  <c r="CH7" i="1"/>
  <c r="BT8" i="4"/>
  <c r="BT7" i="4"/>
  <c r="BT8" i="1"/>
  <c r="BT7" i="1"/>
  <c r="BH8" i="4"/>
  <c r="BH7" i="4"/>
  <c r="AJ7" i="4"/>
  <c r="AJ8" i="4"/>
  <c r="CK8" i="3"/>
  <c r="CK7" i="3"/>
  <c r="AS7" i="3"/>
  <c r="AS8" i="3"/>
  <c r="EA8" i="4"/>
  <c r="EA7" i="4"/>
  <c r="DC7" i="4"/>
  <c r="DC8" i="4"/>
  <c r="DP8" i="4"/>
  <c r="DP7" i="4"/>
  <c r="BE8" i="1"/>
  <c r="BE7" i="1"/>
  <c r="BR7" i="1"/>
  <c r="BR8" i="1"/>
  <c r="CF8" i="1"/>
  <c r="CF7" i="1"/>
  <c r="CT7" i="1"/>
  <c r="CT8" i="1"/>
  <c r="DV8" i="1"/>
  <c r="DV7" i="1"/>
  <c r="EI7" i="2"/>
  <c r="EI8" i="2"/>
  <c r="S8" i="3"/>
  <c r="S7" i="3"/>
  <c r="AV8" i="3"/>
  <c r="AV7" i="3"/>
  <c r="BY8" i="3"/>
  <c r="BY7" i="3"/>
  <c r="X7" i="4"/>
  <c r="X8" i="4"/>
  <c r="CF7" i="4"/>
  <c r="CF8" i="4"/>
  <c r="G8" i="1"/>
  <c r="G7" i="1"/>
  <c r="S8" i="1"/>
  <c r="DI7" i="2"/>
  <c r="F7" i="3"/>
  <c r="F8" i="3"/>
  <c r="BK8" i="3"/>
  <c r="BK7" i="3"/>
  <c r="Y8" i="4"/>
  <c r="Y7" i="4"/>
  <c r="AW8" i="4"/>
  <c r="AW7" i="4"/>
  <c r="BI8" i="4"/>
  <c r="BI7" i="4"/>
  <c r="BU8" i="4"/>
  <c r="BU7" i="4"/>
  <c r="CS8" i="4"/>
  <c r="CS7" i="4"/>
  <c r="DE7" i="4"/>
  <c r="DE8" i="4"/>
  <c r="DQ8" i="4"/>
  <c r="DQ7" i="4"/>
  <c r="H8" i="1"/>
  <c r="H7" i="1"/>
  <c r="CG8" i="1"/>
  <c r="CG7" i="1"/>
  <c r="DX7" i="1"/>
  <c r="DX8" i="1"/>
  <c r="BW8" i="1"/>
  <c r="DV8" i="2"/>
  <c r="DV7" i="2"/>
  <c r="AV7" i="2"/>
  <c r="BL8" i="2"/>
  <c r="DJ8" i="2"/>
  <c r="DC7" i="1"/>
  <c r="DW7" i="2"/>
  <c r="DW8" i="2"/>
  <c r="AW7" i="2"/>
  <c r="BM8" i="2"/>
  <c r="DK8" i="2"/>
  <c r="DY7" i="2"/>
  <c r="DY8" i="2"/>
  <c r="DX8" i="2"/>
  <c r="EI7" i="3"/>
  <c r="EI8" i="3"/>
  <c r="AJ8" i="1"/>
  <c r="AJ7" i="1"/>
  <c r="CV8" i="2"/>
  <c r="CV7" i="2"/>
  <c r="CW7" i="2"/>
  <c r="CW8" i="2"/>
  <c r="C16" i="8"/>
  <c r="BK8" i="1"/>
  <c r="BK7" i="1"/>
  <c r="DZ8" i="7"/>
  <c r="DZ7" i="7"/>
  <c r="Y7" i="1"/>
  <c r="Y8" i="1"/>
  <c r="CK8" i="2"/>
  <c r="CK7" i="2"/>
  <c r="M8" i="1"/>
  <c r="M7" i="1"/>
  <c r="BU7" i="1"/>
  <c r="AV8" i="1"/>
  <c r="BK7" i="2"/>
  <c r="BK8" i="2"/>
  <c r="BX8" i="2"/>
  <c r="BX7" i="2"/>
  <c r="CZ8" i="2"/>
  <c r="CZ7" i="2"/>
  <c r="AP8" i="3"/>
  <c r="AP7" i="3"/>
  <c r="CH8" i="3"/>
  <c r="CH7" i="3"/>
  <c r="AX8" i="1"/>
  <c r="AJ7" i="2"/>
  <c r="AJ8" i="2"/>
  <c r="CP7" i="7"/>
  <c r="CP8" i="7"/>
  <c r="DC8" i="7"/>
  <c r="DC7" i="7"/>
  <c r="CZ8" i="3"/>
  <c r="CZ7" i="3"/>
  <c r="BB7" i="7"/>
  <c r="BB8" i="7"/>
  <c r="BQ8" i="7"/>
  <c r="BQ7" i="7"/>
  <c r="CQ7" i="7"/>
  <c r="CQ8" i="7"/>
  <c r="G8" i="2"/>
  <c r="G7" i="2"/>
  <c r="AK7" i="2"/>
  <c r="AK8" i="2"/>
  <c r="AY7" i="2"/>
  <c r="AY8" i="2"/>
  <c r="BN7" i="2"/>
  <c r="BN8" i="2"/>
  <c r="CA8" i="2"/>
  <c r="CA7" i="2"/>
  <c r="CM7" i="2"/>
  <c r="P8" i="3"/>
  <c r="P7" i="3"/>
  <c r="AR8" i="3"/>
  <c r="AR7" i="3"/>
  <c r="BH8" i="3"/>
  <c r="BH7" i="3"/>
  <c r="CJ8" i="3"/>
  <c r="CJ7" i="3"/>
  <c r="DA7" i="3"/>
  <c r="DA8" i="3"/>
  <c r="BT8" i="3"/>
  <c r="BR8" i="4"/>
  <c r="BR7" i="4"/>
  <c r="DB8" i="4"/>
  <c r="DB7" i="4"/>
  <c r="DN8" i="4"/>
  <c r="DN7" i="4"/>
  <c r="CD7" i="7"/>
  <c r="CD8" i="7"/>
  <c r="DD7" i="7"/>
  <c r="DD8" i="7"/>
  <c r="AP8" i="1"/>
  <c r="AP7" i="1"/>
  <c r="DS8" i="1"/>
  <c r="DS7" i="1"/>
  <c r="H8" i="2"/>
  <c r="H7" i="2"/>
  <c r="AL7" i="2"/>
  <c r="AL8" i="2"/>
  <c r="CN7" i="2"/>
  <c r="CX8" i="2"/>
  <c r="EM14" i="3"/>
  <c r="EN14" i="3" s="1"/>
  <c r="H7" i="4"/>
  <c r="H8" i="4"/>
  <c r="BF7" i="4"/>
  <c r="BF8" i="4"/>
  <c r="I7" i="4"/>
  <c r="BR8" i="7"/>
  <c r="BR7" i="7"/>
  <c r="CE8" i="7"/>
  <c r="CE7" i="7"/>
  <c r="CL8" i="2"/>
  <c r="CL7" i="2"/>
  <c r="CX8" i="3"/>
  <c r="CX7" i="3"/>
  <c r="CO8" i="7"/>
  <c r="CO7" i="7"/>
  <c r="BO7" i="2"/>
  <c r="BO8" i="2"/>
  <c r="AU8" i="4"/>
  <c r="AU7" i="4"/>
  <c r="BS8" i="4"/>
  <c r="BS7" i="4"/>
  <c r="DO8" i="4"/>
  <c r="DO7" i="4"/>
  <c r="AP8" i="7"/>
  <c r="AP7" i="7"/>
  <c r="AL8" i="1"/>
  <c r="AL7" i="1"/>
  <c r="DO7" i="1"/>
  <c r="DO8" i="1"/>
  <c r="CV7" i="1"/>
  <c r="CV8" i="1"/>
  <c r="BI8" i="1"/>
  <c r="BI7" i="1"/>
  <c r="CI8" i="1"/>
  <c r="CI7" i="1"/>
  <c r="AI8" i="1"/>
  <c r="AI7" i="1"/>
  <c r="BJ7" i="1"/>
  <c r="BJ8" i="1"/>
  <c r="BV7" i="1"/>
  <c r="BV8" i="1"/>
  <c r="X7" i="1"/>
  <c r="X8" i="1"/>
  <c r="AK8" i="1"/>
  <c r="AK7" i="1"/>
  <c r="BH7" i="1"/>
  <c r="Q7" i="2"/>
  <c r="Q8" i="2"/>
  <c r="EA8" i="2"/>
  <c r="EA7" i="2"/>
  <c r="EK7" i="3"/>
  <c r="EK8" i="3"/>
  <c r="L7" i="1"/>
  <c r="L8" i="1"/>
  <c r="DX8" i="3"/>
  <c r="DX7" i="3"/>
  <c r="DM8" i="7"/>
  <c r="DM7" i="7"/>
  <c r="EA7" i="7"/>
  <c r="EA8" i="7"/>
  <c r="AU8" i="1"/>
  <c r="DK7" i="3"/>
  <c r="DK8" i="3"/>
  <c r="CZ7" i="7"/>
  <c r="CZ8" i="7"/>
  <c r="D7" i="2"/>
  <c r="D8" i="2"/>
  <c r="AG8" i="2"/>
  <c r="AG7" i="2"/>
  <c r="DL7" i="3"/>
  <c r="DL8" i="3"/>
  <c r="AW8" i="1"/>
  <c r="E7" i="2"/>
  <c r="E8" i="2"/>
  <c r="AH8" i="2"/>
  <c r="AH7" i="2"/>
  <c r="DO8" i="2"/>
  <c r="DO7" i="2"/>
  <c r="AA7" i="3"/>
  <c r="AA8" i="3"/>
  <c r="CW8" i="3"/>
  <c r="CW7" i="3"/>
  <c r="DO8" i="7"/>
  <c r="DO7" i="7"/>
  <c r="EI7" i="1"/>
  <c r="BY7" i="2"/>
  <c r="BY8" i="2"/>
  <c r="AB7" i="3"/>
  <c r="AB8" i="3"/>
  <c r="DM7" i="3"/>
  <c r="DM8" i="3"/>
  <c r="DZ8" i="3"/>
  <c r="DZ7" i="3"/>
  <c r="F8" i="4"/>
  <c r="F7" i="4"/>
  <c r="DB8" i="7"/>
  <c r="DB7" i="7"/>
  <c r="DP8" i="7"/>
  <c r="DP7" i="7"/>
  <c r="BZ8" i="2"/>
  <c r="BZ7" i="2"/>
  <c r="DA7" i="2"/>
  <c r="DA8" i="2"/>
  <c r="DN7" i="3"/>
  <c r="DN8" i="3"/>
  <c r="CO7" i="1"/>
  <c r="CO8" i="1"/>
  <c r="AX7" i="2"/>
  <c r="AX8" i="2"/>
  <c r="CJ7" i="2"/>
  <c r="EA8" i="3"/>
  <c r="EA7" i="3"/>
  <c r="CC8" i="7"/>
  <c r="CC7" i="7"/>
  <c r="DQ8" i="7"/>
  <c r="DQ7" i="7"/>
  <c r="ED8" i="7"/>
  <c r="ED7" i="7"/>
  <c r="DR8" i="1"/>
  <c r="AM7" i="2"/>
  <c r="AM8" i="2"/>
  <c r="AZ8" i="2"/>
  <c r="AZ7" i="2"/>
  <c r="CB8" i="2"/>
  <c r="CB7" i="2"/>
  <c r="EG8" i="2"/>
  <c r="EG7" i="2"/>
  <c r="CY8" i="2"/>
  <c r="AF8" i="3"/>
  <c r="AF7" i="3"/>
  <c r="BW7" i="3"/>
  <c r="BW8" i="3"/>
  <c r="DG7" i="1"/>
  <c r="DG8" i="1"/>
  <c r="DW8" i="1"/>
  <c r="J8" i="2"/>
  <c r="J7" i="2"/>
  <c r="X8" i="2"/>
  <c r="X7" i="2"/>
  <c r="D7" i="3"/>
  <c r="D8" i="3"/>
  <c r="R8" i="3"/>
  <c r="R7" i="3"/>
  <c r="AT7" i="3"/>
  <c r="AT8" i="3"/>
  <c r="BX8" i="3"/>
  <c r="BX7" i="3"/>
  <c r="EC8" i="3"/>
  <c r="EC7" i="3"/>
  <c r="EM8" i="3"/>
  <c r="AI7" i="4"/>
  <c r="AI8" i="4"/>
  <c r="CE8" i="4"/>
  <c r="CE7" i="4"/>
  <c r="DH7" i="1"/>
  <c r="DH8" i="1"/>
  <c r="DU8" i="1"/>
  <c r="DU7" i="1"/>
  <c r="Y8" i="2"/>
  <c r="Y7" i="2"/>
  <c r="AN7" i="2"/>
  <c r="AN8" i="2"/>
  <c r="BA7" i="2"/>
  <c r="BA8" i="2"/>
  <c r="E7" i="3"/>
  <c r="E8" i="3"/>
  <c r="AU8" i="3"/>
  <c r="AU7" i="3"/>
  <c r="AV8" i="4"/>
  <c r="AV7" i="4"/>
  <c r="DD7" i="4"/>
  <c r="DD8" i="4"/>
  <c r="AC7" i="3"/>
  <c r="AC8" i="3"/>
  <c r="BF7" i="3"/>
  <c r="BF8" i="3"/>
  <c r="CY8" i="3"/>
  <c r="CY7" i="3"/>
  <c r="DY8" i="3"/>
  <c r="DY7" i="3"/>
  <c r="AF7" i="4"/>
  <c r="AF8" i="4"/>
  <c r="DA8" i="4"/>
  <c r="DA7" i="4"/>
  <c r="EL8" i="4"/>
  <c r="EL7" i="4"/>
  <c r="J8" i="7"/>
  <c r="J7" i="7"/>
  <c r="DA8" i="7"/>
  <c r="DA7" i="7"/>
  <c r="CZ7" i="1"/>
  <c r="EL7" i="1"/>
  <c r="EK8" i="2"/>
  <c r="EK7" i="2"/>
  <c r="O8" i="3"/>
  <c r="O7" i="3"/>
  <c r="BG7" i="3"/>
  <c r="BG8" i="3"/>
  <c r="U8" i="4"/>
  <c r="U7" i="4"/>
  <c r="BQ7" i="4"/>
  <c r="BQ8" i="4"/>
  <c r="K7" i="7"/>
  <c r="K8" i="7"/>
  <c r="Z7" i="2"/>
  <c r="Z8" i="2"/>
  <c r="AA7" i="2"/>
  <c r="AA8" i="2"/>
  <c r="EM15" i="3"/>
  <c r="EN15" i="3" s="1"/>
  <c r="C20" i="8"/>
  <c r="ED7" i="2"/>
  <c r="ED8" i="2"/>
  <c r="AX7" i="3"/>
  <c r="AX8" i="3"/>
  <c r="CP7" i="3"/>
  <c r="CP8" i="3"/>
  <c r="CQ7" i="3"/>
  <c r="CQ8" i="3"/>
  <c r="DN7" i="7"/>
  <c r="AI8" i="2"/>
  <c r="CS7" i="3"/>
  <c r="CS8" i="3"/>
  <c r="AY8" i="3"/>
  <c r="DS7" i="2"/>
  <c r="DS8" i="2"/>
  <c r="AC7" i="2"/>
  <c r="AC8" i="2"/>
  <c r="DT7" i="2"/>
  <c r="DT8" i="2"/>
  <c r="BA7" i="3"/>
  <c r="BA8" i="3"/>
  <c r="CG8" i="4"/>
  <c r="T8" i="7"/>
  <c r="T7" i="7"/>
  <c r="AV8" i="7"/>
  <c r="AV7" i="7"/>
  <c r="EJ8" i="7"/>
  <c r="EJ7" i="7"/>
  <c r="E7" i="1"/>
  <c r="BS8" i="1"/>
  <c r="DG8" i="2"/>
  <c r="DG7" i="2"/>
  <c r="CC7" i="2"/>
  <c r="EM13" i="3"/>
  <c r="EN13" i="3" s="1"/>
  <c r="P7" i="4"/>
  <c r="P8" i="4"/>
  <c r="CI8" i="4"/>
  <c r="F7" i="7"/>
  <c r="F8" i="7"/>
  <c r="AI8" i="7"/>
  <c r="AI7" i="7"/>
  <c r="F7" i="1"/>
  <c r="DU7" i="2"/>
  <c r="DU8" i="2"/>
  <c r="AO8" i="2"/>
  <c r="BR7" i="3"/>
  <c r="BR8" i="3"/>
  <c r="CF8" i="3"/>
  <c r="CF7" i="3"/>
  <c r="DV7" i="3"/>
  <c r="DV8" i="3"/>
  <c r="Q7" i="4"/>
  <c r="Q8" i="4"/>
  <c r="DW7" i="3"/>
  <c r="DW8" i="3"/>
  <c r="G8" i="3"/>
  <c r="R8" i="4"/>
  <c r="R7" i="4"/>
  <c r="AD8" i="4"/>
  <c r="AD7" i="4"/>
  <c r="BM7" i="7"/>
  <c r="BM8" i="7"/>
  <c r="EL7" i="7"/>
  <c r="EL8" i="7"/>
  <c r="T8" i="3"/>
  <c r="T7" i="3"/>
  <c r="N8" i="1"/>
  <c r="N7" i="1"/>
  <c r="BL8" i="1"/>
  <c r="BL7" i="1"/>
  <c r="DY8" i="4"/>
  <c r="C7" i="1"/>
  <c r="C8" i="1"/>
  <c r="O8" i="1"/>
  <c r="O7" i="1"/>
  <c r="U8" i="3"/>
  <c r="U7" i="3"/>
  <c r="DD8" i="2"/>
  <c r="DD7" i="2"/>
  <c r="BI7" i="7"/>
  <c r="BI8" i="7"/>
  <c r="AO7" i="1"/>
  <c r="AO8" i="1"/>
  <c r="D7" i="1"/>
  <c r="CP7" i="1"/>
  <c r="CP8" i="1"/>
  <c r="DP7" i="1"/>
  <c r="DP8" i="1"/>
  <c r="AM8" i="1"/>
  <c r="DM8" i="1"/>
  <c r="AD7" i="2"/>
  <c r="EJ7" i="3"/>
  <c r="EJ8" i="3"/>
  <c r="AN8" i="1"/>
  <c r="DN8" i="1"/>
  <c r="BI7" i="2"/>
  <c r="BI8" i="2"/>
  <c r="AQ8" i="2"/>
  <c r="BD7" i="3"/>
  <c r="BD8" i="3"/>
  <c r="CG8" i="3"/>
  <c r="CG7" i="3"/>
  <c r="CV8" i="3"/>
  <c r="CV7" i="3"/>
  <c r="H8" i="3"/>
  <c r="S7" i="4"/>
  <c r="S8" i="4"/>
  <c r="DL8" i="7"/>
  <c r="DL7" i="7"/>
  <c r="BV8" i="2"/>
  <c r="BV7" i="2"/>
  <c r="AQ8" i="3"/>
  <c r="AQ7" i="3"/>
  <c r="G8" i="4"/>
  <c r="G7" i="4"/>
  <c r="AJ8" i="7"/>
  <c r="AJ7" i="7"/>
  <c r="EK7" i="7"/>
  <c r="EK8" i="7"/>
  <c r="CW7" i="1"/>
  <c r="EL7" i="2"/>
  <c r="CU8" i="2"/>
  <c r="EE8" i="2"/>
  <c r="Q8" i="3"/>
  <c r="Q7" i="3"/>
  <c r="BS8" i="3"/>
  <c r="EM12" i="3"/>
  <c r="EN12" i="3" s="1"/>
  <c r="AX8" i="4"/>
  <c r="AX7" i="4"/>
  <c r="DZ8" i="2"/>
  <c r="DZ7" i="2"/>
  <c r="AA8" i="4"/>
  <c r="AA7" i="4"/>
  <c r="AY8" i="4"/>
  <c r="AY7" i="4"/>
  <c r="BW8" i="4"/>
  <c r="BW7" i="4"/>
  <c r="DF7" i="4"/>
  <c r="P7" i="7"/>
  <c r="P8" i="7"/>
  <c r="BF8" i="7"/>
  <c r="BF7" i="7"/>
  <c r="CR8" i="3"/>
  <c r="CU8" i="4"/>
  <c r="CU7" i="4"/>
  <c r="DS8" i="4"/>
  <c r="DS7" i="4"/>
  <c r="BG8" i="7"/>
  <c r="BG7" i="7"/>
  <c r="CG8" i="7"/>
  <c r="CG7" i="7"/>
  <c r="N8" i="7"/>
  <c r="DX8" i="7"/>
  <c r="EH8" i="3"/>
  <c r="EM18" i="3"/>
  <c r="EN18" i="3" s="1"/>
  <c r="D8" i="4"/>
  <c r="D7" i="4"/>
  <c r="AB8" i="4"/>
  <c r="AB7" i="4"/>
  <c r="AZ8" i="4"/>
  <c r="AZ7" i="4"/>
  <c r="BX8" i="4"/>
  <c r="BX7" i="4"/>
  <c r="DT7" i="4"/>
  <c r="DT8" i="4"/>
  <c r="AF8" i="7"/>
  <c r="AF7" i="7"/>
  <c r="EM20" i="3"/>
  <c r="EN20" i="3" s="1"/>
  <c r="CH7" i="4"/>
  <c r="CH8" i="4"/>
  <c r="DP7" i="3"/>
  <c r="DP8" i="3"/>
  <c r="DI8" i="1"/>
  <c r="DC7" i="2"/>
  <c r="DC8" i="2"/>
  <c r="F7" i="2"/>
  <c r="Z7" i="4"/>
  <c r="CO7" i="2"/>
  <c r="AL8" i="4"/>
  <c r="AL7" i="4"/>
  <c r="BV8" i="4"/>
  <c r="BV7" i="4"/>
  <c r="CT8" i="4"/>
  <c r="CT7" i="4"/>
  <c r="CK8" i="1"/>
  <c r="CR8" i="2"/>
  <c r="CR7" i="2"/>
  <c r="M7" i="3"/>
  <c r="M8" i="3"/>
  <c r="EM23" i="3"/>
  <c r="EN23" i="3" s="1"/>
  <c r="E8" i="4"/>
  <c r="E7" i="4"/>
  <c r="AC8" i="4"/>
  <c r="AC7" i="4"/>
  <c r="BA8" i="4"/>
  <c r="BA7" i="4"/>
  <c r="BY7" i="4"/>
  <c r="BY8" i="4"/>
  <c r="DI8" i="4"/>
  <c r="DI7" i="4"/>
  <c r="AT7" i="7"/>
  <c r="EB8" i="3"/>
  <c r="EB7" i="3"/>
  <c r="DB7" i="2"/>
  <c r="CL8" i="1"/>
  <c r="EO17" i="1"/>
  <c r="EM16" i="3"/>
  <c r="EN16" i="3" s="1"/>
  <c r="EH8" i="4"/>
  <c r="EH7" i="4"/>
  <c r="DU7" i="4"/>
  <c r="E7" i="7"/>
  <c r="E8" i="7"/>
  <c r="AU7" i="7"/>
  <c r="AU8" i="7"/>
  <c r="EM17" i="3"/>
  <c r="EN17" i="3" s="1"/>
  <c r="BH7" i="7"/>
  <c r="BH8" i="7"/>
  <c r="BE8" i="7"/>
  <c r="BE7" i="7"/>
  <c r="CR8" i="7"/>
  <c r="CR7" i="7"/>
  <c r="DR8" i="2"/>
  <c r="DR7" i="2"/>
  <c r="EM19" i="3"/>
  <c r="EN19" i="3" s="1"/>
  <c r="S8" i="7"/>
  <c r="S7" i="7"/>
  <c r="CS8" i="7"/>
  <c r="CS7" i="7"/>
  <c r="Q8" i="7"/>
  <c r="Q7" i="7"/>
  <c r="AQ7" i="7"/>
  <c r="AQ8" i="7"/>
  <c r="CT7" i="2"/>
  <c r="BV8" i="3"/>
  <c r="EM24" i="3"/>
  <c r="EN24" i="3" s="1"/>
  <c r="AZ8" i="7"/>
  <c r="AZ7" i="7"/>
  <c r="DV7" i="7"/>
  <c r="DV8" i="7"/>
  <c r="CL8" i="7"/>
  <c r="EI8" i="7"/>
  <c r="AW8" i="3"/>
  <c r="EM22" i="3"/>
  <c r="EN22" i="3" s="1"/>
  <c r="CN8" i="4"/>
  <c r="CN7" i="4"/>
  <c r="CA8" i="7"/>
  <c r="CA7" i="7"/>
  <c r="DW7" i="7"/>
  <c r="DW8" i="7"/>
  <c r="AN7" i="7"/>
  <c r="B21" i="6"/>
  <c r="I7" i="7"/>
  <c r="AL8" i="7"/>
  <c r="BX8" i="7"/>
  <c r="AX7" i="7"/>
  <c r="AX8" i="7"/>
  <c r="CI7" i="7"/>
  <c r="CI8" i="7"/>
  <c r="DS8" i="7"/>
  <c r="DS7" i="7"/>
  <c r="C24" i="8"/>
  <c r="AY7" i="7"/>
  <c r="AY8" i="7"/>
  <c r="DH7" i="7"/>
  <c r="DH8" i="7"/>
  <c r="DT7" i="7"/>
  <c r="DT8" i="7"/>
  <c r="BK7" i="7"/>
  <c r="DR8" i="4"/>
  <c r="AA7" i="7"/>
  <c r="AA8" i="7"/>
  <c r="CW8" i="7"/>
  <c r="CW7" i="7"/>
  <c r="DU7" i="7"/>
  <c r="DU8" i="7"/>
  <c r="C28" i="8"/>
  <c r="C32" i="8" l="1"/>
  <c r="C30" i="8"/>
  <c r="C31" i="8"/>
  <c r="C33" i="8" s="1"/>
</calcChain>
</file>

<file path=xl/sharedStrings.xml><?xml version="1.0" encoding="utf-8"?>
<sst xmlns="http://schemas.openxmlformats.org/spreadsheetml/2006/main" count="2654" uniqueCount="321">
  <si>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</si>
  <si>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</si>
  <si>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</si>
  <si>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</si>
  <si>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</si>
  <si>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</si>
  <si>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</si>
  <si>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</si>
  <si>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</si>
  <si>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</si>
  <si>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</si>
  <si>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</si>
  <si>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</si>
  <si>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</si>
  <si>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</si>
  <si>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</si>
  <si>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</si>
  <si>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</si>
  <si>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</si>
  <si>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</si>
  <si>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</si>
  <si>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</si>
  <si>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</si>
  <si>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</si>
  <si>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</si>
  <si>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</si>
  <si>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</si>
  <si>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</si>
  <si>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</si>
  <si>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</si>
  <si>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</si>
  <si>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</si>
  <si>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</si>
  <si>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</si>
  <si>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</si>
  <si>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</si>
  <si>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</si>
  <si>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</si>
  <si>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</si>
  <si>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</si>
  <si>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</si>
  <si>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</si>
  <si>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</si>
  <si>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</si>
  <si>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</si>
  <si>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</si>
  <si>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</si>
  <si>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</si>
  <si>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</si>
  <si>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</si>
  <si>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</si>
  <si>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</si>
  <si>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</si>
  <si>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</si>
  <si>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</si>
  <si>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</si>
  <si>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</si>
  <si>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</si>
  <si>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</si>
  <si>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</si>
  <si>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</si>
  <si>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</si>
  <si>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</si>
  <si>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</si>
  <si>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</si>
  <si>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</si>
  <si>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</si>
  <si>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</si>
  <si>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</si>
  <si>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</si>
  <si>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</si>
  <si>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</si>
  <si>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</si>
  <si>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</si>
  <si>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</si>
  <si>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</si>
  <si>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</si>
  <si>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</si>
  <si>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</si>
  <si>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</si>
  <si>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</si>
  <si>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</si>
  <si>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</si>
  <si>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</si>
  <si>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</si>
  <si>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</si>
  <si>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</si>
  <si>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</si>
  <si>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</si>
  <si>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</si>
  <si>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</si>
  <si>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</si>
  <si>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</si>
  <si>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</si>
  <si>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</si>
  <si>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</si>
  <si>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</si>
  <si>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</si>
  <si>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</si>
  <si>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</si>
  <si>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</si>
  <si>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</si>
  <si>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</si>
  <si>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</si>
  <si>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</si>
  <si>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</si>
  <si>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</si>
  <si>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</si>
  <si>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</si>
  <si>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</si>
  <si>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</si>
  <si>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</si>
  <si>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</si>
  <si>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</si>
  <si>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</si>
  <si>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</si>
  <si>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</si>
  <si>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</si>
  <si>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</si>
  <si>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</si>
  <si>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</si>
  <si>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</si>
  <si>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</si>
  <si>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</si>
  <si>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</si>
  <si>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</si>
  <si>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</si>
  <si>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</si>
  <si>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</si>
  <si>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</si>
  <si>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</si>
  <si>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</si>
  <si>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</si>
  <si>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</si>
  <si>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</si>
  <si>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</si>
  <si>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</si>
  <si>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</si>
  <si>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</si>
  <si>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</si>
  <si>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</si>
  <si>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</si>
  <si>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</si>
  <si>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</si>
  <si>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</si>
  <si>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</si>
  <si>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</si>
  <si>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</si>
  <si>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</si>
  <si>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</si>
  <si>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</si>
  <si>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</si>
  <si>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</si>
  <si>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</si>
  <si>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</si>
  <si>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</si>
  <si>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</si>
  <si>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3043</t>
  </si>
  <si>
    <t>5455</t>
  </si>
  <si>
    <t>8097</t>
  </si>
  <si>
    <t>6291</t>
  </si>
  <si>
    <t>9906</t>
  </si>
  <si>
    <t>6114</t>
  </si>
  <si>
    <t>6103</t>
  </si>
  <si>
    <t>5324</t>
  </si>
  <si>
    <t>3176</t>
  </si>
  <si>
    <t>2388</t>
  </si>
  <si>
    <t>2028</t>
  </si>
  <si>
    <t>6225</t>
  </si>
  <si>
    <t>8044</t>
  </si>
  <si>
    <t>6259</t>
  </si>
  <si>
    <t>6228</t>
  </si>
  <si>
    <t>3205</t>
  </si>
  <si>
    <t>3095</t>
  </si>
  <si>
    <t>3064</t>
  </si>
  <si>
    <t>6165</t>
  </si>
  <si>
    <t>8067</t>
  </si>
  <si>
    <t>3288</t>
  </si>
  <si>
    <t>1475</t>
  </si>
  <si>
    <t>4303</t>
  </si>
  <si>
    <t>5310</t>
  </si>
  <si>
    <t>5475</t>
  </si>
  <si>
    <t>1472</t>
  </si>
  <si>
    <t>8087</t>
  </si>
  <si>
    <t>4304</t>
  </si>
  <si>
    <t>8070</t>
  </si>
  <si>
    <t>3228</t>
  </si>
  <si>
    <t>3191</t>
  </si>
  <si>
    <t>5348</t>
  </si>
  <si>
    <t>3138</t>
  </si>
  <si>
    <t>1538</t>
  </si>
  <si>
    <t>5314</t>
  </si>
  <si>
    <t>3093</t>
  </si>
  <si>
    <t>3443</t>
  </si>
  <si>
    <t>5345</t>
  </si>
  <si>
    <t>5364</t>
  </si>
  <si>
    <t>2321</t>
  </si>
  <si>
    <t>2482</t>
  </si>
  <si>
    <t>9950</t>
  </si>
  <si>
    <t>1519</t>
  </si>
  <si>
    <t>1808</t>
  </si>
  <si>
    <t>1101</t>
  </si>
  <si>
    <t>科風</t>
  </si>
  <si>
    <t>昇益</t>
  </si>
  <si>
    <t>常珵</t>
  </si>
  <si>
    <t>沛亨</t>
  </si>
  <si>
    <t>欣巴巴</t>
  </si>
  <si>
    <t>久威</t>
  </si>
  <si>
    <t>合邦</t>
  </si>
  <si>
    <t>士開</t>
  </si>
  <si>
    <t>基亞</t>
  </si>
  <si>
    <t>威盛</t>
  </si>
  <si>
    <t>威致</t>
  </si>
  <si>
    <t>天瀚</t>
  </si>
  <si>
    <t>網家</t>
  </si>
  <si>
    <t>百徽</t>
  </si>
  <si>
    <t>全譜</t>
  </si>
  <si>
    <t>佰研</t>
  </si>
  <si>
    <t>及成</t>
  </si>
  <si>
    <t>泰偉</t>
  </si>
  <si>
    <t>浪凡</t>
  </si>
  <si>
    <t>志旭</t>
  </si>
  <si>
    <t>點晶</t>
  </si>
  <si>
    <t>業旺</t>
  </si>
  <si>
    <t>信立</t>
  </si>
  <si>
    <t>天剛</t>
  </si>
  <si>
    <t>德宏</t>
  </si>
  <si>
    <t>三洋實業</t>
  </si>
  <si>
    <t>麗升能源</t>
  </si>
  <si>
    <t>勝昱</t>
  </si>
  <si>
    <t>長華*</t>
  </si>
  <si>
    <t>金麗科</t>
  </si>
  <si>
    <t>雲嘉南</t>
  </si>
  <si>
    <t>正能量智能</t>
  </si>
  <si>
    <t>耀登</t>
  </si>
  <si>
    <t>正峰</t>
  </si>
  <si>
    <t>世紀*</t>
  </si>
  <si>
    <t>港建*</t>
  </si>
  <si>
    <t>創意</t>
  </si>
  <si>
    <t>馥鴻</t>
  </si>
  <si>
    <t>力麗店</t>
  </si>
  <si>
    <t>東訊</t>
  </si>
  <si>
    <t>連宇</t>
  </si>
  <si>
    <t>萬國通</t>
  </si>
  <si>
    <t>華城</t>
  </si>
  <si>
    <t>潤隆</t>
  </si>
  <si>
    <t>台泥</t>
  </si>
  <si>
    <t>2540</t>
  </si>
  <si>
    <t>2330</t>
  </si>
  <si>
    <t>2323</t>
  </si>
  <si>
    <t>2408</t>
  </si>
  <si>
    <t>4502</t>
  </si>
  <si>
    <t>2496</t>
  </si>
  <si>
    <t>2337</t>
  </si>
  <si>
    <t>3252</t>
  </si>
  <si>
    <t>1906</t>
  </si>
  <si>
    <t>6150</t>
  </si>
  <si>
    <t>2342</t>
  </si>
  <si>
    <t>9958</t>
  </si>
  <si>
    <t>8085</t>
  </si>
  <si>
    <t>1529</t>
  </si>
  <si>
    <t>2429</t>
  </si>
  <si>
    <t>3067</t>
  </si>
  <si>
    <t>1325</t>
  </si>
  <si>
    <t>1314</t>
  </si>
  <si>
    <t>9103</t>
  </si>
  <si>
    <t>2609</t>
  </si>
  <si>
    <t>2603</t>
  </si>
  <si>
    <t>6144</t>
  </si>
  <si>
    <t>1312</t>
  </si>
  <si>
    <t>8937</t>
  </si>
  <si>
    <t>9962</t>
  </si>
  <si>
    <t>愛山林</t>
  </si>
  <si>
    <t>台積電</t>
  </si>
  <si>
    <t>中環</t>
  </si>
  <si>
    <t>南亞科</t>
  </si>
  <si>
    <t>健信</t>
  </si>
  <si>
    <t>卓越</t>
  </si>
  <si>
    <t>旺宏</t>
  </si>
  <si>
    <t>海灣</t>
  </si>
  <si>
    <t>寶隆</t>
  </si>
  <si>
    <t>撼訊</t>
  </si>
  <si>
    <t>茂矽</t>
  </si>
  <si>
    <t>世紀鋼</t>
  </si>
  <si>
    <t>福華</t>
  </si>
  <si>
    <t>樂事綠能</t>
  </si>
  <si>
    <t>銘旺科</t>
  </si>
  <si>
    <t>全域</t>
  </si>
  <si>
    <t>恒大</t>
  </si>
  <si>
    <t>中石化</t>
  </si>
  <si>
    <t>美德醫療-DR</t>
  </si>
  <si>
    <t>陽明</t>
  </si>
  <si>
    <t>長榮</t>
  </si>
  <si>
    <t>得利影</t>
  </si>
  <si>
    <t>國喬</t>
  </si>
  <si>
    <t>合騏</t>
  </si>
  <si>
    <t>有益</t>
  </si>
  <si>
    <t>sum</t>
  </si>
  <si>
    <t>勝率</t>
  </si>
  <si>
    <t>XGBoost</t>
  </si>
  <si>
    <t>差距平方</t>
  </si>
  <si>
    <t>真實平方</t>
  </si>
  <si>
    <t>R-Square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</si>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</sst>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0.11090887899948915</c:v>
                </c:pt>
                <c:pt idx="2">
                  <c:v>0.14917066042834051</c:v>
                </c:pt>
                <c:pt idx="3">
                  <c:v>0.14182555098823554</c:v>
                </c:pt>
                <c:pt idx="4">
                  <c:v>0.156982486884225</c:v>
                </c:pt>
                <c:pt idx="5">
                  <c:v>0.20004549902940233</c:v>
                </c:pt>
                <c:pt idx="6">
                  <c:v>0.22504343019625567</c:v>
                </c:pt>
                <c:pt idx="7">
                  <c:v>0.22621734698547435</c:v>
                </c:pt>
                <c:pt idx="8">
                  <c:v>0.25424277961452257</c:v>
                </c:pt>
                <c:pt idx="9">
                  <c:v>0.26957742506002125</c:v>
                </c:pt>
                <c:pt idx="10">
                  <c:v>0.26589002965842218</c:v>
                </c:pt>
                <c:pt idx="11">
                  <c:v>0.31052742433342584</c:v>
                </c:pt>
                <c:pt idx="12">
                  <c:v>0.33679026326778655</c:v>
                </c:pt>
                <c:pt idx="13">
                  <c:v>0.33504049729685775</c:v>
                </c:pt>
                <c:pt idx="14">
                  <c:v>0.35961906577769542</c:v>
                </c:pt>
                <c:pt idx="15">
                  <c:v>0.36134419311854937</c:v>
                </c:pt>
                <c:pt idx="16">
                  <c:v>0.40182604910184783</c:v>
                </c:pt>
                <c:pt idx="17">
                  <c:v>0.3983285640124189</c:v>
                </c:pt>
                <c:pt idx="18">
                  <c:v>0.40254533175073676</c:v>
                </c:pt>
                <c:pt idx="19">
                  <c:v>0.40509918481105661</c:v>
                </c:pt>
                <c:pt idx="20">
                  <c:v>0.37199097021930638</c:v>
                </c:pt>
                <c:pt idx="21">
                  <c:v>0.4182012107295911</c:v>
                </c:pt>
                <c:pt idx="22">
                  <c:v>0.38572283014333347</c:v>
                </c:pt>
                <c:pt idx="23">
                  <c:v>0.43508163746790229</c:v>
                </c:pt>
                <c:pt idx="24">
                  <c:v>0.46694793430918496</c:v>
                </c:pt>
                <c:pt idx="25">
                  <c:v>0.46069736142543721</c:v>
                </c:pt>
                <c:pt idx="26">
                  <c:v>0.41062325673107358</c:v>
                </c:pt>
                <c:pt idx="27">
                  <c:v>0.42611761781679369</c:v>
                </c:pt>
                <c:pt idx="28">
                  <c:v>0.38811400871441004</c:v>
                </c:pt>
                <c:pt idx="29">
                  <c:v>0.42251911982374357</c:v>
                </c:pt>
                <c:pt idx="30">
                  <c:v>0.41560042525636964</c:v>
                </c:pt>
                <c:pt idx="31">
                  <c:v>0.44000480990321883</c:v>
                </c:pt>
                <c:pt idx="32">
                  <c:v>0.45616393267645</c:v>
                </c:pt>
                <c:pt idx="33">
                  <c:v>0.47506642002312793</c:v>
                </c:pt>
                <c:pt idx="34">
                  <c:v>0.51618111327591687</c:v>
                </c:pt>
                <c:pt idx="35">
                  <c:v>0.52580510315069495</c:v>
                </c:pt>
                <c:pt idx="36">
                  <c:v>0.5512410985702284</c:v>
                </c:pt>
                <c:pt idx="37">
                  <c:v>0.61109328977347832</c:v>
                </c:pt>
                <c:pt idx="38">
                  <c:v>0.60946114637172599</c:v>
                </c:pt>
                <c:pt idx="39">
                  <c:v>0.58792159810981082</c:v>
                </c:pt>
                <c:pt idx="40">
                  <c:v>0.58066088514107672</c:v>
                </c:pt>
                <c:pt idx="41">
                  <c:v>0.58766267546609319</c:v>
                </c:pt>
                <c:pt idx="42">
                  <c:v>0.61670127877332237</c:v>
                </c:pt>
                <c:pt idx="43">
                  <c:v>0.68851664807145696</c:v>
                </c:pt>
                <c:pt idx="44">
                  <c:v>0.75202617811319727</c:v>
                </c:pt>
                <c:pt idx="45">
                  <c:v>0.72719515055428152</c:v>
                </c:pt>
                <c:pt idx="46">
                  <c:v>0.73896952371447311</c:v>
                </c:pt>
                <c:pt idx="47">
                  <c:v>0.68317920982443814</c:v>
                </c:pt>
                <c:pt idx="48">
                  <c:v>0.69321316285211443</c:v>
                </c:pt>
                <c:pt idx="49">
                  <c:v>0.6965716240441916</c:v>
                </c:pt>
                <c:pt idx="50">
                  <c:v>0.70147588640225078</c:v>
                </c:pt>
                <c:pt idx="51">
                  <c:v>0.72507951630703826</c:v>
                </c:pt>
                <c:pt idx="52">
                  <c:v>0.728862836697585</c:v>
                </c:pt>
                <c:pt idx="53">
                  <c:v>0.73256089607877062</c:v>
                </c:pt>
                <c:pt idx="54">
                  <c:v>0.68642315461202352</c:v>
                </c:pt>
                <c:pt idx="55">
                  <c:v>0.67677736762044127</c:v>
                </c:pt>
                <c:pt idx="56">
                  <c:v>0.66600276784878343</c:v>
                </c:pt>
                <c:pt idx="57">
                  <c:v>0.70042498846463686</c:v>
                </c:pt>
                <c:pt idx="58">
                  <c:v>0.75857594939941131</c:v>
                </c:pt>
                <c:pt idx="59">
                  <c:v>0.77754930228912222</c:v>
                </c:pt>
                <c:pt idx="60">
                  <c:v>0.75246798807859638</c:v>
                </c:pt>
                <c:pt idx="61">
                  <c:v>0.76299381247018028</c:v>
                </c:pt>
                <c:pt idx="62">
                  <c:v>0.72269221285138019</c:v>
                </c:pt>
                <c:pt idx="63">
                  <c:v>0.72681009753401549</c:v>
                </c:pt>
                <c:pt idx="64">
                  <c:v>0.7191402129060942</c:v>
                </c:pt>
                <c:pt idx="65">
                  <c:v>0.74395038136231306</c:v>
                </c:pt>
                <c:pt idx="66">
                  <c:v>0.74960520732213265</c:v>
                </c:pt>
                <c:pt idx="67">
                  <c:v>0.7245587085953421</c:v>
                </c:pt>
                <c:pt idx="68">
                  <c:v>0.72613398268455454</c:v>
                </c:pt>
                <c:pt idx="69">
                  <c:v>0.73494749375692037</c:v>
                </c:pt>
                <c:pt idx="70">
                  <c:v>0.69953445293162864</c:v>
                </c:pt>
                <c:pt idx="71">
                  <c:v>0.72499146976427076</c:v>
                </c:pt>
                <c:pt idx="72">
                  <c:v>0.67259957173922125</c:v>
                </c:pt>
                <c:pt idx="73">
                  <c:v>0.67979616411623423</c:v>
                </c:pt>
                <c:pt idx="74">
                  <c:v>0.62269334780882524</c:v>
                </c:pt>
                <c:pt idx="75">
                  <c:v>0.62974336453779189</c:v>
                </c:pt>
                <c:pt idx="76">
                  <c:v>0.62559798048906123</c:v>
                </c:pt>
                <c:pt idx="77">
                  <c:v>0.62803678180447575</c:v>
                </c:pt>
                <c:pt idx="78">
                  <c:v>0.68290920500941288</c:v>
                </c:pt>
                <c:pt idx="79">
                  <c:v>0.72392571173297848</c:v>
                </c:pt>
                <c:pt idx="80">
                  <c:v>0.86534226106632084</c:v>
                </c:pt>
                <c:pt idx="81">
                  <c:v>0.89752404952195752</c:v>
                </c:pt>
                <c:pt idx="82">
                  <c:v>0.94718539545633695</c:v>
                </c:pt>
                <c:pt idx="83">
                  <c:v>1.0150180675968572</c:v>
                </c:pt>
                <c:pt idx="84">
                  <c:v>1.0443217050775839</c:v>
                </c:pt>
                <c:pt idx="85">
                  <c:v>1.0548022157429551</c:v>
                </c:pt>
                <c:pt idx="86">
                  <c:v>0.99455863205580541</c:v>
                </c:pt>
                <c:pt idx="87">
                  <c:v>1.0305056276123088</c:v>
                </c:pt>
                <c:pt idx="88">
                  <c:v>1.0156685219550852</c:v>
                </c:pt>
                <c:pt idx="89">
                  <c:v>0.98318387696266951</c:v>
                </c:pt>
                <c:pt idx="90">
                  <c:v>0.97676492562453787</c:v>
                </c:pt>
                <c:pt idx="91">
                  <c:v>0.96822271702769869</c:v>
                </c:pt>
                <c:pt idx="92">
                  <c:v>0.91101186055029804</c:v>
                </c:pt>
                <c:pt idx="93">
                  <c:v>0.89024461441361458</c:v>
                </c:pt>
                <c:pt idx="94">
                  <c:v>0.8705472840675148</c:v>
                </c:pt>
                <c:pt idx="95">
                  <c:v>0.87948730577927925</c:v>
                </c:pt>
                <c:pt idx="96">
                  <c:v>0.9032901487560675</c:v>
                </c:pt>
                <c:pt idx="97">
                  <c:v>0.92203456032702436</c:v>
                </c:pt>
                <c:pt idx="98">
                  <c:v>0.89608749007632316</c:v>
                </c:pt>
                <c:pt idx="99">
                  <c:v>0.96635964634416882</c:v>
                </c:pt>
                <c:pt idx="100">
                  <c:v>0.95850795017783219</c:v>
                </c:pt>
                <c:pt idx="101">
                  <c:v>1.0468690172298181</c:v>
                </c:pt>
                <c:pt idx="102">
                  <c:v>1.0772416049528861</c:v>
                </c:pt>
                <c:pt idx="103">
                  <c:v>1.154146806820771</c:v>
                </c:pt>
                <c:pt idx="104">
                  <c:v>1.1800697387654435</c:v>
                </c:pt>
                <c:pt idx="105">
                  <c:v>1.1641985936709205</c:v>
                </c:pt>
                <c:pt idx="106">
                  <c:v>1.1445340494054064</c:v>
                </c:pt>
                <c:pt idx="107">
                  <c:v>1.1934383255776926</c:v>
                </c:pt>
                <c:pt idx="108">
                  <c:v>1.1497513497364702</c:v>
                </c:pt>
                <c:pt idx="109">
                  <c:v>1.1822147819524547</c:v>
                </c:pt>
                <c:pt idx="110">
                  <c:v>1.1623910675220464</c:v>
                </c:pt>
                <c:pt idx="111">
                  <c:v>1.1834992524125281</c:v>
                </c:pt>
                <c:pt idx="112">
                  <c:v>1.1493583519052568</c:v>
                </c:pt>
                <c:pt idx="113">
                  <c:v>1.1499017589403624</c:v>
                </c:pt>
                <c:pt idx="114">
                  <c:v>1.1718865368170184</c:v>
                </c:pt>
                <c:pt idx="115">
                  <c:v>1.1618733258613823</c:v>
                </c:pt>
                <c:pt idx="116">
                  <c:v>1.1384976818564536</c:v>
                </c:pt>
                <c:pt idx="117">
                  <c:v>1.1744133228061504</c:v>
                </c:pt>
                <c:pt idx="118">
                  <c:v>1.1407752046935573</c:v>
                </c:pt>
                <c:pt idx="119">
                  <c:v>1.1446414850862519</c:v>
                </c:pt>
                <c:pt idx="120">
                  <c:v>1.102120542625362</c:v>
                </c:pt>
                <c:pt idx="121">
                  <c:v>1.1332356538509667</c:v>
                </c:pt>
                <c:pt idx="122">
                  <c:v>1.1702314775365517</c:v>
                </c:pt>
                <c:pt idx="123">
                  <c:v>1.19070358743062</c:v>
                </c:pt>
                <c:pt idx="124">
                  <c:v>1.1938967627131778</c:v>
                </c:pt>
                <c:pt idx="125">
                  <c:v>1.2185024284770634</c:v>
                </c:pt>
                <c:pt idx="126">
                  <c:v>1.2671410675544625</c:v>
                </c:pt>
                <c:pt idx="127">
                  <c:v>1.2694990310878722</c:v>
                </c:pt>
                <c:pt idx="128">
                  <c:v>1.3214971693791346</c:v>
                </c:pt>
                <c:pt idx="129">
                  <c:v>1.325075032602278</c:v>
                </c:pt>
                <c:pt idx="130">
                  <c:v>1.3215318015274615</c:v>
                </c:pt>
                <c:pt idx="131">
                  <c:v>1.2601045471061241</c:v>
                </c:pt>
                <c:pt idx="132">
                  <c:v>1.2752844027484531</c:v>
                </c:pt>
                <c:pt idx="133">
                  <c:v>1.2433633217368618</c:v>
                </c:pt>
                <c:pt idx="134">
                  <c:v>1.3411929996102627</c:v>
                </c:pt>
                <c:pt idx="135">
                  <c:v>1.360933260989466</c:v>
                </c:pt>
                <c:pt idx="136">
                  <c:v>1.351972004316091</c:v>
                </c:pt>
                <c:pt idx="137">
                  <c:v>1.3158316131227914</c:v>
                </c:pt>
                <c:pt idx="138">
                  <c:v>1.365949626332204</c:v>
                </c:pt>
                <c:pt idx="139">
                  <c:v>1.3491769089633541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3-433D-A9F8-C8EF47EC529E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5.4000687411234302E-2</c:v>
                </c:pt>
                <c:pt idx="2">
                  <c:v>0.10321979592665639</c:v>
                </c:pt>
                <c:pt idx="3">
                  <c:v>6.5232640498459935E-2</c:v>
                </c:pt>
                <c:pt idx="4">
                  <c:v>8.0437343445408441E-2</c:v>
                </c:pt>
                <c:pt idx="5">
                  <c:v>0.10968860723706918</c:v>
                </c:pt>
                <c:pt idx="6">
                  <c:v>0.13349631715617105</c:v>
                </c:pt>
                <c:pt idx="7">
                  <c:v>0.12332039421439836</c:v>
                </c:pt>
                <c:pt idx="8">
                  <c:v>0.14111034307826359</c:v>
                </c:pt>
                <c:pt idx="9">
                  <c:v>0.14183344663772401</c:v>
                </c:pt>
                <c:pt idx="10">
                  <c:v>0.16174865303808214</c:v>
                </c:pt>
                <c:pt idx="11">
                  <c:v>0.19793062189282173</c:v>
                </c:pt>
                <c:pt idx="12">
                  <c:v>0.21476587249129686</c:v>
                </c:pt>
                <c:pt idx="13">
                  <c:v>0.2307215932974678</c:v>
                </c:pt>
                <c:pt idx="14">
                  <c:v>0.28581958387230216</c:v>
                </c:pt>
                <c:pt idx="15">
                  <c:v>0.28248918356522479</c:v>
                </c:pt>
                <c:pt idx="16">
                  <c:v>0.34972915492485934</c:v>
                </c:pt>
                <c:pt idx="17">
                  <c:v>0.33638070026132383</c:v>
                </c:pt>
                <c:pt idx="18">
                  <c:v>0.37044624752522348</c:v>
                </c:pt>
                <c:pt idx="19">
                  <c:v>0.37387853249094483</c:v>
                </c:pt>
                <c:pt idx="20">
                  <c:v>0.35628793147176102</c:v>
                </c:pt>
                <c:pt idx="21">
                  <c:v>0.41850210259846654</c:v>
                </c:pt>
                <c:pt idx="22">
                  <c:v>0.37712418725104224</c:v>
                </c:pt>
                <c:pt idx="23">
                  <c:v>0.43682161127754976</c:v>
                </c:pt>
                <c:pt idx="24">
                  <c:v>0.48751459358508931</c:v>
                </c:pt>
                <c:pt idx="25">
                  <c:v>0.47486814343580763</c:v>
                </c:pt>
                <c:pt idx="26">
                  <c:v>0.42184788243302301</c:v>
                </c:pt>
                <c:pt idx="27">
                  <c:v>0.43179281990967472</c:v>
                </c:pt>
                <c:pt idx="28">
                  <c:v>0.38933285833526465</c:v>
                </c:pt>
                <c:pt idx="29">
                  <c:v>0.43798686460205127</c:v>
                </c:pt>
                <c:pt idx="30">
                  <c:v>0.43294556926120914</c:v>
                </c:pt>
                <c:pt idx="31">
                  <c:v>0.45921300885284805</c:v>
                </c:pt>
                <c:pt idx="32">
                  <c:v>0.4717259688465445</c:v>
                </c:pt>
                <c:pt idx="33">
                  <c:v>0.4617344086938508</c:v>
                </c:pt>
                <c:pt idx="34">
                  <c:v>0.52542753324433211</c:v>
                </c:pt>
                <c:pt idx="35">
                  <c:v>0.53065267021461793</c:v>
                </c:pt>
                <c:pt idx="36">
                  <c:v>0.55932488585443518</c:v>
                </c:pt>
                <c:pt idx="37">
                  <c:v>0.6562647277792345</c:v>
                </c:pt>
                <c:pt idx="38">
                  <c:v>0.65665584227968454</c:v>
                </c:pt>
                <c:pt idx="39">
                  <c:v>0.61125737318914386</c:v>
                </c:pt>
                <c:pt idx="40">
                  <c:v>0.60826752837756815</c:v>
                </c:pt>
                <c:pt idx="41">
                  <c:v>0.61131460245026448</c:v>
                </c:pt>
                <c:pt idx="42">
                  <c:v>0.64619217045497412</c:v>
                </c:pt>
                <c:pt idx="43">
                  <c:v>0.74112132244381967</c:v>
                </c:pt>
                <c:pt idx="44">
                  <c:v>0.81413945222695849</c:v>
                </c:pt>
                <c:pt idx="45">
                  <c:v>0.82629159417118847</c:v>
                </c:pt>
                <c:pt idx="46">
                  <c:v>0.86146837813968336</c:v>
                </c:pt>
                <c:pt idx="47">
                  <c:v>0.80936760498459737</c:v>
                </c:pt>
                <c:pt idx="48">
                  <c:v>0.81227473161680463</c:v>
                </c:pt>
                <c:pt idx="49">
                  <c:v>0.81860800577270021</c:v>
                </c:pt>
                <c:pt idx="50">
                  <c:v>0.82948445314268027</c:v>
                </c:pt>
                <c:pt idx="51">
                  <c:v>0.87824689676970036</c:v>
                </c:pt>
                <c:pt idx="52">
                  <c:v>0.88441729806214386</c:v>
                </c:pt>
                <c:pt idx="53">
                  <c:v>0.88818166907689011</c:v>
                </c:pt>
                <c:pt idx="54">
                  <c:v>0.83766020644504491</c:v>
                </c:pt>
                <c:pt idx="55">
                  <c:v>0.8253040754737313</c:v>
                </c:pt>
                <c:pt idx="56">
                  <c:v>0.82780425573727889</c:v>
                </c:pt>
                <c:pt idx="57">
                  <c:v>0.86898402887188231</c:v>
                </c:pt>
                <c:pt idx="58">
                  <c:v>0.92526122336666039</c:v>
                </c:pt>
                <c:pt idx="59">
                  <c:v>0.9396405786781018</c:v>
                </c:pt>
                <c:pt idx="60">
                  <c:v>0.91720380464851392</c:v>
                </c:pt>
                <c:pt idx="61">
                  <c:v>0.93116928562483725</c:v>
                </c:pt>
                <c:pt idx="62">
                  <c:v>0.88455677005986177</c:v>
                </c:pt>
                <c:pt idx="63">
                  <c:v>0.90500062554901339</c:v>
                </c:pt>
                <c:pt idx="64">
                  <c:v>0.88052406399409577</c:v>
                </c:pt>
                <c:pt idx="65">
                  <c:v>0.90074574330259594</c:v>
                </c:pt>
                <c:pt idx="66">
                  <c:v>0.92141743675081911</c:v>
                </c:pt>
                <c:pt idx="67">
                  <c:v>0.8949924458641455</c:v>
                </c:pt>
                <c:pt idx="68">
                  <c:v>0.88805266070912348</c:v>
                </c:pt>
                <c:pt idx="69">
                  <c:v>0.88302728253464813</c:v>
                </c:pt>
                <c:pt idx="70">
                  <c:v>0.82239390394539513</c:v>
                </c:pt>
                <c:pt idx="71">
                  <c:v>0.83951922852895799</c:v>
                </c:pt>
                <c:pt idx="72">
                  <c:v>0.73462918686198686</c:v>
                </c:pt>
                <c:pt idx="73">
                  <c:v>0.7503845204280587</c:v>
                </c:pt>
                <c:pt idx="74">
                  <c:v>0.7166038350167836</c:v>
                </c:pt>
                <c:pt idx="75">
                  <c:v>0.71904979172702155</c:v>
                </c:pt>
                <c:pt idx="76">
                  <c:v>0.7352710623735389</c:v>
                </c:pt>
                <c:pt idx="77">
                  <c:v>0.75282301147240505</c:v>
                </c:pt>
                <c:pt idx="78">
                  <c:v>0.84911271318916093</c:v>
                </c:pt>
                <c:pt idx="79">
                  <c:v>0.8979526136779119</c:v>
                </c:pt>
                <c:pt idx="80">
                  <c:v>1.0821549315076326</c:v>
                </c:pt>
                <c:pt idx="81">
                  <c:v>1.1296384164830362</c:v>
                </c:pt>
                <c:pt idx="82">
                  <c:v>1.1788410692266971</c:v>
                </c:pt>
                <c:pt idx="83">
                  <c:v>1.2283958122976277</c:v>
                </c:pt>
                <c:pt idx="84">
                  <c:v>1.2480246031349227</c:v>
                </c:pt>
                <c:pt idx="85">
                  <c:v>1.2459340106037817</c:v>
                </c:pt>
                <c:pt idx="86">
                  <c:v>1.1804168922322613</c:v>
                </c:pt>
                <c:pt idx="87">
                  <c:v>1.1979848602890457</c:v>
                </c:pt>
                <c:pt idx="88">
                  <c:v>1.2092593424567553</c:v>
                </c:pt>
                <c:pt idx="89">
                  <c:v>1.1717804959367237</c:v>
                </c:pt>
                <c:pt idx="90">
                  <c:v>1.1878449083111633</c:v>
                </c:pt>
                <c:pt idx="91">
                  <c:v>1.2023851588566079</c:v>
                </c:pt>
                <c:pt idx="92">
                  <c:v>1.1457434267171871</c:v>
                </c:pt>
                <c:pt idx="93">
                  <c:v>1.1171416172867075</c:v>
                </c:pt>
                <c:pt idx="94">
                  <c:v>1.1074842166429204</c:v>
                </c:pt>
                <c:pt idx="95">
                  <c:v>1.1309448188707341</c:v>
                </c:pt>
                <c:pt idx="96">
                  <c:v>1.1661603168168986</c:v>
                </c:pt>
                <c:pt idx="97">
                  <c:v>1.1832284214242961</c:v>
                </c:pt>
                <c:pt idx="98">
                  <c:v>1.1494328273764371</c:v>
                </c:pt>
                <c:pt idx="99">
                  <c:v>1.2291182697666281</c:v>
                </c:pt>
                <c:pt idx="100">
                  <c:v>1.210133371475377</c:v>
                </c:pt>
                <c:pt idx="101">
                  <c:v>1.2904822608482625</c:v>
                </c:pt>
                <c:pt idx="102">
                  <c:v>1.3053120438750589</c:v>
                </c:pt>
                <c:pt idx="103">
                  <c:v>1.3833945982763951</c:v>
                </c:pt>
                <c:pt idx="104">
                  <c:v>1.4221792724042372</c:v>
                </c:pt>
                <c:pt idx="105">
                  <c:v>1.405736964281457</c:v>
                </c:pt>
                <c:pt idx="106">
                  <c:v>1.3914968495228703</c:v>
                </c:pt>
                <c:pt idx="107">
                  <c:v>1.4554310152252159</c:v>
                </c:pt>
                <c:pt idx="108">
                  <c:v>1.4179017545874515</c:v>
                </c:pt>
                <c:pt idx="109">
                  <c:v>1.4569921619165946</c:v>
                </c:pt>
                <c:pt idx="110">
                  <c:v>1.4418873683106885</c:v>
                </c:pt>
                <c:pt idx="111">
                  <c:v>1.4479242349672272</c:v>
                </c:pt>
                <c:pt idx="112">
                  <c:v>1.4271192423801069</c:v>
                </c:pt>
                <c:pt idx="113">
                  <c:v>1.4561341176045242</c:v>
                </c:pt>
                <c:pt idx="114">
                  <c:v>1.4642331389429806</c:v>
                </c:pt>
                <c:pt idx="115">
                  <c:v>1.4597283746136906</c:v>
                </c:pt>
                <c:pt idx="116">
                  <c:v>1.4186606580681258</c:v>
                </c:pt>
                <c:pt idx="117">
                  <c:v>1.4721721459109154</c:v>
                </c:pt>
                <c:pt idx="118">
                  <c:v>1.4341393911074085</c:v>
                </c:pt>
                <c:pt idx="119">
                  <c:v>1.4418746446433408</c:v>
                </c:pt>
                <c:pt idx="120">
                  <c:v>1.3876072153603869</c:v>
                </c:pt>
                <c:pt idx="121">
                  <c:v>1.4440502982283052</c:v>
                </c:pt>
                <c:pt idx="122">
                  <c:v>1.4648652092668935</c:v>
                </c:pt>
                <c:pt idx="123">
                  <c:v>1.5004413478113954</c:v>
                </c:pt>
                <c:pt idx="124">
                  <c:v>1.5216338266411444</c:v>
                </c:pt>
                <c:pt idx="125">
                  <c:v>1.5526670628946029</c:v>
                </c:pt>
                <c:pt idx="126">
                  <c:v>1.6161629310964833</c:v>
                </c:pt>
                <c:pt idx="127">
                  <c:v>1.6246991312746959</c:v>
                </c:pt>
                <c:pt idx="128">
                  <c:v>1.671160113130439</c:v>
                </c:pt>
                <c:pt idx="129">
                  <c:v>1.6731073474632554</c:v>
                </c:pt>
                <c:pt idx="130">
                  <c:v>1.6634704553755921</c:v>
                </c:pt>
                <c:pt idx="131">
                  <c:v>1.5975320023890884</c:v>
                </c:pt>
                <c:pt idx="132">
                  <c:v>1.6143545092860099</c:v>
                </c:pt>
                <c:pt idx="133">
                  <c:v>1.5587671542427244</c:v>
                </c:pt>
                <c:pt idx="134">
                  <c:v>1.710316340365756</c:v>
                </c:pt>
                <c:pt idx="135">
                  <c:v>1.7215215705790954</c:v>
                </c:pt>
                <c:pt idx="136">
                  <c:v>1.7078993100915083</c:v>
                </c:pt>
                <c:pt idx="137">
                  <c:v>1.6759279738332389</c:v>
                </c:pt>
                <c:pt idx="138">
                  <c:v>1.7195141112541481</c:v>
                </c:pt>
                <c:pt idx="139">
                  <c:v>1.6653137497443062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3-433D-A9F8-C8EF47EC529E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5.895953541636189E-2</c:v>
                </c:pt>
                <c:pt idx="2">
                  <c:v>0.14259896155864391</c:v>
                </c:pt>
                <c:pt idx="3">
                  <c:v>9.5157377673109222E-2</c:v>
                </c:pt>
                <c:pt idx="4">
                  <c:v>0.19260707167694865</c:v>
                </c:pt>
                <c:pt idx="5">
                  <c:v>0.26881807474178515</c:v>
                </c:pt>
                <c:pt idx="6">
                  <c:v>0.31739343684976662</c:v>
                </c:pt>
                <c:pt idx="7">
                  <c:v>0.34176295936221168</c:v>
                </c:pt>
                <c:pt idx="8">
                  <c:v>0.3798785984289752</c:v>
                </c:pt>
                <c:pt idx="9">
                  <c:v>0.38384796706559415</c:v>
                </c:pt>
                <c:pt idx="10">
                  <c:v>0.37553863156834916</c:v>
                </c:pt>
                <c:pt idx="11">
                  <c:v>0.45333376682242044</c:v>
                </c:pt>
                <c:pt idx="12">
                  <c:v>0.4463499358504861</c:v>
                </c:pt>
                <c:pt idx="13">
                  <c:v>0.50102991411956488</c:v>
                </c:pt>
                <c:pt idx="14">
                  <c:v>0.58863914009293694</c:v>
                </c:pt>
                <c:pt idx="15">
                  <c:v>0.58534794364858378</c:v>
                </c:pt>
                <c:pt idx="16">
                  <c:v>0.72493205299469488</c:v>
                </c:pt>
                <c:pt idx="17">
                  <c:v>0.71843255398618666</c:v>
                </c:pt>
                <c:pt idx="18">
                  <c:v>0.73477080301533437</c:v>
                </c:pt>
                <c:pt idx="19">
                  <c:v>0.70053930321647673</c:v>
                </c:pt>
                <c:pt idx="20">
                  <c:v>0.67366551369921568</c:v>
                </c:pt>
                <c:pt idx="21">
                  <c:v>0.7768688211857625</c:v>
                </c:pt>
                <c:pt idx="22">
                  <c:v>0.7323244198169987</c:v>
                </c:pt>
                <c:pt idx="23">
                  <c:v>0.83853665171441782</c:v>
                </c:pt>
                <c:pt idx="24">
                  <c:v>0.93538760149828415</c:v>
                </c:pt>
                <c:pt idx="25">
                  <c:v>0.92545239518994271</c:v>
                </c:pt>
                <c:pt idx="26">
                  <c:v>0.90562802610809556</c:v>
                </c:pt>
                <c:pt idx="27">
                  <c:v>0.88600058336149412</c:v>
                </c:pt>
                <c:pt idx="28">
                  <c:v>0.79670289403357786</c:v>
                </c:pt>
                <c:pt idx="29">
                  <c:v>0.85471484782277773</c:v>
                </c:pt>
                <c:pt idx="30">
                  <c:v>0.84883558285525396</c:v>
                </c:pt>
                <c:pt idx="31">
                  <c:v>0.90537213180111664</c:v>
                </c:pt>
                <c:pt idx="32">
                  <c:v>0.97416903158104762</c:v>
                </c:pt>
                <c:pt idx="33">
                  <c:v>0.98193145650644376</c:v>
                </c:pt>
                <c:pt idx="34">
                  <c:v>1.0403825791451626</c:v>
                </c:pt>
                <c:pt idx="35">
                  <c:v>1.0663273688269588</c:v>
                </c:pt>
                <c:pt idx="36">
                  <c:v>1.1170831115478179</c:v>
                </c:pt>
                <c:pt idx="37">
                  <c:v>1.2214986847756601</c:v>
                </c:pt>
                <c:pt idx="38">
                  <c:v>1.2456138696602057</c:v>
                </c:pt>
                <c:pt idx="39">
                  <c:v>1.1911121382254315</c:v>
                </c:pt>
                <c:pt idx="40">
                  <c:v>1.1713020545241928</c:v>
                </c:pt>
                <c:pt idx="41">
                  <c:v>1.1786773113393803</c:v>
                </c:pt>
                <c:pt idx="42">
                  <c:v>1.1651993097844038</c:v>
                </c:pt>
                <c:pt idx="43">
                  <c:v>1.3030137232883892</c:v>
                </c:pt>
                <c:pt idx="44">
                  <c:v>1.4127204140471867</c:v>
                </c:pt>
                <c:pt idx="45">
                  <c:v>1.4219250974572806</c:v>
                </c:pt>
                <c:pt idx="46">
                  <c:v>1.45972906460836</c:v>
                </c:pt>
                <c:pt idx="47">
                  <c:v>1.4189590810740615</c:v>
                </c:pt>
                <c:pt idx="48">
                  <c:v>1.4179863135813933</c:v>
                </c:pt>
                <c:pt idx="49">
                  <c:v>1.4064629806837246</c:v>
                </c:pt>
                <c:pt idx="50">
                  <c:v>1.443224596791157</c:v>
                </c:pt>
                <c:pt idx="51">
                  <c:v>1.5021676865783906</c:v>
                </c:pt>
                <c:pt idx="52">
                  <c:v>1.522690890634496</c:v>
                </c:pt>
                <c:pt idx="53">
                  <c:v>1.5577637684654706</c:v>
                </c:pt>
                <c:pt idx="54">
                  <c:v>1.5243618245352248</c:v>
                </c:pt>
                <c:pt idx="55">
                  <c:v>1.5299883911144039</c:v>
                </c:pt>
                <c:pt idx="56">
                  <c:v>1.5162989727585332</c:v>
                </c:pt>
                <c:pt idx="57">
                  <c:v>1.5810105978182605</c:v>
                </c:pt>
                <c:pt idx="58">
                  <c:v>1.6110980151102599</c:v>
                </c:pt>
                <c:pt idx="59">
                  <c:v>1.6174263043534494</c:v>
                </c:pt>
                <c:pt idx="60">
                  <c:v>1.6119695692507823</c:v>
                </c:pt>
                <c:pt idx="61">
                  <c:v>1.6196921619611961</c:v>
                </c:pt>
                <c:pt idx="62">
                  <c:v>1.5867709971377508</c:v>
                </c:pt>
                <c:pt idx="63">
                  <c:v>1.6156626604038193</c:v>
                </c:pt>
                <c:pt idx="64">
                  <c:v>1.5616282316142867</c:v>
                </c:pt>
                <c:pt idx="65">
                  <c:v>1.5133999361473838</c:v>
                </c:pt>
                <c:pt idx="66">
                  <c:v>1.5208654151386152</c:v>
                </c:pt>
                <c:pt idx="67">
                  <c:v>1.5212739667875508</c:v>
                </c:pt>
                <c:pt idx="68">
                  <c:v>1.4784197843818445</c:v>
                </c:pt>
                <c:pt idx="69">
                  <c:v>1.441374513202994</c:v>
                </c:pt>
                <c:pt idx="70">
                  <c:v>1.3339794752895258</c:v>
                </c:pt>
                <c:pt idx="71">
                  <c:v>1.3476422164519162</c:v>
                </c:pt>
                <c:pt idx="72">
                  <c:v>1.2024627031024591</c:v>
                </c:pt>
                <c:pt idx="73">
                  <c:v>1.2598227496369387</c:v>
                </c:pt>
                <c:pt idx="74">
                  <c:v>1.2626472522854988</c:v>
                </c:pt>
                <c:pt idx="75">
                  <c:v>1.3124194258932711</c:v>
                </c:pt>
                <c:pt idx="76">
                  <c:v>1.3911430232571627</c:v>
                </c:pt>
                <c:pt idx="77">
                  <c:v>1.4053355317085658</c:v>
                </c:pt>
                <c:pt idx="78">
                  <c:v>1.4927793572534278</c:v>
                </c:pt>
                <c:pt idx="79">
                  <c:v>1.548916182415313</c:v>
                </c:pt>
                <c:pt idx="80">
                  <c:v>1.7555842062396159</c:v>
                </c:pt>
                <c:pt idx="81">
                  <c:v>1.8329458517768809</c:v>
                </c:pt>
                <c:pt idx="82">
                  <c:v>1.898106820171398</c:v>
                </c:pt>
                <c:pt idx="83">
                  <c:v>1.9567201270429726</c:v>
                </c:pt>
                <c:pt idx="84">
                  <c:v>1.9254820434238094</c:v>
                </c:pt>
                <c:pt idx="85">
                  <c:v>1.9188612418856468</c:v>
                </c:pt>
                <c:pt idx="86">
                  <c:v>1.8649185497585667</c:v>
                </c:pt>
                <c:pt idx="87">
                  <c:v>1.9060035067810366</c:v>
                </c:pt>
                <c:pt idx="88">
                  <c:v>1.9579789345965581</c:v>
                </c:pt>
                <c:pt idx="89">
                  <c:v>1.9121858324881149</c:v>
                </c:pt>
                <c:pt idx="90">
                  <c:v>1.9365889817875634</c:v>
                </c:pt>
                <c:pt idx="91">
                  <c:v>2.003234422475459</c:v>
                </c:pt>
                <c:pt idx="92">
                  <c:v>1.9862504364920552</c:v>
                </c:pt>
                <c:pt idx="93">
                  <c:v>1.9730502916965678</c:v>
                </c:pt>
                <c:pt idx="94">
                  <c:v>1.9780201615994566</c:v>
                </c:pt>
                <c:pt idx="95">
                  <c:v>2.0287648947969963</c:v>
                </c:pt>
                <c:pt idx="96">
                  <c:v>2.1148522604233668</c:v>
                </c:pt>
                <c:pt idx="97">
                  <c:v>2.148468627497671</c:v>
                </c:pt>
                <c:pt idx="98">
                  <c:v>2.10726068419822</c:v>
                </c:pt>
                <c:pt idx="99">
                  <c:v>2.1861413108185981</c:v>
                </c:pt>
                <c:pt idx="100">
                  <c:v>2.1518572303835315</c:v>
                </c:pt>
                <c:pt idx="101">
                  <c:v>2.2188857139681515</c:v>
                </c:pt>
                <c:pt idx="102">
                  <c:v>2.2662855682003729</c:v>
                </c:pt>
                <c:pt idx="103">
                  <c:v>2.3499244475971919</c:v>
                </c:pt>
                <c:pt idx="104">
                  <c:v>2.4037160369146569</c:v>
                </c:pt>
                <c:pt idx="105">
                  <c:v>2.439536539856582</c:v>
                </c:pt>
                <c:pt idx="106">
                  <c:v>2.4120923187622259</c:v>
                </c:pt>
                <c:pt idx="107">
                  <c:v>2.5753450529456923</c:v>
                </c:pt>
                <c:pt idx="108">
                  <c:v>2.5316037788312062</c:v>
                </c:pt>
                <c:pt idx="109">
                  <c:v>2.5945298047186252</c:v>
                </c:pt>
                <c:pt idx="110">
                  <c:v>2.6083838059545901</c:v>
                </c:pt>
                <c:pt idx="111">
                  <c:v>2.6221609738228904</c:v>
                </c:pt>
                <c:pt idx="112">
                  <c:v>2.5866355352898474</c:v>
                </c:pt>
                <c:pt idx="113">
                  <c:v>2.597693755345897</c:v>
                </c:pt>
                <c:pt idx="114">
                  <c:v>2.6168102203693548</c:v>
                </c:pt>
                <c:pt idx="115">
                  <c:v>2.6814904115800182</c:v>
                </c:pt>
                <c:pt idx="116">
                  <c:v>2.6139988565886587</c:v>
                </c:pt>
                <c:pt idx="117">
                  <c:v>2.649083085573428</c:v>
                </c:pt>
                <c:pt idx="118">
                  <c:v>2.5529819477094859</c:v>
                </c:pt>
                <c:pt idx="119">
                  <c:v>2.5647858876897871</c:v>
                </c:pt>
                <c:pt idx="120">
                  <c:v>2.5102546387977864</c:v>
                </c:pt>
                <c:pt idx="121">
                  <c:v>2.614559247920849</c:v>
                </c:pt>
                <c:pt idx="122">
                  <c:v>2.702305939244249</c:v>
                </c:pt>
                <c:pt idx="123">
                  <c:v>2.7069906463789453</c:v>
                </c:pt>
                <c:pt idx="124">
                  <c:v>2.7167103321444825</c:v>
                </c:pt>
                <c:pt idx="125">
                  <c:v>2.7355371196229505</c:v>
                </c:pt>
                <c:pt idx="126">
                  <c:v>2.7961078575152096</c:v>
                </c:pt>
                <c:pt idx="127">
                  <c:v>2.8039518719197138</c:v>
                </c:pt>
                <c:pt idx="128">
                  <c:v>2.8668949901758936</c:v>
                </c:pt>
                <c:pt idx="129">
                  <c:v>2.8361816535857769</c:v>
                </c:pt>
                <c:pt idx="130">
                  <c:v>2.7864452482273618</c:v>
                </c:pt>
                <c:pt idx="131">
                  <c:v>2.6875079222335527</c:v>
                </c:pt>
                <c:pt idx="132">
                  <c:v>2.7060296143545912</c:v>
                </c:pt>
                <c:pt idx="133">
                  <c:v>2.6553632938067508</c:v>
                </c:pt>
                <c:pt idx="134">
                  <c:v>2.8713601631246353</c:v>
                </c:pt>
                <c:pt idx="135">
                  <c:v>2.8830382163755344</c:v>
                </c:pt>
                <c:pt idx="136">
                  <c:v>2.8773428489820785</c:v>
                </c:pt>
                <c:pt idx="137">
                  <c:v>2.8508105225060216</c:v>
                </c:pt>
                <c:pt idx="138">
                  <c:v>2.88651114818982</c:v>
                </c:pt>
                <c:pt idx="139">
                  <c:v>2.8387399557715378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3-433D-A9F8-C8EF47EC529E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7.8751377282507598E-2</c:v>
                </c:pt>
                <c:pt idx="2">
                  <c:v>0.1533210403195685</c:v>
                </c:pt>
                <c:pt idx="3">
                  <c:v>7.1539013743407945E-2</c:v>
                </c:pt>
                <c:pt idx="4">
                  <c:v>0.20947689639198896</c:v>
                </c:pt>
                <c:pt idx="5">
                  <c:v>0.2912925463156632</c:v>
                </c:pt>
                <c:pt idx="6">
                  <c:v>0.3908653197484836</c:v>
                </c:pt>
                <c:pt idx="7">
                  <c:v>0.43431318717790901</c:v>
                </c:pt>
                <c:pt idx="8">
                  <c:v>0.46582128544549828</c:v>
                </c:pt>
                <c:pt idx="9">
                  <c:v>0.4656035656301854</c:v>
                </c:pt>
                <c:pt idx="10">
                  <c:v>0.31850130231594909</c:v>
                </c:pt>
                <c:pt idx="11">
                  <c:v>0.42017696077286321</c:v>
                </c:pt>
                <c:pt idx="12">
                  <c:v>0.4012804177726827</c:v>
                </c:pt>
                <c:pt idx="13">
                  <c:v>0.46863837832787952</c:v>
                </c:pt>
                <c:pt idx="14">
                  <c:v>0.51101099494571733</c:v>
                </c:pt>
                <c:pt idx="15">
                  <c:v>0.4579313174598269</c:v>
                </c:pt>
                <c:pt idx="16">
                  <c:v>0.63816746218794063</c:v>
                </c:pt>
                <c:pt idx="17">
                  <c:v>0.60656694806740652</c:v>
                </c:pt>
                <c:pt idx="18">
                  <c:v>0.55877321317313366</c:v>
                </c:pt>
                <c:pt idx="19">
                  <c:v>0.49817321748343502</c:v>
                </c:pt>
                <c:pt idx="20">
                  <c:v>0.48273223978624358</c:v>
                </c:pt>
                <c:pt idx="21">
                  <c:v>0.58717121882794066</c:v>
                </c:pt>
                <c:pt idx="22">
                  <c:v>0.56545395070753568</c:v>
                </c:pt>
                <c:pt idx="23">
                  <c:v>0.61382032010361909</c:v>
                </c:pt>
                <c:pt idx="24">
                  <c:v>0.7427292211139257</c:v>
                </c:pt>
                <c:pt idx="25">
                  <c:v>0.71049607193359954</c:v>
                </c:pt>
                <c:pt idx="26">
                  <c:v>0.74437931799022761</c:v>
                </c:pt>
                <c:pt idx="27">
                  <c:v>0.75976069342121122</c:v>
                </c:pt>
                <c:pt idx="28">
                  <c:v>0.67221486405520081</c:v>
                </c:pt>
                <c:pt idx="29">
                  <c:v>0.75835593990089012</c:v>
                </c:pt>
                <c:pt idx="30">
                  <c:v>0.76121757569601634</c:v>
                </c:pt>
                <c:pt idx="31">
                  <c:v>0.75458895212908128</c:v>
                </c:pt>
                <c:pt idx="32">
                  <c:v>0.81161449246384854</c:v>
                </c:pt>
                <c:pt idx="33">
                  <c:v>0.8213873246667236</c:v>
                </c:pt>
                <c:pt idx="34">
                  <c:v>0.87935126581615153</c:v>
                </c:pt>
                <c:pt idx="35">
                  <c:v>0.93405973298880629</c:v>
                </c:pt>
                <c:pt idx="36">
                  <c:v>0.96859302455517071</c:v>
                </c:pt>
                <c:pt idx="37">
                  <c:v>1.087296990867618</c:v>
                </c:pt>
                <c:pt idx="38">
                  <c:v>1.085724457838428</c:v>
                </c:pt>
                <c:pt idx="39">
                  <c:v>1.0478901184936151</c:v>
                </c:pt>
                <c:pt idx="40">
                  <c:v>1.004140249090264</c:v>
                </c:pt>
                <c:pt idx="41">
                  <c:v>1.0154586185777652</c:v>
                </c:pt>
                <c:pt idx="42">
                  <c:v>0.95042981495851497</c:v>
                </c:pt>
                <c:pt idx="43">
                  <c:v>1.1582687728276515</c:v>
                </c:pt>
                <c:pt idx="44">
                  <c:v>1.2932143887829819</c:v>
                </c:pt>
                <c:pt idx="45">
                  <c:v>1.3241477079558048</c:v>
                </c:pt>
                <c:pt idx="46">
                  <c:v>1.4143057902154548</c:v>
                </c:pt>
                <c:pt idx="47">
                  <c:v>1.3002260970686064</c:v>
                </c:pt>
                <c:pt idx="48">
                  <c:v>1.2879180004676591</c:v>
                </c:pt>
                <c:pt idx="49">
                  <c:v>1.2381114076741708</c:v>
                </c:pt>
                <c:pt idx="50">
                  <c:v>1.2545693461676355</c:v>
                </c:pt>
                <c:pt idx="51">
                  <c:v>1.392102785833913</c:v>
                </c:pt>
                <c:pt idx="52">
                  <c:v>1.459643669634155</c:v>
                </c:pt>
                <c:pt idx="53">
                  <c:v>1.4346509998309462</c:v>
                </c:pt>
                <c:pt idx="54">
                  <c:v>1.3799284991680523</c:v>
                </c:pt>
                <c:pt idx="55">
                  <c:v>1.3221357653724977</c:v>
                </c:pt>
                <c:pt idx="56">
                  <c:v>1.3091142132766787</c:v>
                </c:pt>
                <c:pt idx="57">
                  <c:v>1.4042763409787291</c:v>
                </c:pt>
                <c:pt idx="58">
                  <c:v>1.4483623187703032</c:v>
                </c:pt>
                <c:pt idx="59">
                  <c:v>1.4945173535442287</c:v>
                </c:pt>
                <c:pt idx="60">
                  <c:v>1.4893989489196044</c:v>
                </c:pt>
                <c:pt idx="61">
                  <c:v>1.4813093566408306</c:v>
                </c:pt>
                <c:pt idx="62">
                  <c:v>1.4268165247270024</c:v>
                </c:pt>
                <c:pt idx="63">
                  <c:v>1.527392749303893</c:v>
                </c:pt>
                <c:pt idx="64">
                  <c:v>1.4893769414702827</c:v>
                </c:pt>
                <c:pt idx="65">
                  <c:v>1.3909334860634985</c:v>
                </c:pt>
                <c:pt idx="66">
                  <c:v>1.406628639210644</c:v>
                </c:pt>
                <c:pt idx="67">
                  <c:v>1.353893139033121</c:v>
                </c:pt>
                <c:pt idx="68">
                  <c:v>1.3340398612184856</c:v>
                </c:pt>
                <c:pt idx="69">
                  <c:v>1.2848126197974297</c:v>
                </c:pt>
                <c:pt idx="70">
                  <c:v>1.2314612688261599</c:v>
                </c:pt>
                <c:pt idx="71">
                  <c:v>1.2651000573698701</c:v>
                </c:pt>
                <c:pt idx="72">
                  <c:v>1.0708305613300844</c:v>
                </c:pt>
                <c:pt idx="73">
                  <c:v>1.0629210208318713</c:v>
                </c:pt>
                <c:pt idx="74">
                  <c:v>1.1092094175011096</c:v>
                </c:pt>
                <c:pt idx="75">
                  <c:v>1.1959821779588489</c:v>
                </c:pt>
                <c:pt idx="76">
                  <c:v>1.3755459435621595</c:v>
                </c:pt>
                <c:pt idx="77">
                  <c:v>1.2727796606122685</c:v>
                </c:pt>
                <c:pt idx="78">
                  <c:v>1.3941721757014947</c:v>
                </c:pt>
                <c:pt idx="79">
                  <c:v>1.4893285524618063</c:v>
                </c:pt>
                <c:pt idx="80">
                  <c:v>1.609891923116993</c:v>
                </c:pt>
                <c:pt idx="81">
                  <c:v>1.6888123848117682</c:v>
                </c:pt>
                <c:pt idx="82">
                  <c:v>1.792721705068407</c:v>
                </c:pt>
                <c:pt idx="83">
                  <c:v>1.8602414842163453</c:v>
                </c:pt>
                <c:pt idx="84">
                  <c:v>1.8483329567577769</c:v>
                </c:pt>
                <c:pt idx="85">
                  <c:v>1.8043608528542683</c:v>
                </c:pt>
                <c:pt idx="86">
                  <c:v>1.6609390261475272</c:v>
                </c:pt>
                <c:pt idx="87">
                  <c:v>1.6012643294245945</c:v>
                </c:pt>
                <c:pt idx="88">
                  <c:v>1.6381691293428384</c:v>
                </c:pt>
                <c:pt idx="89">
                  <c:v>1.5522969964951236</c:v>
                </c:pt>
                <c:pt idx="90">
                  <c:v>1.4889069036789353</c:v>
                </c:pt>
                <c:pt idx="91">
                  <c:v>1.5677319885974967</c:v>
                </c:pt>
                <c:pt idx="92">
                  <c:v>1.5612836991675858</c:v>
                </c:pt>
                <c:pt idx="93">
                  <c:v>1.5391370314564354</c:v>
                </c:pt>
                <c:pt idx="94">
                  <c:v>1.5387985552976982</c:v>
                </c:pt>
                <c:pt idx="95">
                  <c:v>1.6164498260554296</c:v>
                </c:pt>
                <c:pt idx="96">
                  <c:v>1.7872789467053825</c:v>
                </c:pt>
                <c:pt idx="97">
                  <c:v>1.8155021581985926</c:v>
                </c:pt>
                <c:pt idx="98">
                  <c:v>1.7843329475745193</c:v>
                </c:pt>
                <c:pt idx="99">
                  <c:v>1.8469340479689107</c:v>
                </c:pt>
                <c:pt idx="100">
                  <c:v>1.8042676029692206</c:v>
                </c:pt>
                <c:pt idx="101">
                  <c:v>1.8951913957632032</c:v>
                </c:pt>
                <c:pt idx="102">
                  <c:v>1.9637894634978539</c:v>
                </c:pt>
                <c:pt idx="103">
                  <c:v>2.0037218564462949</c:v>
                </c:pt>
                <c:pt idx="104">
                  <c:v>2.0725323605153565</c:v>
                </c:pt>
                <c:pt idx="105">
                  <c:v>2.2594537619414079</c:v>
                </c:pt>
                <c:pt idx="106">
                  <c:v>2.2343323205294729</c:v>
                </c:pt>
                <c:pt idx="107">
                  <c:v>2.5337679494966805</c:v>
                </c:pt>
                <c:pt idx="108">
                  <c:v>2.4935963162410446</c:v>
                </c:pt>
                <c:pt idx="109">
                  <c:v>2.6257838701907481</c:v>
                </c:pt>
                <c:pt idx="110">
                  <c:v>2.6542523368957998</c:v>
                </c:pt>
                <c:pt idx="111">
                  <c:v>2.6831159320926101</c:v>
                </c:pt>
                <c:pt idx="112">
                  <c:v>2.5994381309693946</c:v>
                </c:pt>
                <c:pt idx="113">
                  <c:v>2.597834794950741</c:v>
                </c:pt>
                <c:pt idx="114">
                  <c:v>2.6108180921063813</c:v>
                </c:pt>
                <c:pt idx="115">
                  <c:v>2.7219926255354685</c:v>
                </c:pt>
                <c:pt idx="116">
                  <c:v>2.6799568931974047</c:v>
                </c:pt>
                <c:pt idx="117">
                  <c:v>2.6673611146141774</c:v>
                </c:pt>
                <c:pt idx="118">
                  <c:v>2.533428967779185</c:v>
                </c:pt>
                <c:pt idx="119">
                  <c:v>2.4893891929791199</c:v>
                </c:pt>
                <c:pt idx="120">
                  <c:v>2.3927222313652221</c:v>
                </c:pt>
                <c:pt idx="121">
                  <c:v>2.4193154200593479</c:v>
                </c:pt>
                <c:pt idx="122">
                  <c:v>2.575020302721164</c:v>
                </c:pt>
                <c:pt idx="123">
                  <c:v>2.5940050098352607</c:v>
                </c:pt>
                <c:pt idx="124">
                  <c:v>2.6102027124312479</c:v>
                </c:pt>
                <c:pt idx="125">
                  <c:v>2.6461068225038784</c:v>
                </c:pt>
                <c:pt idx="126">
                  <c:v>2.7635982528140426</c:v>
                </c:pt>
                <c:pt idx="127">
                  <c:v>2.7681157001127206</c:v>
                </c:pt>
                <c:pt idx="128">
                  <c:v>2.832855978810533</c:v>
                </c:pt>
                <c:pt idx="129">
                  <c:v>2.7562651186990967</c:v>
                </c:pt>
                <c:pt idx="130">
                  <c:v>2.6683704271078112</c:v>
                </c:pt>
                <c:pt idx="131">
                  <c:v>2.5262090328028242</c:v>
                </c:pt>
                <c:pt idx="132">
                  <c:v>2.5170236274641673</c:v>
                </c:pt>
                <c:pt idx="133">
                  <c:v>2.4815078938616355</c:v>
                </c:pt>
                <c:pt idx="134">
                  <c:v>2.8262226972279421</c:v>
                </c:pt>
                <c:pt idx="135">
                  <c:v>2.8495730504641963</c:v>
                </c:pt>
                <c:pt idx="136">
                  <c:v>2.8211175516664349</c:v>
                </c:pt>
                <c:pt idx="137">
                  <c:v>2.7634853076070538</c:v>
                </c:pt>
                <c:pt idx="138">
                  <c:v>2.7983920181056541</c:v>
                </c:pt>
                <c:pt idx="139">
                  <c:v>2.8399496986068913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A3-433D-A9F8-C8EF47EC529E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8.7090470666445596E-2</c:v>
                </c:pt>
                <c:pt idx="2">
                  <c:v>0.16157613202872409</c:v>
                </c:pt>
                <c:pt idx="3">
                  <c:v>0.10851893499531762</c:v>
                </c:pt>
                <c:pt idx="4">
                  <c:v>0.26345621669022179</c:v>
                </c:pt>
                <c:pt idx="5">
                  <c:v>0.34603750561421232</c:v>
                </c:pt>
                <c:pt idx="6">
                  <c:v>0.42781422645937617</c:v>
                </c:pt>
                <c:pt idx="7">
                  <c:v>0.48017070746781987</c:v>
                </c:pt>
                <c:pt idx="8">
                  <c:v>0.51000961897131425</c:v>
                </c:pt>
                <c:pt idx="9">
                  <c:v>0.52578476802674279</c:v>
                </c:pt>
                <c:pt idx="10">
                  <c:v>0.36692520487422997</c:v>
                </c:pt>
                <c:pt idx="11">
                  <c:v>0.47580868782517638</c:v>
                </c:pt>
                <c:pt idx="12">
                  <c:v>0.44643673976303666</c:v>
                </c:pt>
                <c:pt idx="13">
                  <c:v>0.52608630187615979</c:v>
                </c:pt>
                <c:pt idx="14">
                  <c:v>0.57410663242919013</c:v>
                </c:pt>
                <c:pt idx="15">
                  <c:v>0.51181272986638382</c:v>
                </c:pt>
                <c:pt idx="16">
                  <c:v>0.70804219240755306</c:v>
                </c:pt>
                <c:pt idx="17">
                  <c:v>0.67981813044077055</c:v>
                </c:pt>
                <c:pt idx="18">
                  <c:v>0.6251970287501184</c:v>
                </c:pt>
                <c:pt idx="19">
                  <c:v>0.54990114652149158</c:v>
                </c:pt>
                <c:pt idx="20">
                  <c:v>0.48715710380032762</c:v>
                </c:pt>
                <c:pt idx="21">
                  <c:v>0.5889973735579167</c:v>
                </c:pt>
                <c:pt idx="22">
                  <c:v>0.56212547032619142</c:v>
                </c:pt>
                <c:pt idx="23">
                  <c:v>0.61061399914084957</c:v>
                </c:pt>
                <c:pt idx="24">
                  <c:v>0.73976552028221554</c:v>
                </c:pt>
                <c:pt idx="25">
                  <c:v>0.70665968305659166</c:v>
                </c:pt>
                <c:pt idx="26">
                  <c:v>0.73174630519940265</c:v>
                </c:pt>
                <c:pt idx="27">
                  <c:v>0.7632486912355414</c:v>
                </c:pt>
                <c:pt idx="28">
                  <c:v>0.65154089359096923</c:v>
                </c:pt>
                <c:pt idx="29">
                  <c:v>0.73792809072153465</c:v>
                </c:pt>
                <c:pt idx="30">
                  <c:v>0.73527103426454488</c:v>
                </c:pt>
                <c:pt idx="31">
                  <c:v>0.74767166311830291</c:v>
                </c:pt>
                <c:pt idx="32">
                  <c:v>0.80160446669029961</c:v>
                </c:pt>
                <c:pt idx="33">
                  <c:v>0.77111605774956959</c:v>
                </c:pt>
                <c:pt idx="34">
                  <c:v>0.83553745858194173</c:v>
                </c:pt>
                <c:pt idx="35">
                  <c:v>0.86924528370495102</c:v>
                </c:pt>
                <c:pt idx="36">
                  <c:v>0.8978365101872211</c:v>
                </c:pt>
                <c:pt idx="37">
                  <c:v>1.0352394240947038</c:v>
                </c:pt>
                <c:pt idx="38">
                  <c:v>1.0566018322339568</c:v>
                </c:pt>
                <c:pt idx="39">
                  <c:v>0.99364635623101438</c:v>
                </c:pt>
                <c:pt idx="40">
                  <c:v>0.94825076136312048</c:v>
                </c:pt>
                <c:pt idx="41">
                  <c:v>0.97020380839057285</c:v>
                </c:pt>
                <c:pt idx="42">
                  <c:v>0.90448371654219517</c:v>
                </c:pt>
                <c:pt idx="43">
                  <c:v>1.1258045535862857</c:v>
                </c:pt>
                <c:pt idx="44">
                  <c:v>1.2645052026088841</c:v>
                </c:pt>
                <c:pt idx="45">
                  <c:v>1.2890983726633565</c:v>
                </c:pt>
                <c:pt idx="46">
                  <c:v>1.3839327422774135</c:v>
                </c:pt>
                <c:pt idx="47">
                  <c:v>1.2703371453654655</c:v>
                </c:pt>
                <c:pt idx="48">
                  <c:v>1.25916900050696</c:v>
                </c:pt>
                <c:pt idx="49">
                  <c:v>1.2003237313443158</c:v>
                </c:pt>
                <c:pt idx="50">
                  <c:v>1.2124207171524577</c:v>
                </c:pt>
                <c:pt idx="51">
                  <c:v>1.3453993739121657</c:v>
                </c:pt>
                <c:pt idx="52">
                  <c:v>1.4107917044484655</c:v>
                </c:pt>
                <c:pt idx="53">
                  <c:v>1.4078010425407992</c:v>
                </c:pt>
                <c:pt idx="54">
                  <c:v>1.3605394329222795</c:v>
                </c:pt>
                <c:pt idx="55">
                  <c:v>1.3014915761914561</c:v>
                </c:pt>
                <c:pt idx="56">
                  <c:v>1.280136630720569</c:v>
                </c:pt>
                <c:pt idx="57">
                  <c:v>1.4016093828280392</c:v>
                </c:pt>
                <c:pt idx="58">
                  <c:v>1.441957817357725</c:v>
                </c:pt>
                <c:pt idx="59">
                  <c:v>1.4931228012889504</c:v>
                </c:pt>
                <c:pt idx="60">
                  <c:v>1.4625835351332868</c:v>
                </c:pt>
                <c:pt idx="61">
                  <c:v>1.4516850169398459</c:v>
                </c:pt>
                <c:pt idx="62">
                  <c:v>1.4072234227559512</c:v>
                </c:pt>
                <c:pt idx="63">
                  <c:v>1.4854215408488578</c:v>
                </c:pt>
                <c:pt idx="64">
                  <c:v>1.4552208216634137</c:v>
                </c:pt>
                <c:pt idx="65">
                  <c:v>1.4110854265328197</c:v>
                </c:pt>
                <c:pt idx="66">
                  <c:v>1.4276114601185441</c:v>
                </c:pt>
                <c:pt idx="67">
                  <c:v>1.365533169938411</c:v>
                </c:pt>
                <c:pt idx="68">
                  <c:v>1.3562598165202173</c:v>
                </c:pt>
                <c:pt idx="69">
                  <c:v>1.3061002222131792</c:v>
                </c:pt>
                <c:pt idx="70">
                  <c:v>1.2636149824954128</c:v>
                </c:pt>
                <c:pt idx="71">
                  <c:v>1.2897411532747767</c:v>
                </c:pt>
                <c:pt idx="72">
                  <c:v>1.0769105120990714</c:v>
                </c:pt>
                <c:pt idx="73">
                  <c:v>1.085009755703541</c:v>
                </c:pt>
                <c:pt idx="74">
                  <c:v>1.1497871423457728</c:v>
                </c:pt>
                <c:pt idx="75">
                  <c:v>1.2297217142490149</c:v>
                </c:pt>
                <c:pt idx="76">
                  <c:v>1.4011750377595855</c:v>
                </c:pt>
                <c:pt idx="77">
                  <c:v>1.3058195283415341</c:v>
                </c:pt>
                <c:pt idx="78">
                  <c:v>1.3748624162618273</c:v>
                </c:pt>
                <c:pt idx="79">
                  <c:v>1.4813167580660538</c:v>
                </c:pt>
                <c:pt idx="80">
                  <c:v>1.5510799992974678</c:v>
                </c:pt>
                <c:pt idx="81">
                  <c:v>1.6340203354942193</c:v>
                </c:pt>
                <c:pt idx="82">
                  <c:v>1.7499971547671642</c:v>
                </c:pt>
                <c:pt idx="83">
                  <c:v>1.7980516593128735</c:v>
                </c:pt>
                <c:pt idx="84">
                  <c:v>1.8776010113215003</c:v>
                </c:pt>
                <c:pt idx="85">
                  <c:v>1.8208578312003671</c:v>
                </c:pt>
                <c:pt idx="86">
                  <c:v>1.6793879286490159</c:v>
                </c:pt>
                <c:pt idx="87">
                  <c:v>1.6174040958954259</c:v>
                </c:pt>
                <c:pt idx="88">
                  <c:v>1.6489072401331335</c:v>
                </c:pt>
                <c:pt idx="89">
                  <c:v>1.5875273651958082</c:v>
                </c:pt>
                <c:pt idx="90">
                  <c:v>1.4986977873586462</c:v>
                </c:pt>
                <c:pt idx="91">
                  <c:v>1.5791039303340539</c:v>
                </c:pt>
                <c:pt idx="92">
                  <c:v>1.5034439617098487</c:v>
                </c:pt>
                <c:pt idx="93">
                  <c:v>1.47183641516205</c:v>
                </c:pt>
                <c:pt idx="94">
                  <c:v>1.4604131661023485</c:v>
                </c:pt>
                <c:pt idx="95">
                  <c:v>1.5547335737533867</c:v>
                </c:pt>
                <c:pt idx="96">
                  <c:v>1.7276297949694217</c:v>
                </c:pt>
                <c:pt idx="97">
                  <c:v>1.7531100019175083</c:v>
                </c:pt>
                <c:pt idx="98">
                  <c:v>1.6973094808714928</c:v>
                </c:pt>
                <c:pt idx="99">
                  <c:v>1.7553932090022406</c:v>
                </c:pt>
                <c:pt idx="100">
                  <c:v>1.7057555695974107</c:v>
                </c:pt>
                <c:pt idx="101">
                  <c:v>1.8244669474110435</c:v>
                </c:pt>
                <c:pt idx="102">
                  <c:v>1.9203554959519005</c:v>
                </c:pt>
                <c:pt idx="103">
                  <c:v>1.9777159405075078</c:v>
                </c:pt>
                <c:pt idx="104">
                  <c:v>2.054127061474265</c:v>
                </c:pt>
                <c:pt idx="105">
                  <c:v>2.2637886187568514</c:v>
                </c:pt>
                <c:pt idx="106">
                  <c:v>2.2375748735199301</c:v>
                </c:pt>
                <c:pt idx="107">
                  <c:v>2.5595046236864438</c:v>
                </c:pt>
                <c:pt idx="108">
                  <c:v>2.5150552307441143</c:v>
                </c:pt>
                <c:pt idx="109">
                  <c:v>2.6677615553459462</c:v>
                </c:pt>
                <c:pt idx="110">
                  <c:v>2.7079081626597308</c:v>
                </c:pt>
                <c:pt idx="111">
                  <c:v>2.746208626096017</c:v>
                </c:pt>
                <c:pt idx="112">
                  <c:v>2.6629480321969599</c:v>
                </c:pt>
                <c:pt idx="113">
                  <c:v>2.6542711189599868</c:v>
                </c:pt>
                <c:pt idx="114">
                  <c:v>2.617511371841005</c:v>
                </c:pt>
                <c:pt idx="115">
                  <c:v>2.7205118575533391</c:v>
                </c:pt>
                <c:pt idx="116">
                  <c:v>2.6651354170858204</c:v>
                </c:pt>
                <c:pt idx="117">
                  <c:v>2.6830583059871271</c:v>
                </c:pt>
                <c:pt idx="118">
                  <c:v>2.5468162157371221</c:v>
                </c:pt>
                <c:pt idx="119">
                  <c:v>2.5066740505448686</c:v>
                </c:pt>
                <c:pt idx="120">
                  <c:v>2.3902274819972247</c:v>
                </c:pt>
                <c:pt idx="121">
                  <c:v>2.4066333881326232</c:v>
                </c:pt>
                <c:pt idx="122">
                  <c:v>2.5845467264583233</c:v>
                </c:pt>
                <c:pt idx="123">
                  <c:v>2.6037200667255336</c:v>
                </c:pt>
                <c:pt idx="124">
                  <c:v>2.6322649358029171</c:v>
                </c:pt>
                <c:pt idx="125">
                  <c:v>2.659654846206438</c:v>
                </c:pt>
                <c:pt idx="126">
                  <c:v>2.7741251485274967</c:v>
                </c:pt>
                <c:pt idx="127">
                  <c:v>2.787236817341213</c:v>
                </c:pt>
                <c:pt idx="128">
                  <c:v>2.87147133982084</c:v>
                </c:pt>
                <c:pt idx="129">
                  <c:v>2.7981523126766028</c:v>
                </c:pt>
                <c:pt idx="130">
                  <c:v>2.7024512266291865</c:v>
                </c:pt>
                <c:pt idx="131">
                  <c:v>2.5550296587195143</c:v>
                </c:pt>
                <c:pt idx="132">
                  <c:v>2.5572782151639681</c:v>
                </c:pt>
                <c:pt idx="133">
                  <c:v>2.5283683287045116</c:v>
                </c:pt>
                <c:pt idx="134">
                  <c:v>2.9241552870769962</c:v>
                </c:pt>
                <c:pt idx="135">
                  <c:v>2.9446892490134005</c:v>
                </c:pt>
                <c:pt idx="136">
                  <c:v>2.9188775189076028</c:v>
                </c:pt>
                <c:pt idx="137">
                  <c:v>2.8634485529700306</c:v>
                </c:pt>
                <c:pt idx="138">
                  <c:v>2.8997220830571799</c:v>
                </c:pt>
                <c:pt idx="139">
                  <c:v>2.9200798931100778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A3-433D-A9F8-C8EF47EC529E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7.2845874730196714E-2</c:v>
                </c:pt>
                <c:pt idx="2">
                  <c:v>0.14954850115388491</c:v>
                </c:pt>
                <c:pt idx="3">
                  <c:v>9.3057474322420591E-2</c:v>
                </c:pt>
                <c:pt idx="4">
                  <c:v>0.26185431964045436</c:v>
                </c:pt>
                <c:pt idx="5">
                  <c:v>0.30180761486497198</c:v>
                </c:pt>
                <c:pt idx="6">
                  <c:v>0.38311124069795666</c:v>
                </c:pt>
                <c:pt idx="7">
                  <c:v>0.42699241904292462</c:v>
                </c:pt>
                <c:pt idx="8">
                  <c:v>0.4436170267706383</c:v>
                </c:pt>
                <c:pt idx="9">
                  <c:v>0.43597862592769743</c:v>
                </c:pt>
                <c:pt idx="10">
                  <c:v>0.25542222451505159</c:v>
                </c:pt>
                <c:pt idx="11">
                  <c:v>0.3724851211520574</c:v>
                </c:pt>
                <c:pt idx="12">
                  <c:v>0.34841782683312456</c:v>
                </c:pt>
                <c:pt idx="13">
                  <c:v>0.43561437587396173</c:v>
                </c:pt>
                <c:pt idx="14">
                  <c:v>0.4858334527672124</c:v>
                </c:pt>
                <c:pt idx="15">
                  <c:v>0.41736167652870343</c:v>
                </c:pt>
                <c:pt idx="16">
                  <c:v>0.66332727507492861</c:v>
                </c:pt>
                <c:pt idx="17">
                  <c:v>0.63109465152660471</c:v>
                </c:pt>
                <c:pt idx="18">
                  <c:v>0.58621609234884298</c:v>
                </c:pt>
                <c:pt idx="19">
                  <c:v>0.51475680451631634</c:v>
                </c:pt>
                <c:pt idx="20">
                  <c:v>0.4381751078396291</c:v>
                </c:pt>
                <c:pt idx="21">
                  <c:v>0.572266412422482</c:v>
                </c:pt>
                <c:pt idx="22">
                  <c:v>0.53899354863894677</c:v>
                </c:pt>
                <c:pt idx="23">
                  <c:v>0.59581793067357347</c:v>
                </c:pt>
                <c:pt idx="24">
                  <c:v>0.75550087456481285</c:v>
                </c:pt>
                <c:pt idx="25">
                  <c:v>0.73478509570931938</c:v>
                </c:pt>
                <c:pt idx="26">
                  <c:v>0.75258918184363721</c:v>
                </c:pt>
                <c:pt idx="27">
                  <c:v>0.79271717224497107</c:v>
                </c:pt>
                <c:pt idx="28">
                  <c:v>0.66861623609161225</c:v>
                </c:pt>
                <c:pt idx="29">
                  <c:v>0.7322617636321056</c:v>
                </c:pt>
                <c:pt idx="30">
                  <c:v>0.7309967403845341</c:v>
                </c:pt>
                <c:pt idx="31">
                  <c:v>0.73305708264941205</c:v>
                </c:pt>
                <c:pt idx="32">
                  <c:v>0.77030081244368032</c:v>
                </c:pt>
                <c:pt idx="33">
                  <c:v>0.72805078545744895</c:v>
                </c:pt>
                <c:pt idx="34">
                  <c:v>0.75986327145726884</c:v>
                </c:pt>
                <c:pt idx="35">
                  <c:v>0.79170474215875697</c:v>
                </c:pt>
                <c:pt idx="36">
                  <c:v>0.83623238609376649</c:v>
                </c:pt>
                <c:pt idx="37">
                  <c:v>0.95126409362534592</c:v>
                </c:pt>
                <c:pt idx="38">
                  <c:v>0.97003041348196328</c:v>
                </c:pt>
                <c:pt idx="39">
                  <c:v>0.88482764285994242</c:v>
                </c:pt>
                <c:pt idx="40">
                  <c:v>0.8489872548714591</c:v>
                </c:pt>
                <c:pt idx="41">
                  <c:v>0.87358738136341008</c:v>
                </c:pt>
                <c:pt idx="42">
                  <c:v>0.78748770830712012</c:v>
                </c:pt>
                <c:pt idx="43">
                  <c:v>1.0549894401205218</c:v>
                </c:pt>
                <c:pt idx="44">
                  <c:v>1.1927626460063623</c:v>
                </c:pt>
                <c:pt idx="45">
                  <c:v>1.2164632037034095</c:v>
                </c:pt>
                <c:pt idx="46">
                  <c:v>1.3304634630083541</c:v>
                </c:pt>
                <c:pt idx="47">
                  <c:v>1.2344523801998113</c:v>
                </c:pt>
                <c:pt idx="48">
                  <c:v>1.2236860402770324</c:v>
                </c:pt>
                <c:pt idx="49">
                  <c:v>1.152784767638962</c:v>
                </c:pt>
                <c:pt idx="50">
                  <c:v>1.1624811708276706</c:v>
                </c:pt>
                <c:pt idx="51">
                  <c:v>1.304798546166845</c:v>
                </c:pt>
                <c:pt idx="52">
                  <c:v>1.3867164638268425</c:v>
                </c:pt>
                <c:pt idx="53">
                  <c:v>1.3640511320946349</c:v>
                </c:pt>
                <c:pt idx="54">
                  <c:v>1.3274527395105591</c:v>
                </c:pt>
                <c:pt idx="55">
                  <c:v>1.3040948296312023</c:v>
                </c:pt>
                <c:pt idx="56">
                  <c:v>1.3149714346053918</c:v>
                </c:pt>
                <c:pt idx="57">
                  <c:v>1.4390981494073412</c:v>
                </c:pt>
                <c:pt idx="58">
                  <c:v>1.4635463583190325</c:v>
                </c:pt>
                <c:pt idx="59">
                  <c:v>1.5411321441613375</c:v>
                </c:pt>
                <c:pt idx="60">
                  <c:v>1.4854978260037324</c:v>
                </c:pt>
                <c:pt idx="61">
                  <c:v>1.4910804990022923</c:v>
                </c:pt>
                <c:pt idx="62">
                  <c:v>1.467394725598705</c:v>
                </c:pt>
                <c:pt idx="63">
                  <c:v>1.5262059817559774</c:v>
                </c:pt>
                <c:pt idx="64">
                  <c:v>1.4944680964626511</c:v>
                </c:pt>
                <c:pt idx="65">
                  <c:v>1.4427810352870065</c:v>
                </c:pt>
                <c:pt idx="66">
                  <c:v>1.4822945611483347</c:v>
                </c:pt>
                <c:pt idx="67">
                  <c:v>1.3912444374175295</c:v>
                </c:pt>
                <c:pt idx="68">
                  <c:v>1.380615936439803</c:v>
                </c:pt>
                <c:pt idx="69">
                  <c:v>1.3534799548760719</c:v>
                </c:pt>
                <c:pt idx="70">
                  <c:v>1.2815890134113885</c:v>
                </c:pt>
                <c:pt idx="71">
                  <c:v>1.3053659335385819</c:v>
                </c:pt>
                <c:pt idx="72">
                  <c:v>1.0711152730270659</c:v>
                </c:pt>
                <c:pt idx="73">
                  <c:v>1.0735457444904946</c:v>
                </c:pt>
                <c:pt idx="74">
                  <c:v>1.1592739309902995</c:v>
                </c:pt>
                <c:pt idx="75">
                  <c:v>1.246877104146247</c:v>
                </c:pt>
                <c:pt idx="76">
                  <c:v>1.3761301487011126</c:v>
                </c:pt>
                <c:pt idx="77">
                  <c:v>1.2753749334742941</c:v>
                </c:pt>
                <c:pt idx="78">
                  <c:v>1.3397815076048865</c:v>
                </c:pt>
                <c:pt idx="79">
                  <c:v>1.4574353324437124</c:v>
                </c:pt>
                <c:pt idx="80">
                  <c:v>1.5463188468109248</c:v>
                </c:pt>
                <c:pt idx="81">
                  <c:v>1.621711530895257</c:v>
                </c:pt>
                <c:pt idx="82">
                  <c:v>1.7449818134727404</c:v>
                </c:pt>
                <c:pt idx="83">
                  <c:v>1.8278541932724093</c:v>
                </c:pt>
                <c:pt idx="84">
                  <c:v>1.8997209731393614</c:v>
                </c:pt>
                <c:pt idx="85">
                  <c:v>1.8180958742661015</c:v>
                </c:pt>
                <c:pt idx="86">
                  <c:v>1.6750524042274872</c:v>
                </c:pt>
                <c:pt idx="87">
                  <c:v>1.5580317277754521</c:v>
                </c:pt>
                <c:pt idx="88">
                  <c:v>1.5446076094498868</c:v>
                </c:pt>
                <c:pt idx="89">
                  <c:v>1.4730058755802617</c:v>
                </c:pt>
                <c:pt idx="90">
                  <c:v>1.3406738133926437</c:v>
                </c:pt>
                <c:pt idx="91">
                  <c:v>1.4401266743485273</c:v>
                </c:pt>
                <c:pt idx="92">
                  <c:v>1.3739737231110312</c:v>
                </c:pt>
                <c:pt idx="93">
                  <c:v>1.3360003551695523</c:v>
                </c:pt>
                <c:pt idx="94">
                  <c:v>1.3451117764186249</c:v>
                </c:pt>
                <c:pt idx="95">
                  <c:v>1.4513513006028165</c:v>
                </c:pt>
                <c:pt idx="96">
                  <c:v>1.5936898739298899</c:v>
                </c:pt>
                <c:pt idx="97">
                  <c:v>1.6111874457866877</c:v>
                </c:pt>
                <c:pt idx="98">
                  <c:v>1.5416252062793032</c:v>
                </c:pt>
                <c:pt idx="99">
                  <c:v>1.590690211958262</c:v>
                </c:pt>
                <c:pt idx="100">
                  <c:v>1.5326795287188277</c:v>
                </c:pt>
                <c:pt idx="101">
                  <c:v>1.69891830852911</c:v>
                </c:pt>
                <c:pt idx="102">
                  <c:v>1.7833919862258418</c:v>
                </c:pt>
                <c:pt idx="103">
                  <c:v>1.841924669007462</c:v>
                </c:pt>
                <c:pt idx="104">
                  <c:v>1.9100672612223961</c:v>
                </c:pt>
                <c:pt idx="105">
                  <c:v>1.8615327943112037</c:v>
                </c:pt>
                <c:pt idx="106">
                  <c:v>1.8364811419841351</c:v>
                </c:pt>
                <c:pt idx="107">
                  <c:v>2.1846006704111387</c:v>
                </c:pt>
                <c:pt idx="108">
                  <c:v>2.1336727928019208</c:v>
                </c:pt>
                <c:pt idx="109">
                  <c:v>2.3106819654241715</c:v>
                </c:pt>
                <c:pt idx="110">
                  <c:v>2.3425936933558034</c:v>
                </c:pt>
                <c:pt idx="111">
                  <c:v>2.3829798111771989</c:v>
                </c:pt>
                <c:pt idx="112">
                  <c:v>2.2872030258622522</c:v>
                </c:pt>
                <c:pt idx="113">
                  <c:v>2.2722122578983099</c:v>
                </c:pt>
                <c:pt idx="114">
                  <c:v>2.2287696608756034</c:v>
                </c:pt>
                <c:pt idx="115">
                  <c:v>2.3695625048174538</c:v>
                </c:pt>
                <c:pt idx="116">
                  <c:v>2.2943978147297917</c:v>
                </c:pt>
                <c:pt idx="117">
                  <c:v>2.3261179390661035</c:v>
                </c:pt>
                <c:pt idx="118">
                  <c:v>2.1814857468045861</c:v>
                </c:pt>
                <c:pt idx="119">
                  <c:v>2.1137920495806899</c:v>
                </c:pt>
                <c:pt idx="120">
                  <c:v>1.9639445732732534</c:v>
                </c:pt>
                <c:pt idx="121">
                  <c:v>1.9695459979870409</c:v>
                </c:pt>
                <c:pt idx="122">
                  <c:v>2.165189964188774</c:v>
                </c:pt>
                <c:pt idx="123">
                  <c:v>2.1942028075873776</c:v>
                </c:pt>
                <c:pt idx="124">
                  <c:v>2.2334746723300229</c:v>
                </c:pt>
                <c:pt idx="125">
                  <c:v>2.2546465487551326</c:v>
                </c:pt>
                <c:pt idx="126">
                  <c:v>2.3955768244451061</c:v>
                </c:pt>
                <c:pt idx="127">
                  <c:v>2.398760269856048</c:v>
                </c:pt>
                <c:pt idx="128">
                  <c:v>2.5039116798143985</c:v>
                </c:pt>
                <c:pt idx="129">
                  <c:v>2.4273816788114742</c:v>
                </c:pt>
                <c:pt idx="130">
                  <c:v>2.3067100023814722</c:v>
                </c:pt>
                <c:pt idx="131">
                  <c:v>2.1423801354904648</c:v>
                </c:pt>
                <c:pt idx="132">
                  <c:v>2.1687942774282325</c:v>
                </c:pt>
                <c:pt idx="133">
                  <c:v>2.1543192610520006</c:v>
                </c:pt>
                <c:pt idx="134">
                  <c:v>2.5964859741608035</c:v>
                </c:pt>
                <c:pt idx="135">
                  <c:v>2.6122370573804239</c:v>
                </c:pt>
                <c:pt idx="136">
                  <c:v>2.5894077890122005</c:v>
                </c:pt>
                <c:pt idx="137">
                  <c:v>2.5446194051546471</c:v>
                </c:pt>
                <c:pt idx="138">
                  <c:v>2.5889443998876041</c:v>
                </c:pt>
                <c:pt idx="139">
                  <c:v>2.6082840468178956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A3-433D-A9F8-C8EF47EC529E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0.14663916641642327</c:v>
                </c:pt>
                <c:pt idx="2">
                  <c:v>0.24682415330027269</c:v>
                </c:pt>
                <c:pt idx="3">
                  <c:v>0.21715819608572934</c:v>
                </c:pt>
                <c:pt idx="4">
                  <c:v>0.40926238497436773</c:v>
                </c:pt>
                <c:pt idx="5">
                  <c:v>0.47131506902391085</c:v>
                </c:pt>
                <c:pt idx="6">
                  <c:v>0.52357868414414599</c:v>
                </c:pt>
                <c:pt idx="7">
                  <c:v>0.5623077010821067</c:v>
                </c:pt>
                <c:pt idx="8">
                  <c:v>0.60788458675613466</c:v>
                </c:pt>
                <c:pt idx="9">
                  <c:v>0.5999303479698086</c:v>
                </c:pt>
                <c:pt idx="10">
                  <c:v>0.41267879814107999</c:v>
                </c:pt>
                <c:pt idx="11">
                  <c:v>0.5340877563792461</c:v>
                </c:pt>
                <c:pt idx="12">
                  <c:v>0.53357516722591503</c:v>
                </c:pt>
                <c:pt idx="13">
                  <c:v>0.64057993441307681</c:v>
                </c:pt>
                <c:pt idx="14">
                  <c:v>0.6966462095417395</c:v>
                </c:pt>
                <c:pt idx="15">
                  <c:v>0.62010872928861194</c:v>
                </c:pt>
                <c:pt idx="16">
                  <c:v>0.90125194751353699</c:v>
                </c:pt>
                <c:pt idx="17">
                  <c:v>0.86719027667777859</c:v>
                </c:pt>
                <c:pt idx="18">
                  <c:v>0.73071359171305728</c:v>
                </c:pt>
                <c:pt idx="19">
                  <c:v>0.66253166371027516</c:v>
                </c:pt>
                <c:pt idx="20">
                  <c:v>0.57350139837574055</c:v>
                </c:pt>
                <c:pt idx="21">
                  <c:v>0.70033167934900786</c:v>
                </c:pt>
                <c:pt idx="22">
                  <c:v>0.65906795301183652</c:v>
                </c:pt>
                <c:pt idx="23">
                  <c:v>0.72617337981921914</c:v>
                </c:pt>
                <c:pt idx="24">
                  <c:v>0.86893024795756091</c:v>
                </c:pt>
                <c:pt idx="25">
                  <c:v>0.87428382737818122</c:v>
                </c:pt>
                <c:pt idx="26">
                  <c:v>0.8922280618034153</c:v>
                </c:pt>
                <c:pt idx="27">
                  <c:v>0.94156925638695976</c:v>
                </c:pt>
                <c:pt idx="28">
                  <c:v>0.79768565878130238</c:v>
                </c:pt>
                <c:pt idx="29">
                  <c:v>0.87538422045241338</c:v>
                </c:pt>
                <c:pt idx="30">
                  <c:v>0.86746409566456306</c:v>
                </c:pt>
                <c:pt idx="31">
                  <c:v>0.87508486709858335</c:v>
                </c:pt>
                <c:pt idx="32">
                  <c:v>0.92063123691397075</c:v>
                </c:pt>
                <c:pt idx="33">
                  <c:v>0.87795807411805504</c:v>
                </c:pt>
                <c:pt idx="34">
                  <c:v>0.87577059314938099</c:v>
                </c:pt>
                <c:pt idx="35">
                  <c:v>0.9020164117163405</c:v>
                </c:pt>
                <c:pt idx="36">
                  <c:v>0.93438104959337731</c:v>
                </c:pt>
                <c:pt idx="37">
                  <c:v>1.061669545894586</c:v>
                </c:pt>
                <c:pt idx="38">
                  <c:v>1.0940275298686402</c:v>
                </c:pt>
                <c:pt idx="39">
                  <c:v>1.0071344085357599</c:v>
                </c:pt>
                <c:pt idx="40">
                  <c:v>0.96430422750323108</c:v>
                </c:pt>
                <c:pt idx="41">
                  <c:v>0.99181417395446891</c:v>
                </c:pt>
                <c:pt idx="42">
                  <c:v>0.95683331745241751</c:v>
                </c:pt>
                <c:pt idx="43">
                  <c:v>1.2543869133665817</c:v>
                </c:pt>
                <c:pt idx="44">
                  <c:v>1.392640649439558</c:v>
                </c:pt>
                <c:pt idx="45">
                  <c:v>1.406955955626032</c:v>
                </c:pt>
                <c:pt idx="46">
                  <c:v>1.5229543036788069</c:v>
                </c:pt>
                <c:pt idx="47">
                  <c:v>1.3844704436120172</c:v>
                </c:pt>
                <c:pt idx="48">
                  <c:v>1.453455946960641</c:v>
                </c:pt>
                <c:pt idx="49">
                  <c:v>1.3621120514235727</c:v>
                </c:pt>
                <c:pt idx="50">
                  <c:v>1.3442510230061986</c:v>
                </c:pt>
                <c:pt idx="51">
                  <c:v>1.494535009953176</c:v>
                </c:pt>
                <c:pt idx="52">
                  <c:v>1.5768238352507107</c:v>
                </c:pt>
                <c:pt idx="53">
                  <c:v>1.5673700167528062</c:v>
                </c:pt>
                <c:pt idx="54">
                  <c:v>1.5225921378538021</c:v>
                </c:pt>
                <c:pt idx="55">
                  <c:v>1.4787109808048757</c:v>
                </c:pt>
                <c:pt idx="56">
                  <c:v>1.4784172681954293</c:v>
                </c:pt>
                <c:pt idx="57">
                  <c:v>1.6028040250648632</c:v>
                </c:pt>
                <c:pt idx="58">
                  <c:v>1.6410438501646396</c:v>
                </c:pt>
                <c:pt idx="59">
                  <c:v>1.6816756491611</c:v>
                </c:pt>
                <c:pt idx="60">
                  <c:v>1.6346011177833468</c:v>
                </c:pt>
                <c:pt idx="61">
                  <c:v>1.6325016554263974</c:v>
                </c:pt>
                <c:pt idx="62">
                  <c:v>1.585436922341791</c:v>
                </c:pt>
                <c:pt idx="63">
                  <c:v>1.6489200797669368</c:v>
                </c:pt>
                <c:pt idx="64">
                  <c:v>1.6394302430625904</c:v>
                </c:pt>
                <c:pt idx="65">
                  <c:v>1.5809912220213811</c:v>
                </c:pt>
                <c:pt idx="66">
                  <c:v>1.5972206054335512</c:v>
                </c:pt>
                <c:pt idx="67">
                  <c:v>1.5068809848642226</c:v>
                </c:pt>
                <c:pt idx="68">
                  <c:v>1.4862995851212981</c:v>
                </c:pt>
                <c:pt idx="69">
                  <c:v>1.4568354159871364</c:v>
                </c:pt>
                <c:pt idx="70">
                  <c:v>1.3674516106859333</c:v>
                </c:pt>
                <c:pt idx="71">
                  <c:v>1.3952713799781247</c:v>
                </c:pt>
                <c:pt idx="72">
                  <c:v>1.1554800674440804</c:v>
                </c:pt>
                <c:pt idx="73">
                  <c:v>1.1864889684966404</c:v>
                </c:pt>
                <c:pt idx="74">
                  <c:v>1.3263932538111622</c:v>
                </c:pt>
                <c:pt idx="75">
                  <c:v>1.4362078249377688</c:v>
                </c:pt>
                <c:pt idx="76">
                  <c:v>1.5960767689102935</c:v>
                </c:pt>
                <c:pt idx="77">
                  <c:v>1.5228715531246313</c:v>
                </c:pt>
                <c:pt idx="78">
                  <c:v>1.5926872738624247</c:v>
                </c:pt>
                <c:pt idx="79">
                  <c:v>1.7156679608940946</c:v>
                </c:pt>
                <c:pt idx="80">
                  <c:v>1.7851288594359942</c:v>
                </c:pt>
                <c:pt idx="81">
                  <c:v>1.8774432825981522</c:v>
                </c:pt>
                <c:pt idx="82">
                  <c:v>2.0481317601170632</c:v>
                </c:pt>
                <c:pt idx="83">
                  <c:v>2.1562451713922788</c:v>
                </c:pt>
                <c:pt idx="84">
                  <c:v>2.2043266006192459</c:v>
                </c:pt>
                <c:pt idx="85">
                  <c:v>2.1053870942782376</c:v>
                </c:pt>
                <c:pt idx="86">
                  <c:v>1.9562808769782472</c:v>
                </c:pt>
                <c:pt idx="87">
                  <c:v>1.8393250754202988</c:v>
                </c:pt>
                <c:pt idx="88">
                  <c:v>1.8332675439528432</c:v>
                </c:pt>
                <c:pt idx="89">
                  <c:v>1.7500375791452254</c:v>
                </c:pt>
                <c:pt idx="90">
                  <c:v>1.6062939214746814</c:v>
                </c:pt>
                <c:pt idx="91">
                  <c:v>1.7188889870485742</c:v>
                </c:pt>
                <c:pt idx="92">
                  <c:v>1.6709980821499955</c:v>
                </c:pt>
                <c:pt idx="93">
                  <c:v>1.6194540839368317</c:v>
                </c:pt>
                <c:pt idx="94">
                  <c:v>1.6245905741657904</c:v>
                </c:pt>
                <c:pt idx="95">
                  <c:v>1.741758733581013</c:v>
                </c:pt>
                <c:pt idx="96">
                  <c:v>1.88434858117231</c:v>
                </c:pt>
                <c:pt idx="97">
                  <c:v>1.9303167519009226</c:v>
                </c:pt>
                <c:pt idx="98">
                  <c:v>1.8486032661587923</c:v>
                </c:pt>
                <c:pt idx="99">
                  <c:v>1.9012513574209355</c:v>
                </c:pt>
                <c:pt idx="100">
                  <c:v>1.8416658697645691</c:v>
                </c:pt>
                <c:pt idx="101">
                  <c:v>2.0416946710017165</c:v>
                </c:pt>
                <c:pt idx="102">
                  <c:v>2.117742088051608</c:v>
                </c:pt>
                <c:pt idx="103">
                  <c:v>2.1732886185087383</c:v>
                </c:pt>
                <c:pt idx="104">
                  <c:v>2.2387880805226241</c:v>
                </c:pt>
                <c:pt idx="105">
                  <c:v>2.1672552062462827</c:v>
                </c:pt>
                <c:pt idx="106">
                  <c:v>2.1333889158327466</c:v>
                </c:pt>
                <c:pt idx="107">
                  <c:v>2.4953883244816542</c:v>
                </c:pt>
                <c:pt idx="108">
                  <c:v>2.4343236618793789</c:v>
                </c:pt>
                <c:pt idx="109">
                  <c:v>2.6401895445030417</c:v>
                </c:pt>
                <c:pt idx="110">
                  <c:v>2.6780764990958481</c:v>
                </c:pt>
                <c:pt idx="111">
                  <c:v>2.7257427658594162</c:v>
                </c:pt>
                <c:pt idx="112">
                  <c:v>2.6579740332603183</c:v>
                </c:pt>
                <c:pt idx="113">
                  <c:v>2.6393040618595451</c:v>
                </c:pt>
                <c:pt idx="114">
                  <c:v>2.6012765998447716</c:v>
                </c:pt>
                <c:pt idx="115">
                  <c:v>2.754742592201314</c:v>
                </c:pt>
                <c:pt idx="116">
                  <c:v>2.7132131224697713</c:v>
                </c:pt>
                <c:pt idx="117">
                  <c:v>2.7310812540840996</c:v>
                </c:pt>
                <c:pt idx="118">
                  <c:v>2.5569021475180929</c:v>
                </c:pt>
                <c:pt idx="119">
                  <c:v>2.5095415024403849</c:v>
                </c:pt>
                <c:pt idx="120">
                  <c:v>2.33264085655708</c:v>
                </c:pt>
                <c:pt idx="121">
                  <c:v>2.3311293140018825</c:v>
                </c:pt>
                <c:pt idx="122">
                  <c:v>2.4981232927908237</c:v>
                </c:pt>
                <c:pt idx="123">
                  <c:v>2.5442845004779651</c:v>
                </c:pt>
                <c:pt idx="124">
                  <c:v>2.5781235960722175</c:v>
                </c:pt>
                <c:pt idx="125">
                  <c:v>2.5320456772571358</c:v>
                </c:pt>
                <c:pt idx="126">
                  <c:v>2.7028765162302428</c:v>
                </c:pt>
                <c:pt idx="127">
                  <c:v>2.7130608803466791</c:v>
                </c:pt>
                <c:pt idx="128">
                  <c:v>2.8526128649439686</c:v>
                </c:pt>
                <c:pt idx="129">
                  <c:v>2.7524284253613791</c:v>
                </c:pt>
                <c:pt idx="130">
                  <c:v>2.6325106616412337</c:v>
                </c:pt>
                <c:pt idx="131">
                  <c:v>2.4712841745510703</c:v>
                </c:pt>
                <c:pt idx="132">
                  <c:v>2.4892463056477574</c:v>
                </c:pt>
                <c:pt idx="133">
                  <c:v>2.4684472247136107</c:v>
                </c:pt>
                <c:pt idx="134">
                  <c:v>2.9601892457882042</c:v>
                </c:pt>
                <c:pt idx="135">
                  <c:v>2.9771816327502929</c:v>
                </c:pt>
                <c:pt idx="136">
                  <c:v>2.9622300654828018</c:v>
                </c:pt>
                <c:pt idx="137">
                  <c:v>2.8995533803589999</c:v>
                </c:pt>
                <c:pt idx="138">
                  <c:v>2.9451206653015491</c:v>
                </c:pt>
                <c:pt idx="139">
                  <c:v>2.9365986666736115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A3-433D-A9F8-C8EF47EC529E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0.14430565152060182</c:v>
                </c:pt>
                <c:pt idx="2">
                  <c:v>0.21812450555189439</c:v>
                </c:pt>
                <c:pt idx="3">
                  <c:v>0.1995852361579844</c:v>
                </c:pt>
                <c:pt idx="4">
                  <c:v>0.42133673154215567</c:v>
                </c:pt>
                <c:pt idx="5">
                  <c:v>0.50787052195433247</c:v>
                </c:pt>
                <c:pt idx="6">
                  <c:v>0.56491012779360839</c:v>
                </c:pt>
                <c:pt idx="7">
                  <c:v>0.60452577477657299</c:v>
                </c:pt>
                <c:pt idx="8">
                  <c:v>0.647407015271661</c:v>
                </c:pt>
                <c:pt idx="9">
                  <c:v>0.64032545199821511</c:v>
                </c:pt>
                <c:pt idx="10">
                  <c:v>0.40741843024293622</c:v>
                </c:pt>
                <c:pt idx="11">
                  <c:v>0.47758560204521122</c:v>
                </c:pt>
                <c:pt idx="12">
                  <c:v>0.52877551718695637</c:v>
                </c:pt>
                <c:pt idx="13">
                  <c:v>0.62071514864403954</c:v>
                </c:pt>
                <c:pt idx="14">
                  <c:v>0.68827762439126838</c:v>
                </c:pt>
                <c:pt idx="15">
                  <c:v>0.5979785337604121</c:v>
                </c:pt>
                <c:pt idx="16">
                  <c:v>0.92252934226237038</c:v>
                </c:pt>
                <c:pt idx="17">
                  <c:v>0.9203259447737292</c:v>
                </c:pt>
                <c:pt idx="18">
                  <c:v>0.77357720385022666</c:v>
                </c:pt>
                <c:pt idx="19">
                  <c:v>0.69678363011637967</c:v>
                </c:pt>
                <c:pt idx="20">
                  <c:v>0.58452053646996516</c:v>
                </c:pt>
                <c:pt idx="21">
                  <c:v>0.68176813896222299</c:v>
                </c:pt>
                <c:pt idx="22">
                  <c:v>0.64065663703138209</c:v>
                </c:pt>
                <c:pt idx="23">
                  <c:v>0.71352771617245425</c:v>
                </c:pt>
                <c:pt idx="24">
                  <c:v>0.81594748831982122</c:v>
                </c:pt>
                <c:pt idx="25">
                  <c:v>0.8278406567669705</c:v>
                </c:pt>
                <c:pt idx="26">
                  <c:v>0.837335797071593</c:v>
                </c:pt>
                <c:pt idx="27">
                  <c:v>0.87784601647802707</c:v>
                </c:pt>
                <c:pt idx="28">
                  <c:v>0.72059410427298531</c:v>
                </c:pt>
                <c:pt idx="29">
                  <c:v>0.80882086746172632</c:v>
                </c:pt>
                <c:pt idx="30">
                  <c:v>0.77919187344462559</c:v>
                </c:pt>
                <c:pt idx="31">
                  <c:v>0.74964410539921755</c:v>
                </c:pt>
                <c:pt idx="32">
                  <c:v>0.82682795257896025</c:v>
                </c:pt>
                <c:pt idx="33">
                  <c:v>0.77999186615198246</c:v>
                </c:pt>
                <c:pt idx="34">
                  <c:v>0.78754390865793522</c:v>
                </c:pt>
                <c:pt idx="35">
                  <c:v>0.81214141259785855</c:v>
                </c:pt>
                <c:pt idx="36">
                  <c:v>0.84472642935512887</c:v>
                </c:pt>
                <c:pt idx="37">
                  <c:v>0.96204876773938997</c:v>
                </c:pt>
                <c:pt idx="38">
                  <c:v>0.98003534471792841</c:v>
                </c:pt>
                <c:pt idx="39">
                  <c:v>0.88431469407008989</c:v>
                </c:pt>
                <c:pt idx="40">
                  <c:v>0.80572664894127999</c:v>
                </c:pt>
                <c:pt idx="41">
                  <c:v>0.83527173861966286</c:v>
                </c:pt>
                <c:pt idx="42">
                  <c:v>0.77824650647478644</c:v>
                </c:pt>
                <c:pt idx="43">
                  <c:v>1.1082487313461757</c:v>
                </c:pt>
                <c:pt idx="44">
                  <c:v>1.260362413046386</c:v>
                </c:pt>
                <c:pt idx="45">
                  <c:v>1.2800052770190538</c:v>
                </c:pt>
                <c:pt idx="46">
                  <c:v>1.40882677710786</c:v>
                </c:pt>
                <c:pt idx="47">
                  <c:v>1.2282065710617684</c:v>
                </c:pt>
                <c:pt idx="48">
                  <c:v>1.1774513344135933</c:v>
                </c:pt>
                <c:pt idx="49">
                  <c:v>1.0571477675725549</c:v>
                </c:pt>
                <c:pt idx="50">
                  <c:v>1.0275485729466971</c:v>
                </c:pt>
                <c:pt idx="51">
                  <c:v>1.2073188239928059</c:v>
                </c:pt>
                <c:pt idx="52">
                  <c:v>1.2900444452077411</c:v>
                </c:pt>
                <c:pt idx="53">
                  <c:v>1.2459357705962724</c:v>
                </c:pt>
                <c:pt idx="54">
                  <c:v>1.1889522679532507</c:v>
                </c:pt>
                <c:pt idx="55">
                  <c:v>1.1328214104468528</c:v>
                </c:pt>
                <c:pt idx="56">
                  <c:v>1.1288225825897344</c:v>
                </c:pt>
                <c:pt idx="57">
                  <c:v>1.2584913101200459</c:v>
                </c:pt>
                <c:pt idx="58">
                  <c:v>1.3210752741974359</c:v>
                </c:pt>
                <c:pt idx="59">
                  <c:v>1.3505166423635788</c:v>
                </c:pt>
                <c:pt idx="60">
                  <c:v>1.2880560284039775</c:v>
                </c:pt>
                <c:pt idx="61">
                  <c:v>1.285840330302686</c:v>
                </c:pt>
                <c:pt idx="62">
                  <c:v>1.2367295489608043</c:v>
                </c:pt>
                <c:pt idx="63">
                  <c:v>1.2849980478957994</c:v>
                </c:pt>
                <c:pt idx="64">
                  <c:v>1.3015610643343209</c:v>
                </c:pt>
                <c:pt idx="65">
                  <c:v>1.2331700273451105</c:v>
                </c:pt>
                <c:pt idx="66">
                  <c:v>1.2666276423149576</c:v>
                </c:pt>
                <c:pt idx="67">
                  <c:v>1.2097302925556899</c:v>
                </c:pt>
                <c:pt idx="68">
                  <c:v>1.2017451050313768</c:v>
                </c:pt>
                <c:pt idx="69">
                  <c:v>1.1792598307825557</c:v>
                </c:pt>
                <c:pt idx="70">
                  <c:v>1.0809161111104528</c:v>
                </c:pt>
                <c:pt idx="71">
                  <c:v>1.1304206245051325</c:v>
                </c:pt>
                <c:pt idx="72">
                  <c:v>0.85288983265346086</c:v>
                </c:pt>
                <c:pt idx="73">
                  <c:v>0.89013074694794558</c:v>
                </c:pt>
                <c:pt idx="74">
                  <c:v>1.0425047828359919</c:v>
                </c:pt>
                <c:pt idx="75">
                  <c:v>1.187246804664434</c:v>
                </c:pt>
                <c:pt idx="76">
                  <c:v>1.2599556823250371</c:v>
                </c:pt>
                <c:pt idx="77">
                  <c:v>1.2012948714629117</c:v>
                </c:pt>
                <c:pt idx="78">
                  <c:v>1.2505384753821787</c:v>
                </c:pt>
                <c:pt idx="79">
                  <c:v>1.3390736728326231</c:v>
                </c:pt>
                <c:pt idx="80">
                  <c:v>1.3762827962682544</c:v>
                </c:pt>
                <c:pt idx="81">
                  <c:v>1.4333320693751705</c:v>
                </c:pt>
                <c:pt idx="82">
                  <c:v>1.5746284893590889</c:v>
                </c:pt>
                <c:pt idx="83">
                  <c:v>1.7042993016660268</c:v>
                </c:pt>
                <c:pt idx="84">
                  <c:v>1.7088637238940949</c:v>
                </c:pt>
                <c:pt idx="85">
                  <c:v>1.614385956026839</c:v>
                </c:pt>
                <c:pt idx="86">
                  <c:v>1.4621479860954636</c:v>
                </c:pt>
                <c:pt idx="87">
                  <c:v>1.2989548394405468</c:v>
                </c:pt>
                <c:pt idx="88">
                  <c:v>1.3012573177420628</c:v>
                </c:pt>
                <c:pt idx="89">
                  <c:v>1.2246020153528374</c:v>
                </c:pt>
                <c:pt idx="90">
                  <c:v>1.0546162017496969</c:v>
                </c:pt>
                <c:pt idx="91">
                  <c:v>1.1729917560634857</c:v>
                </c:pt>
                <c:pt idx="92">
                  <c:v>1.1268627299946634</c:v>
                </c:pt>
                <c:pt idx="93">
                  <c:v>1.0517169146167493</c:v>
                </c:pt>
                <c:pt idx="94">
                  <c:v>1.0351762449296646</c:v>
                </c:pt>
                <c:pt idx="95">
                  <c:v>1.1573497590274153</c:v>
                </c:pt>
                <c:pt idx="96">
                  <c:v>1.201558767296476</c:v>
                </c:pt>
                <c:pt idx="97">
                  <c:v>1.2496080271608991</c:v>
                </c:pt>
                <c:pt idx="98">
                  <c:v>1.1818769607028075</c:v>
                </c:pt>
                <c:pt idx="99">
                  <c:v>1.3007567579494519</c:v>
                </c:pt>
                <c:pt idx="100">
                  <c:v>1.237167771234565</c:v>
                </c:pt>
                <c:pt idx="101">
                  <c:v>1.4598529293998095</c:v>
                </c:pt>
                <c:pt idx="102">
                  <c:v>1.5047512485760697</c:v>
                </c:pt>
                <c:pt idx="103">
                  <c:v>1.5634038667070482</c:v>
                </c:pt>
                <c:pt idx="104">
                  <c:v>1.6126860175732705</c:v>
                </c:pt>
                <c:pt idx="105">
                  <c:v>1.5486000499905268</c:v>
                </c:pt>
                <c:pt idx="106">
                  <c:v>1.5682118239912455</c:v>
                </c:pt>
                <c:pt idx="107">
                  <c:v>1.7682388684595836</c:v>
                </c:pt>
                <c:pt idx="108">
                  <c:v>1.7014474150954608</c:v>
                </c:pt>
                <c:pt idx="109">
                  <c:v>1.9477819629972783</c:v>
                </c:pt>
                <c:pt idx="110">
                  <c:v>2.0086895584676037</c:v>
                </c:pt>
                <c:pt idx="111">
                  <c:v>2.0593022167225716</c:v>
                </c:pt>
                <c:pt idx="112">
                  <c:v>1.9967960496132566</c:v>
                </c:pt>
                <c:pt idx="113">
                  <c:v>2.0105318206933349</c:v>
                </c:pt>
                <c:pt idx="114">
                  <c:v>1.9449670067177611</c:v>
                </c:pt>
                <c:pt idx="115">
                  <c:v>2.1407113982008776</c:v>
                </c:pt>
                <c:pt idx="116">
                  <c:v>2.1017007466769955</c:v>
                </c:pt>
                <c:pt idx="117">
                  <c:v>2.1294119778261797</c:v>
                </c:pt>
                <c:pt idx="118">
                  <c:v>1.8958895085259388</c:v>
                </c:pt>
                <c:pt idx="119">
                  <c:v>1.8120100340691494</c:v>
                </c:pt>
                <c:pt idx="120">
                  <c:v>1.599972731778345</c:v>
                </c:pt>
                <c:pt idx="121">
                  <c:v>1.6029610143312174</c:v>
                </c:pt>
                <c:pt idx="122">
                  <c:v>1.7975173516805325</c:v>
                </c:pt>
                <c:pt idx="123">
                  <c:v>1.851429248924088</c:v>
                </c:pt>
                <c:pt idx="124">
                  <c:v>1.8914967975669212</c:v>
                </c:pt>
                <c:pt idx="125">
                  <c:v>1.8186235773936685</c:v>
                </c:pt>
                <c:pt idx="126">
                  <c:v>2.0223343902342434</c:v>
                </c:pt>
                <c:pt idx="127">
                  <c:v>2.0289593889071553</c:v>
                </c:pt>
                <c:pt idx="128">
                  <c:v>2.1987550713535065</c:v>
                </c:pt>
                <c:pt idx="129">
                  <c:v>2.0888438382810328</c:v>
                </c:pt>
                <c:pt idx="130">
                  <c:v>1.9555440101650994</c:v>
                </c:pt>
                <c:pt idx="131">
                  <c:v>1.756601462558816</c:v>
                </c:pt>
                <c:pt idx="132">
                  <c:v>1.7725099347171598</c:v>
                </c:pt>
                <c:pt idx="133">
                  <c:v>1.7944641260452778</c:v>
                </c:pt>
                <c:pt idx="134">
                  <c:v>2.3766727420593869</c:v>
                </c:pt>
                <c:pt idx="135">
                  <c:v>2.3642917383159423</c:v>
                </c:pt>
                <c:pt idx="136">
                  <c:v>2.3849854203361467</c:v>
                </c:pt>
                <c:pt idx="137">
                  <c:v>2.3361152655618342</c:v>
                </c:pt>
                <c:pt idx="138">
                  <c:v>2.377738853159816</c:v>
                </c:pt>
                <c:pt idx="139">
                  <c:v>2.4015070388115003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A3-433D-A9F8-C8EF47EC529E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0.1467052251462328</c:v>
                </c:pt>
                <c:pt idx="2">
                  <c:v>0.19552029150983197</c:v>
                </c:pt>
                <c:pt idx="3">
                  <c:v>0.22293214002745992</c:v>
                </c:pt>
                <c:pt idx="4">
                  <c:v>0.46362408779618225</c:v>
                </c:pt>
                <c:pt idx="5">
                  <c:v>0.59095694507719954</c:v>
                </c:pt>
                <c:pt idx="6">
                  <c:v>0.61889248672160246</c:v>
                </c:pt>
                <c:pt idx="7">
                  <c:v>0.69603230677231265</c:v>
                </c:pt>
                <c:pt idx="8">
                  <c:v>0.77673088046972749</c:v>
                </c:pt>
                <c:pt idx="9">
                  <c:v>0.81373705693195841</c:v>
                </c:pt>
                <c:pt idx="10">
                  <c:v>0.53608289041111423</c:v>
                </c:pt>
                <c:pt idx="11">
                  <c:v>0.60779096279150702</c:v>
                </c:pt>
                <c:pt idx="12">
                  <c:v>0.65052498754929755</c:v>
                </c:pt>
                <c:pt idx="13">
                  <c:v>0.70019068265914164</c:v>
                </c:pt>
                <c:pt idx="14">
                  <c:v>0.78663120426982358</c:v>
                </c:pt>
                <c:pt idx="15">
                  <c:v>0.67737814863235479</c:v>
                </c:pt>
                <c:pt idx="16">
                  <c:v>0.95484585550407342</c:v>
                </c:pt>
                <c:pt idx="17">
                  <c:v>0.96728736006180949</c:v>
                </c:pt>
                <c:pt idx="18">
                  <c:v>0.83467418915060265</c:v>
                </c:pt>
                <c:pt idx="19">
                  <c:v>0.76179390478713715</c:v>
                </c:pt>
                <c:pt idx="20">
                  <c:v>0.59518541554399162</c:v>
                </c:pt>
                <c:pt idx="21">
                  <c:v>0.72061288547492253</c:v>
                </c:pt>
                <c:pt idx="22">
                  <c:v>0.67798589004107013</c:v>
                </c:pt>
                <c:pt idx="23">
                  <c:v>0.79494479135078011</c:v>
                </c:pt>
                <c:pt idx="24">
                  <c:v>0.89036032026380763</c:v>
                </c:pt>
                <c:pt idx="25">
                  <c:v>0.94085454482192943</c:v>
                </c:pt>
                <c:pt idx="26">
                  <c:v>0.89049837970223789</c:v>
                </c:pt>
                <c:pt idx="27">
                  <c:v>0.94723971957997122</c:v>
                </c:pt>
                <c:pt idx="28">
                  <c:v>0.7654654008784697</c:v>
                </c:pt>
                <c:pt idx="29">
                  <c:v>0.86910285658533382</c:v>
                </c:pt>
                <c:pt idx="30">
                  <c:v>0.76870324624883868</c:v>
                </c:pt>
                <c:pt idx="31">
                  <c:v>0.72432587060472897</c:v>
                </c:pt>
                <c:pt idx="32">
                  <c:v>0.81482483414733531</c:v>
                </c:pt>
                <c:pt idx="33">
                  <c:v>0.75283479959978772</c:v>
                </c:pt>
                <c:pt idx="34">
                  <c:v>0.73923968410378482</c:v>
                </c:pt>
                <c:pt idx="35">
                  <c:v>0.80297522505826302</c:v>
                </c:pt>
                <c:pt idx="36">
                  <c:v>0.83832646216003059</c:v>
                </c:pt>
                <c:pt idx="37">
                  <c:v>0.95916792863322975</c:v>
                </c:pt>
                <c:pt idx="38">
                  <c:v>1.0145670870162626</c:v>
                </c:pt>
                <c:pt idx="39">
                  <c:v>0.92782184892336739</c:v>
                </c:pt>
                <c:pt idx="40">
                  <c:v>0.83563452608209754</c:v>
                </c:pt>
                <c:pt idx="41">
                  <c:v>0.83353673387187455</c:v>
                </c:pt>
                <c:pt idx="42">
                  <c:v>0.7602903781835566</c:v>
                </c:pt>
                <c:pt idx="43">
                  <c:v>0.9633529688273289</c:v>
                </c:pt>
                <c:pt idx="44">
                  <c:v>1.1373273176699028</c:v>
                </c:pt>
                <c:pt idx="45">
                  <c:v>1.1501802810460466</c:v>
                </c:pt>
                <c:pt idx="46">
                  <c:v>1.3045613844838102</c:v>
                </c:pt>
                <c:pt idx="47">
                  <c:v>1.1255474364631415</c:v>
                </c:pt>
                <c:pt idx="48">
                  <c:v>1.0509200832594165</c:v>
                </c:pt>
                <c:pt idx="49">
                  <c:v>0.9170089136748909</c:v>
                </c:pt>
                <c:pt idx="50">
                  <c:v>0.86868140685844231</c:v>
                </c:pt>
                <c:pt idx="51">
                  <c:v>1.0603656926034242</c:v>
                </c:pt>
                <c:pt idx="52">
                  <c:v>1.0998880927280694</c:v>
                </c:pt>
                <c:pt idx="53">
                  <c:v>1.0426395566758335</c:v>
                </c:pt>
                <c:pt idx="54">
                  <c:v>0.96839576969466235</c:v>
                </c:pt>
                <c:pt idx="55">
                  <c:v>0.90514566117532624</c:v>
                </c:pt>
                <c:pt idx="56">
                  <c:v>0.95323012519493244</c:v>
                </c:pt>
                <c:pt idx="57">
                  <c:v>1.0442489853777959</c:v>
                </c:pt>
                <c:pt idx="58">
                  <c:v>1.1332969432076432</c:v>
                </c:pt>
                <c:pt idx="59">
                  <c:v>1.1624368142729513</c:v>
                </c:pt>
                <c:pt idx="60">
                  <c:v>1.0975742637466377</c:v>
                </c:pt>
                <c:pt idx="61">
                  <c:v>1.0857638984069091</c:v>
                </c:pt>
                <c:pt idx="62">
                  <c:v>1.0292830356739953</c:v>
                </c:pt>
                <c:pt idx="63">
                  <c:v>1.0884779009265688</c:v>
                </c:pt>
                <c:pt idx="64">
                  <c:v>1.0837069055235082</c:v>
                </c:pt>
                <c:pt idx="65">
                  <c:v>1.0830010432513428</c:v>
                </c:pt>
                <c:pt idx="66">
                  <c:v>1.125905989836842</c:v>
                </c:pt>
                <c:pt idx="67">
                  <c:v>1.0761221711555005</c:v>
                </c:pt>
                <c:pt idx="68">
                  <c:v>1.0511813090280071</c:v>
                </c:pt>
                <c:pt idx="69">
                  <c:v>1.0151259042265763</c:v>
                </c:pt>
                <c:pt idx="70">
                  <c:v>0.90846911688022935</c:v>
                </c:pt>
                <c:pt idx="71">
                  <c:v>0.96062778420778916</c:v>
                </c:pt>
                <c:pt idx="72">
                  <c:v>0.63257598778996715</c:v>
                </c:pt>
                <c:pt idx="73">
                  <c:v>0.65483340291158632</c:v>
                </c:pt>
                <c:pt idx="74">
                  <c:v>0.82166726108347532</c:v>
                </c:pt>
                <c:pt idx="75">
                  <c:v>1.0063923485728274</c:v>
                </c:pt>
                <c:pt idx="76">
                  <c:v>1.0942442476553365</c:v>
                </c:pt>
                <c:pt idx="77">
                  <c:v>1.0602974917993566</c:v>
                </c:pt>
                <c:pt idx="78">
                  <c:v>1.0946029373302399</c:v>
                </c:pt>
                <c:pt idx="79">
                  <c:v>1.1945993438013132</c:v>
                </c:pt>
                <c:pt idx="80">
                  <c:v>1.2274569682333554</c:v>
                </c:pt>
                <c:pt idx="81">
                  <c:v>1.293387834288211</c:v>
                </c:pt>
                <c:pt idx="82">
                  <c:v>1.4251015880754883</c:v>
                </c:pt>
                <c:pt idx="83">
                  <c:v>1.5642529888224384</c:v>
                </c:pt>
                <c:pt idx="84">
                  <c:v>1.5647667638638825</c:v>
                </c:pt>
                <c:pt idx="85">
                  <c:v>1.4226403188281027</c:v>
                </c:pt>
                <c:pt idx="86">
                  <c:v>1.3092473855299707</c:v>
                </c:pt>
                <c:pt idx="87">
                  <c:v>1.0204673195256162</c:v>
                </c:pt>
                <c:pt idx="88">
                  <c:v>1.0650549985387869</c:v>
                </c:pt>
                <c:pt idx="89">
                  <c:v>0.98636180257361472</c:v>
                </c:pt>
                <c:pt idx="90">
                  <c:v>0.6933527766350418</c:v>
                </c:pt>
                <c:pt idx="91">
                  <c:v>0.85786443620294506</c:v>
                </c:pt>
                <c:pt idx="92">
                  <c:v>0.81268779202392794</c:v>
                </c:pt>
                <c:pt idx="93">
                  <c:v>0.73642385882812023</c:v>
                </c:pt>
                <c:pt idx="94">
                  <c:v>0.73209831113763424</c:v>
                </c:pt>
                <c:pt idx="95">
                  <c:v>0.80158640763155298</c:v>
                </c:pt>
                <c:pt idx="96">
                  <c:v>0.80287607193768751</c:v>
                </c:pt>
                <c:pt idx="97">
                  <c:v>0.84524295055609988</c:v>
                </c:pt>
                <c:pt idx="98">
                  <c:v>0.79165575869623828</c:v>
                </c:pt>
                <c:pt idx="99">
                  <c:v>0.91235040434866999</c:v>
                </c:pt>
                <c:pt idx="100">
                  <c:v>0.8228377560982576</c:v>
                </c:pt>
                <c:pt idx="101">
                  <c:v>1.0246376192446829</c:v>
                </c:pt>
                <c:pt idx="102">
                  <c:v>1.0466795966097431</c:v>
                </c:pt>
                <c:pt idx="103">
                  <c:v>1.123647666380527</c:v>
                </c:pt>
                <c:pt idx="104">
                  <c:v>1.175355659508813</c:v>
                </c:pt>
                <c:pt idx="105">
                  <c:v>1.1065464430787395</c:v>
                </c:pt>
                <c:pt idx="106">
                  <c:v>1.0631202573700007</c:v>
                </c:pt>
                <c:pt idx="107">
                  <c:v>1.2929480703518037</c:v>
                </c:pt>
                <c:pt idx="108">
                  <c:v>1.2185764981698879</c:v>
                </c:pt>
                <c:pt idx="109">
                  <c:v>1.5229690719576257</c:v>
                </c:pt>
                <c:pt idx="110">
                  <c:v>1.5504636127521747</c:v>
                </c:pt>
                <c:pt idx="111">
                  <c:v>1.6681832632227591</c:v>
                </c:pt>
                <c:pt idx="112">
                  <c:v>1.5948734832889984</c:v>
                </c:pt>
                <c:pt idx="113">
                  <c:v>1.6055241701951724</c:v>
                </c:pt>
                <c:pt idx="114">
                  <c:v>1.5979975659201764</c:v>
                </c:pt>
                <c:pt idx="115">
                  <c:v>1.824839807601641</c:v>
                </c:pt>
                <c:pt idx="116">
                  <c:v>1.8426949276961082</c:v>
                </c:pt>
                <c:pt idx="117">
                  <c:v>1.8792680063903655</c:v>
                </c:pt>
                <c:pt idx="118">
                  <c:v>1.6226251554173343</c:v>
                </c:pt>
                <c:pt idx="119">
                  <c:v>1.5481166236698793</c:v>
                </c:pt>
                <c:pt idx="120">
                  <c:v>1.3011854196873236</c:v>
                </c:pt>
                <c:pt idx="121">
                  <c:v>1.2789863163088455</c:v>
                </c:pt>
                <c:pt idx="122">
                  <c:v>1.5216421690593132</c:v>
                </c:pt>
                <c:pt idx="123">
                  <c:v>1.5309896526427329</c:v>
                </c:pt>
                <c:pt idx="124">
                  <c:v>1.5804131242994834</c:v>
                </c:pt>
                <c:pt idx="125">
                  <c:v>1.4615141825768063</c:v>
                </c:pt>
                <c:pt idx="126">
                  <c:v>1.6193709896080122</c:v>
                </c:pt>
                <c:pt idx="127">
                  <c:v>1.6182380523398869</c:v>
                </c:pt>
                <c:pt idx="128">
                  <c:v>1.8177114061455044</c:v>
                </c:pt>
                <c:pt idx="129">
                  <c:v>1.7070006892387826</c:v>
                </c:pt>
                <c:pt idx="130">
                  <c:v>1.5651280434435602</c:v>
                </c:pt>
                <c:pt idx="131">
                  <c:v>1.3581214492396301</c:v>
                </c:pt>
                <c:pt idx="132">
                  <c:v>1.3833818755321743</c:v>
                </c:pt>
                <c:pt idx="133">
                  <c:v>1.4103100903763268</c:v>
                </c:pt>
                <c:pt idx="134">
                  <c:v>2.0531765917505242</c:v>
                </c:pt>
                <c:pt idx="135">
                  <c:v>2.0444081507261944</c:v>
                </c:pt>
                <c:pt idx="136">
                  <c:v>2.0607309355871912</c:v>
                </c:pt>
                <c:pt idx="137">
                  <c:v>1.9987122376177908</c:v>
                </c:pt>
                <c:pt idx="138">
                  <c:v>2.0478888593031011</c:v>
                </c:pt>
                <c:pt idx="139">
                  <c:v>2.0924867120143791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A3-433D-A9F8-C8EF47EC529E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0.19915039658974448</c:v>
                </c:pt>
                <c:pt idx="2">
                  <c:v>0.26943267048419123</c:v>
                </c:pt>
                <c:pt idx="3">
                  <c:v>0.20002339339323472</c:v>
                </c:pt>
                <c:pt idx="4">
                  <c:v>0.41348878614920648</c:v>
                </c:pt>
                <c:pt idx="5">
                  <c:v>0.49699798535231621</c:v>
                </c:pt>
                <c:pt idx="6">
                  <c:v>0.51110926383329813</c:v>
                </c:pt>
                <c:pt idx="7">
                  <c:v>0.60167590307774499</c:v>
                </c:pt>
                <c:pt idx="8">
                  <c:v>0.66601088374724937</c:v>
                </c:pt>
                <c:pt idx="9">
                  <c:v>0.75344471427593174</c:v>
                </c:pt>
                <c:pt idx="10">
                  <c:v>0.45654012629782492</c:v>
                </c:pt>
                <c:pt idx="11">
                  <c:v>0.54253003895589169</c:v>
                </c:pt>
                <c:pt idx="12">
                  <c:v>0.60138517906832933</c:v>
                </c:pt>
                <c:pt idx="13">
                  <c:v>0.67287939269462915</c:v>
                </c:pt>
                <c:pt idx="14">
                  <c:v>0.79392577892798499</c:v>
                </c:pt>
                <c:pt idx="15">
                  <c:v>0.69835046782135479</c:v>
                </c:pt>
                <c:pt idx="16">
                  <c:v>0.95303327032723506</c:v>
                </c:pt>
                <c:pt idx="17">
                  <c:v>1.0028950209839504</c:v>
                </c:pt>
                <c:pt idx="18">
                  <c:v>0.88191815582963418</c:v>
                </c:pt>
                <c:pt idx="19">
                  <c:v>0.8534204697889396</c:v>
                </c:pt>
                <c:pt idx="20">
                  <c:v>0.69036458996236272</c:v>
                </c:pt>
                <c:pt idx="21">
                  <c:v>0.82419462669347499</c:v>
                </c:pt>
                <c:pt idx="22">
                  <c:v>0.73018263088329949</c:v>
                </c:pt>
                <c:pt idx="23">
                  <c:v>0.86204648597643985</c:v>
                </c:pt>
                <c:pt idx="24">
                  <c:v>0.95415466757636347</c:v>
                </c:pt>
                <c:pt idx="25">
                  <c:v>1.0458300443507187</c:v>
                </c:pt>
                <c:pt idx="26">
                  <c:v>0.98383211508834933</c:v>
                </c:pt>
                <c:pt idx="27">
                  <c:v>1.0196223027636742</c:v>
                </c:pt>
                <c:pt idx="28">
                  <c:v>0.83595008541642424</c:v>
                </c:pt>
                <c:pt idx="29">
                  <c:v>0.93960049140364454</c:v>
                </c:pt>
                <c:pt idx="30">
                  <c:v>0.85305550100942151</c:v>
                </c:pt>
                <c:pt idx="31">
                  <c:v>0.83707279893918751</c:v>
                </c:pt>
                <c:pt idx="32">
                  <c:v>0.9166670082724786</c:v>
                </c:pt>
                <c:pt idx="33">
                  <c:v>0.84626166632600985</c:v>
                </c:pt>
                <c:pt idx="34">
                  <c:v>0.81561823258857857</c:v>
                </c:pt>
                <c:pt idx="35">
                  <c:v>0.88099805532168918</c:v>
                </c:pt>
                <c:pt idx="36">
                  <c:v>0.93229999443759104</c:v>
                </c:pt>
                <c:pt idx="37">
                  <c:v>1.0387311324073929</c:v>
                </c:pt>
                <c:pt idx="38">
                  <c:v>1.1134660615607366</c:v>
                </c:pt>
                <c:pt idx="39">
                  <c:v>1.0086578886591409</c:v>
                </c:pt>
                <c:pt idx="40">
                  <c:v>0.93421404307960976</c:v>
                </c:pt>
                <c:pt idx="41">
                  <c:v>0.89599494676904656</c:v>
                </c:pt>
                <c:pt idx="42">
                  <c:v>0.77857762611045278</c:v>
                </c:pt>
                <c:pt idx="43">
                  <c:v>0.98976169584060636</c:v>
                </c:pt>
                <c:pt idx="44">
                  <c:v>1.1861585950775209</c:v>
                </c:pt>
                <c:pt idx="45">
                  <c:v>1.1379682143240801</c:v>
                </c:pt>
                <c:pt idx="46">
                  <c:v>1.3210025709138042</c:v>
                </c:pt>
                <c:pt idx="47">
                  <c:v>1.1636912064952409</c:v>
                </c:pt>
                <c:pt idx="48">
                  <c:v>1.0950474369659968</c:v>
                </c:pt>
                <c:pt idx="49">
                  <c:v>0.94000024405956428</c:v>
                </c:pt>
                <c:pt idx="50">
                  <c:v>0.89193268565792372</c:v>
                </c:pt>
                <c:pt idx="51">
                  <c:v>1.1473148986567776</c:v>
                </c:pt>
                <c:pt idx="52">
                  <c:v>1.207211099451176</c:v>
                </c:pt>
                <c:pt idx="53">
                  <c:v>1.0992206849317792</c:v>
                </c:pt>
                <c:pt idx="54">
                  <c:v>1.0139111592582992</c:v>
                </c:pt>
                <c:pt idx="55">
                  <c:v>0.94157969945177733</c:v>
                </c:pt>
                <c:pt idx="56">
                  <c:v>0.98876518792773449</c:v>
                </c:pt>
                <c:pt idx="57">
                  <c:v>1.1635443829379353</c:v>
                </c:pt>
                <c:pt idx="58">
                  <c:v>1.2225994963354261</c:v>
                </c:pt>
                <c:pt idx="59">
                  <c:v>1.2249090865609225</c:v>
                </c:pt>
                <c:pt idx="60">
                  <c:v>1.1477687726619195</c:v>
                </c:pt>
                <c:pt idx="61">
                  <c:v>1.1438734254034724</c:v>
                </c:pt>
                <c:pt idx="62">
                  <c:v>1.1030781393747517</c:v>
                </c:pt>
                <c:pt idx="63">
                  <c:v>1.2376660345385038</c:v>
                </c:pt>
                <c:pt idx="64">
                  <c:v>1.2048676923605623</c:v>
                </c:pt>
                <c:pt idx="65">
                  <c:v>1.2121233954760204</c:v>
                </c:pt>
                <c:pt idx="66">
                  <c:v>1.2701337404079882</c:v>
                </c:pt>
                <c:pt idx="67">
                  <c:v>1.2565082317387839</c:v>
                </c:pt>
                <c:pt idx="68">
                  <c:v>1.1911718058313647</c:v>
                </c:pt>
                <c:pt idx="69">
                  <c:v>1.1794077229378719</c:v>
                </c:pt>
                <c:pt idx="70">
                  <c:v>1.0519417686235573</c:v>
                </c:pt>
                <c:pt idx="71">
                  <c:v>1.0478752753170941</c:v>
                </c:pt>
                <c:pt idx="72">
                  <c:v>0.67769952297388669</c:v>
                </c:pt>
                <c:pt idx="73">
                  <c:v>0.72593742669792771</c:v>
                </c:pt>
                <c:pt idx="74">
                  <c:v>0.8294944942692748</c:v>
                </c:pt>
                <c:pt idx="75">
                  <c:v>1.0808962721518611</c:v>
                </c:pt>
                <c:pt idx="76">
                  <c:v>1.2305701655764094</c:v>
                </c:pt>
                <c:pt idx="77">
                  <c:v>1.2138996180065971</c:v>
                </c:pt>
                <c:pt idx="78">
                  <c:v>1.2058806637356307</c:v>
                </c:pt>
                <c:pt idx="79">
                  <c:v>1.3194152938461534</c:v>
                </c:pt>
                <c:pt idx="80">
                  <c:v>1.3505452556372515</c:v>
                </c:pt>
                <c:pt idx="81">
                  <c:v>1.4047277009860017</c:v>
                </c:pt>
                <c:pt idx="82">
                  <c:v>1.5576004970579729</c:v>
                </c:pt>
                <c:pt idx="83">
                  <c:v>1.5578965751264142</c:v>
                </c:pt>
                <c:pt idx="84">
                  <c:v>1.5654584882662199</c:v>
                </c:pt>
                <c:pt idx="85">
                  <c:v>1.3264107820613606</c:v>
                </c:pt>
                <c:pt idx="86">
                  <c:v>1.089779449705564</c:v>
                </c:pt>
                <c:pt idx="87">
                  <c:v>0.73958133777191892</c:v>
                </c:pt>
                <c:pt idx="88">
                  <c:v>0.8463213337751474</c:v>
                </c:pt>
                <c:pt idx="89">
                  <c:v>0.73982611333867865</c:v>
                </c:pt>
                <c:pt idx="90">
                  <c:v>0.37116456584667806</c:v>
                </c:pt>
                <c:pt idx="91">
                  <c:v>0.49337491141128564</c:v>
                </c:pt>
                <c:pt idx="92">
                  <c:v>0.44630249093545371</c:v>
                </c:pt>
                <c:pt idx="93">
                  <c:v>0.35040154678806079</c:v>
                </c:pt>
                <c:pt idx="94">
                  <c:v>0.30418566205639819</c:v>
                </c:pt>
                <c:pt idx="95">
                  <c:v>0.35080899955319983</c:v>
                </c:pt>
                <c:pt idx="96">
                  <c:v>0.35890578075844987</c:v>
                </c:pt>
                <c:pt idx="97">
                  <c:v>0.39445116643356953</c:v>
                </c:pt>
                <c:pt idx="98">
                  <c:v>0.35060957712147961</c:v>
                </c:pt>
                <c:pt idx="99">
                  <c:v>0.4907268712597207</c:v>
                </c:pt>
                <c:pt idx="100">
                  <c:v>0.45138396225109684</c:v>
                </c:pt>
                <c:pt idx="101">
                  <c:v>0.74688874515736126</c:v>
                </c:pt>
                <c:pt idx="102">
                  <c:v>0.76522439700180545</c:v>
                </c:pt>
                <c:pt idx="103">
                  <c:v>0.83668561077580361</c:v>
                </c:pt>
                <c:pt idx="104">
                  <c:v>0.89982787603654313</c:v>
                </c:pt>
                <c:pt idx="105">
                  <c:v>0.822315197618536</c:v>
                </c:pt>
                <c:pt idx="106">
                  <c:v>0.76921850633810707</c:v>
                </c:pt>
                <c:pt idx="107">
                  <c:v>1.0553493696610501</c:v>
                </c:pt>
                <c:pt idx="108">
                  <c:v>1.0053072454412377</c:v>
                </c:pt>
                <c:pt idx="109">
                  <c:v>1.3635189146954452</c:v>
                </c:pt>
                <c:pt idx="110">
                  <c:v>1.4174452093625152</c:v>
                </c:pt>
                <c:pt idx="111">
                  <c:v>1.536301288753068</c:v>
                </c:pt>
                <c:pt idx="112">
                  <c:v>1.4594549032628339</c:v>
                </c:pt>
                <c:pt idx="113">
                  <c:v>1.4976106739682102</c:v>
                </c:pt>
                <c:pt idx="114">
                  <c:v>1.4734093714404353</c:v>
                </c:pt>
                <c:pt idx="115">
                  <c:v>1.7953250510072238</c:v>
                </c:pt>
                <c:pt idx="116">
                  <c:v>1.781258640851934</c:v>
                </c:pt>
                <c:pt idx="117">
                  <c:v>1.7436118778194583</c:v>
                </c:pt>
                <c:pt idx="118">
                  <c:v>1.6340587261348827</c:v>
                </c:pt>
                <c:pt idx="119">
                  <c:v>1.5286722683727785</c:v>
                </c:pt>
                <c:pt idx="120">
                  <c:v>1.2767056537244295</c:v>
                </c:pt>
                <c:pt idx="121">
                  <c:v>1.2478147311163017</c:v>
                </c:pt>
                <c:pt idx="122">
                  <c:v>1.5687053153106416</c:v>
                </c:pt>
                <c:pt idx="123">
                  <c:v>1.6063940028177559</c:v>
                </c:pt>
                <c:pt idx="124">
                  <c:v>1.7265916592673762</c:v>
                </c:pt>
                <c:pt idx="125">
                  <c:v>1.6097627693925938</c:v>
                </c:pt>
                <c:pt idx="126">
                  <c:v>1.844561188845409</c:v>
                </c:pt>
                <c:pt idx="127">
                  <c:v>1.8510421558716699</c:v>
                </c:pt>
                <c:pt idx="128">
                  <c:v>1.9993282004528234</c:v>
                </c:pt>
                <c:pt idx="129">
                  <c:v>1.8905345788582721</c:v>
                </c:pt>
                <c:pt idx="130">
                  <c:v>1.7504405609060463</c:v>
                </c:pt>
                <c:pt idx="131">
                  <c:v>1.6583320381367155</c:v>
                </c:pt>
                <c:pt idx="132">
                  <c:v>1.6971693979899074</c:v>
                </c:pt>
                <c:pt idx="133">
                  <c:v>1.7489307484681955</c:v>
                </c:pt>
                <c:pt idx="134">
                  <c:v>2.5144290027473941</c:v>
                </c:pt>
                <c:pt idx="135">
                  <c:v>2.4880023331321977</c:v>
                </c:pt>
                <c:pt idx="136">
                  <c:v>2.4902742031913778</c:v>
                </c:pt>
                <c:pt idx="137">
                  <c:v>2.4389142300971849</c:v>
                </c:pt>
                <c:pt idx="138">
                  <c:v>2.5074103305598654</c:v>
                </c:pt>
                <c:pt idx="139">
                  <c:v>2.5516048830678555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A3-433D-A9F8-C8EF47EC529E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4.7404615808948891E-2</c:v>
                </c:pt>
                <c:pt idx="2">
                  <c:v>3.004951689248991E-2</c:v>
                </c:pt>
                <c:pt idx="3">
                  <c:v>-0.10981793341689708</c:v>
                </c:pt>
                <c:pt idx="4">
                  <c:v>0.12312749117842561</c:v>
                </c:pt>
                <c:pt idx="5">
                  <c:v>0.19163818471892488</c:v>
                </c:pt>
                <c:pt idx="6">
                  <c:v>0.20907552792521505</c:v>
                </c:pt>
                <c:pt idx="7">
                  <c:v>0.32745380910750316</c:v>
                </c:pt>
                <c:pt idx="8">
                  <c:v>0.35611058922389716</c:v>
                </c:pt>
                <c:pt idx="9">
                  <c:v>0.42455752830150917</c:v>
                </c:pt>
                <c:pt idx="10">
                  <c:v>0.23989474095855906</c:v>
                </c:pt>
                <c:pt idx="11">
                  <c:v>0.35504516069530589</c:v>
                </c:pt>
                <c:pt idx="12">
                  <c:v>0.43921160928896241</c:v>
                </c:pt>
                <c:pt idx="13">
                  <c:v>0.52984248371559672</c:v>
                </c:pt>
                <c:pt idx="14">
                  <c:v>0.64658361582409707</c:v>
                </c:pt>
                <c:pt idx="15">
                  <c:v>0.60995518155250905</c:v>
                </c:pt>
                <c:pt idx="16">
                  <c:v>0.68279600806751295</c:v>
                </c:pt>
                <c:pt idx="17">
                  <c:v>0.56930901495890951</c:v>
                </c:pt>
                <c:pt idx="18">
                  <c:v>0.34099375475345395</c:v>
                </c:pt>
                <c:pt idx="19">
                  <c:v>0.40225898198619486</c:v>
                </c:pt>
                <c:pt idx="20">
                  <c:v>0.24601632840004045</c:v>
                </c:pt>
                <c:pt idx="21">
                  <c:v>0.37624018699289263</c:v>
                </c:pt>
                <c:pt idx="22">
                  <c:v>0.22673174033450882</c:v>
                </c:pt>
                <c:pt idx="23">
                  <c:v>0.35321977644090402</c:v>
                </c:pt>
                <c:pt idx="24">
                  <c:v>0.40572774828646341</c:v>
                </c:pt>
                <c:pt idx="25">
                  <c:v>0.57810900081861738</c:v>
                </c:pt>
                <c:pt idx="26">
                  <c:v>0.51688104688315817</c:v>
                </c:pt>
                <c:pt idx="27">
                  <c:v>0.58656186534493748</c:v>
                </c:pt>
                <c:pt idx="28">
                  <c:v>0.34872385474662815</c:v>
                </c:pt>
                <c:pt idx="29">
                  <c:v>0.48434625329806524</c:v>
                </c:pt>
                <c:pt idx="30">
                  <c:v>0.37588110671786495</c:v>
                </c:pt>
                <c:pt idx="31">
                  <c:v>0.34816722520232707</c:v>
                </c:pt>
                <c:pt idx="32">
                  <c:v>0.44230848585971311</c:v>
                </c:pt>
                <c:pt idx="33">
                  <c:v>0.41060863653330482</c:v>
                </c:pt>
                <c:pt idx="34">
                  <c:v>0.51189719727370053</c:v>
                </c:pt>
                <c:pt idx="35">
                  <c:v>0.55223816408060089</c:v>
                </c:pt>
                <c:pt idx="36">
                  <c:v>0.63632706754830448</c:v>
                </c:pt>
                <c:pt idx="37">
                  <c:v>0.81353427128255817</c:v>
                </c:pt>
                <c:pt idx="38">
                  <c:v>0.90404785209097827</c:v>
                </c:pt>
                <c:pt idx="39">
                  <c:v>0.71948726273715113</c:v>
                </c:pt>
                <c:pt idx="40">
                  <c:v>0.80216514944569528</c:v>
                </c:pt>
                <c:pt idx="41">
                  <c:v>0.67740154010610543</c:v>
                </c:pt>
                <c:pt idx="42">
                  <c:v>0.65523105799382475</c:v>
                </c:pt>
                <c:pt idx="43">
                  <c:v>0.76883540285333385</c:v>
                </c:pt>
                <c:pt idx="44">
                  <c:v>1.0486715486804594</c:v>
                </c:pt>
                <c:pt idx="45">
                  <c:v>0.99863223774950338</c:v>
                </c:pt>
                <c:pt idx="46">
                  <c:v>1.2281254709954537</c:v>
                </c:pt>
                <c:pt idx="47">
                  <c:v>1.275863311966934</c:v>
                </c:pt>
                <c:pt idx="48">
                  <c:v>1.2348481293065385</c:v>
                </c:pt>
                <c:pt idx="49">
                  <c:v>1.2130964536396582</c:v>
                </c:pt>
                <c:pt idx="50">
                  <c:v>1.135841909175459</c:v>
                </c:pt>
                <c:pt idx="51">
                  <c:v>1.4377718537158821</c:v>
                </c:pt>
                <c:pt idx="52">
                  <c:v>1.3222301279031952</c:v>
                </c:pt>
                <c:pt idx="53">
                  <c:v>1.2358678106196259</c:v>
                </c:pt>
                <c:pt idx="54">
                  <c:v>1.1077565161919676</c:v>
                </c:pt>
                <c:pt idx="55">
                  <c:v>1.0394818218620498</c:v>
                </c:pt>
                <c:pt idx="56">
                  <c:v>1.0852231184967776</c:v>
                </c:pt>
                <c:pt idx="57">
                  <c:v>1.2129301278931937</c:v>
                </c:pt>
                <c:pt idx="58">
                  <c:v>1.1953893328606005</c:v>
                </c:pt>
                <c:pt idx="59">
                  <c:v>1.2661038975824515</c:v>
                </c:pt>
                <c:pt idx="60">
                  <c:v>1.1562078201251753</c:v>
                </c:pt>
                <c:pt idx="61">
                  <c:v>1.0849132808531443</c:v>
                </c:pt>
                <c:pt idx="62">
                  <c:v>1.0824827976076112</c:v>
                </c:pt>
                <c:pt idx="63">
                  <c:v>1.053963991143636</c:v>
                </c:pt>
                <c:pt idx="64">
                  <c:v>1.0394059942452329</c:v>
                </c:pt>
                <c:pt idx="65">
                  <c:v>1.0417436844360526</c:v>
                </c:pt>
                <c:pt idx="66">
                  <c:v>1.1190956627077988</c:v>
                </c:pt>
                <c:pt idx="67">
                  <c:v>1.0861589928434616</c:v>
                </c:pt>
                <c:pt idx="68">
                  <c:v>1.0545527905642225</c:v>
                </c:pt>
                <c:pt idx="69">
                  <c:v>1.1302062098192978</c:v>
                </c:pt>
                <c:pt idx="70">
                  <c:v>0.97753880477132493</c:v>
                </c:pt>
                <c:pt idx="71">
                  <c:v>0.97702784840417145</c:v>
                </c:pt>
                <c:pt idx="72">
                  <c:v>0.4594942655533677</c:v>
                </c:pt>
                <c:pt idx="73">
                  <c:v>0.53147228385843537</c:v>
                </c:pt>
                <c:pt idx="74">
                  <c:v>0.74161396261725498</c:v>
                </c:pt>
                <c:pt idx="75">
                  <c:v>1.0212433014644096</c:v>
                </c:pt>
                <c:pt idx="76">
                  <c:v>1.2742179806524387</c:v>
                </c:pt>
                <c:pt idx="77">
                  <c:v>1.285275878038006</c:v>
                </c:pt>
                <c:pt idx="78">
                  <c:v>1.160171882717973</c:v>
                </c:pt>
                <c:pt idx="79">
                  <c:v>1.258911510353206</c:v>
                </c:pt>
                <c:pt idx="80">
                  <c:v>1.2724149592856788</c:v>
                </c:pt>
                <c:pt idx="81">
                  <c:v>1.3749230626346409</c:v>
                </c:pt>
                <c:pt idx="82">
                  <c:v>1.6988461460804145</c:v>
                </c:pt>
                <c:pt idx="83">
                  <c:v>1.6724189835765848</c:v>
                </c:pt>
                <c:pt idx="84">
                  <c:v>1.708032342720271</c:v>
                </c:pt>
                <c:pt idx="85">
                  <c:v>1.4993630516513161</c:v>
                </c:pt>
                <c:pt idx="86">
                  <c:v>1.3229238435014705</c:v>
                </c:pt>
                <c:pt idx="87">
                  <c:v>0.86486658405055084</c:v>
                </c:pt>
                <c:pt idx="88">
                  <c:v>0.99694040528902561</c:v>
                </c:pt>
                <c:pt idx="89">
                  <c:v>1.0277209886718011</c:v>
                </c:pt>
                <c:pt idx="90">
                  <c:v>0.57270278856343459</c:v>
                </c:pt>
                <c:pt idx="91">
                  <c:v>0.79123208879231521</c:v>
                </c:pt>
                <c:pt idx="92">
                  <c:v>0.69906618038402035</c:v>
                </c:pt>
                <c:pt idx="93">
                  <c:v>0.61194963884931564</c:v>
                </c:pt>
                <c:pt idx="94">
                  <c:v>0.55200523445762373</c:v>
                </c:pt>
                <c:pt idx="95">
                  <c:v>0.59977133368221336</c:v>
                </c:pt>
                <c:pt idx="96">
                  <c:v>0.59403748313672444</c:v>
                </c:pt>
                <c:pt idx="97">
                  <c:v>0.62885442049042006</c:v>
                </c:pt>
                <c:pt idx="98">
                  <c:v>0.63908096678686677</c:v>
                </c:pt>
                <c:pt idx="99">
                  <c:v>0.76586649347747482</c:v>
                </c:pt>
                <c:pt idx="100">
                  <c:v>0.7228996140412518</c:v>
                </c:pt>
                <c:pt idx="101">
                  <c:v>1.0750511840101447</c:v>
                </c:pt>
                <c:pt idx="102">
                  <c:v>1.0975242821763866</c:v>
                </c:pt>
                <c:pt idx="103">
                  <c:v>1.1515659038869086</c:v>
                </c:pt>
                <c:pt idx="104">
                  <c:v>1.2357344689324119</c:v>
                </c:pt>
                <c:pt idx="105">
                  <c:v>1.1790133173275548</c:v>
                </c:pt>
                <c:pt idx="106">
                  <c:v>1.2146468368055747</c:v>
                </c:pt>
                <c:pt idx="107">
                  <c:v>1.6043144704996983</c:v>
                </c:pt>
                <c:pt idx="108">
                  <c:v>1.529523438716992</c:v>
                </c:pt>
                <c:pt idx="109">
                  <c:v>1.6559277888848032</c:v>
                </c:pt>
                <c:pt idx="110">
                  <c:v>1.654244351614955</c:v>
                </c:pt>
                <c:pt idx="111">
                  <c:v>1.7577589909242703</c:v>
                </c:pt>
                <c:pt idx="112">
                  <c:v>1.6850628597537078</c:v>
                </c:pt>
                <c:pt idx="113">
                  <c:v>1.7345951478085897</c:v>
                </c:pt>
                <c:pt idx="114">
                  <c:v>1.7114508120384573</c:v>
                </c:pt>
                <c:pt idx="115">
                  <c:v>2.0119465941779668</c:v>
                </c:pt>
                <c:pt idx="116">
                  <c:v>2.0734072674631503</c:v>
                </c:pt>
                <c:pt idx="117">
                  <c:v>2.070662523577568</c:v>
                </c:pt>
                <c:pt idx="118">
                  <c:v>1.9154006517791435</c:v>
                </c:pt>
                <c:pt idx="119">
                  <c:v>1.786356675902403</c:v>
                </c:pt>
                <c:pt idx="120">
                  <c:v>1.5212222436663754</c:v>
                </c:pt>
                <c:pt idx="121">
                  <c:v>1.4775407973422872</c:v>
                </c:pt>
                <c:pt idx="122">
                  <c:v>1.8770172161967693</c:v>
                </c:pt>
                <c:pt idx="123">
                  <c:v>1.7845107958555937</c:v>
                </c:pt>
                <c:pt idx="124">
                  <c:v>1.7596331055540291</c:v>
                </c:pt>
                <c:pt idx="125">
                  <c:v>1.5952809815124898</c:v>
                </c:pt>
                <c:pt idx="126">
                  <c:v>1.8332412706598693</c:v>
                </c:pt>
                <c:pt idx="127">
                  <c:v>1.8543879750285543</c:v>
                </c:pt>
                <c:pt idx="128">
                  <c:v>1.8377164200983247</c:v>
                </c:pt>
                <c:pt idx="129">
                  <c:v>1.7137819864196686</c:v>
                </c:pt>
                <c:pt idx="130">
                  <c:v>1.7422107981977195</c:v>
                </c:pt>
                <c:pt idx="131">
                  <c:v>1.6146510092452453</c:v>
                </c:pt>
                <c:pt idx="132">
                  <c:v>1.6582110592396921</c:v>
                </c:pt>
                <c:pt idx="133">
                  <c:v>1.7173968777311919</c:v>
                </c:pt>
                <c:pt idx="134">
                  <c:v>2.657486316293113</c:v>
                </c:pt>
                <c:pt idx="135">
                  <c:v>2.6453191087004906</c:v>
                </c:pt>
                <c:pt idx="136">
                  <c:v>2.6354823789542365</c:v>
                </c:pt>
                <c:pt idx="137">
                  <c:v>2.5922139216210751</c:v>
                </c:pt>
                <c:pt idx="138">
                  <c:v>2.7002030174006744</c:v>
                </c:pt>
                <c:pt idx="139">
                  <c:v>2.6748957936617663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A3-433D-A9F8-C8EF47EC529E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5.6898423179088789E-2</c:v>
                </c:pt>
                <c:pt idx="2">
                  <c:v>0.18990361723525978</c:v>
                </c:pt>
                <c:pt idx="3">
                  <c:v>0.18616338429334908</c:v>
                </c:pt>
                <c:pt idx="4">
                  <c:v>0.54779550507178187</c:v>
                </c:pt>
                <c:pt idx="5">
                  <c:v>0.5296070342302972</c:v>
                </c:pt>
                <c:pt idx="6">
                  <c:v>0.49322054536389009</c:v>
                </c:pt>
                <c:pt idx="7">
                  <c:v>0.64851436226687331</c:v>
                </c:pt>
                <c:pt idx="8">
                  <c:v>0.58859647775881041</c:v>
                </c:pt>
                <c:pt idx="9">
                  <c:v>0.75280850187714143</c:v>
                </c:pt>
                <c:pt idx="10">
                  <c:v>0.60552153384964447</c:v>
                </c:pt>
                <c:pt idx="11">
                  <c:v>0.75286453997327563</c:v>
                </c:pt>
                <c:pt idx="12">
                  <c:v>0.75056238822106491</c:v>
                </c:pt>
                <c:pt idx="13">
                  <c:v>0.80524391425561281</c:v>
                </c:pt>
                <c:pt idx="14">
                  <c:v>0.68494170882604455</c:v>
                </c:pt>
                <c:pt idx="15">
                  <c:v>0.6287305655127895</c:v>
                </c:pt>
                <c:pt idx="16">
                  <c:v>0.71274204863226309</c:v>
                </c:pt>
                <c:pt idx="17">
                  <c:v>0.62806587286353444</c:v>
                </c:pt>
                <c:pt idx="18">
                  <c:v>0.40619638082711884</c:v>
                </c:pt>
                <c:pt idx="19">
                  <c:v>0.57148914655100658</c:v>
                </c:pt>
                <c:pt idx="20">
                  <c:v>0.43495424299107827</c:v>
                </c:pt>
                <c:pt idx="21">
                  <c:v>0.57202565424930651</c:v>
                </c:pt>
                <c:pt idx="22">
                  <c:v>0.3378416901944491</c:v>
                </c:pt>
                <c:pt idx="23">
                  <c:v>0.44998898891795408</c:v>
                </c:pt>
                <c:pt idx="24">
                  <c:v>0.58009423316251518</c:v>
                </c:pt>
                <c:pt idx="25">
                  <c:v>0.79032952334626883</c:v>
                </c:pt>
                <c:pt idx="26">
                  <c:v>0.61766137646797348</c:v>
                </c:pt>
                <c:pt idx="27">
                  <c:v>0.70127420637688009</c:v>
                </c:pt>
                <c:pt idx="28">
                  <c:v>0.40623237846880111</c:v>
                </c:pt>
                <c:pt idx="29">
                  <c:v>0.47313863855855243</c:v>
                </c:pt>
                <c:pt idx="30">
                  <c:v>0.26253308473129594</c:v>
                </c:pt>
                <c:pt idx="31">
                  <c:v>0.29981257510196563</c:v>
                </c:pt>
                <c:pt idx="32">
                  <c:v>0.32304084172444758</c:v>
                </c:pt>
                <c:pt idx="33">
                  <c:v>0.3712364419145765</c:v>
                </c:pt>
                <c:pt idx="34">
                  <c:v>0.48534754126176749</c:v>
                </c:pt>
                <c:pt idx="35">
                  <c:v>0.61677925445430315</c:v>
                </c:pt>
                <c:pt idx="36">
                  <c:v>0.62454874345916844</c:v>
                </c:pt>
                <c:pt idx="37">
                  <c:v>0.86686344281646921</c:v>
                </c:pt>
                <c:pt idx="38">
                  <c:v>0.98724408759269555</c:v>
                </c:pt>
                <c:pt idx="39">
                  <c:v>0.8943263210753416</c:v>
                </c:pt>
                <c:pt idx="40">
                  <c:v>0.98375131333495225</c:v>
                </c:pt>
                <c:pt idx="41">
                  <c:v>0.73695819684422281</c:v>
                </c:pt>
                <c:pt idx="42">
                  <c:v>0.67417435318629793</c:v>
                </c:pt>
                <c:pt idx="43">
                  <c:v>0.78368025615119818</c:v>
                </c:pt>
                <c:pt idx="44">
                  <c:v>1.1023577865828893</c:v>
                </c:pt>
                <c:pt idx="45">
                  <c:v>1.0893795910029012</c:v>
                </c:pt>
                <c:pt idx="46">
                  <c:v>1.4158078637080156</c:v>
                </c:pt>
                <c:pt idx="47">
                  <c:v>1.4306206427165564</c:v>
                </c:pt>
                <c:pt idx="48">
                  <c:v>1.3044920029859601</c:v>
                </c:pt>
                <c:pt idx="49">
                  <c:v>1.2407383855848999</c:v>
                </c:pt>
                <c:pt idx="50">
                  <c:v>1.2503851656650007</c:v>
                </c:pt>
                <c:pt idx="51">
                  <c:v>1.1993356815621157</c:v>
                </c:pt>
                <c:pt idx="52">
                  <c:v>0.89850743238904984</c:v>
                </c:pt>
                <c:pt idx="53">
                  <c:v>0.88315676316461567</c:v>
                </c:pt>
                <c:pt idx="54">
                  <c:v>0.70718198203527616</c:v>
                </c:pt>
                <c:pt idx="55">
                  <c:v>0.65707102001366546</c:v>
                </c:pt>
                <c:pt idx="56">
                  <c:v>0.68048043190276153</c:v>
                </c:pt>
                <c:pt idx="57">
                  <c:v>0.7438456276059997</c:v>
                </c:pt>
                <c:pt idx="58">
                  <c:v>0.82526250747755836</c:v>
                </c:pt>
                <c:pt idx="59">
                  <c:v>0.8967004166397462</c:v>
                </c:pt>
                <c:pt idx="60">
                  <c:v>0.83391862784991411</c:v>
                </c:pt>
                <c:pt idx="61">
                  <c:v>0.74368259165299211</c:v>
                </c:pt>
                <c:pt idx="62">
                  <c:v>0.81317805367744267</c:v>
                </c:pt>
                <c:pt idx="63">
                  <c:v>0.78657458365546506</c:v>
                </c:pt>
                <c:pt idx="64">
                  <c:v>0.90031071494481607</c:v>
                </c:pt>
                <c:pt idx="65">
                  <c:v>0.890447676920604</c:v>
                </c:pt>
                <c:pt idx="66">
                  <c:v>0.99470713760432727</c:v>
                </c:pt>
                <c:pt idx="67">
                  <c:v>0.98635495135144913</c:v>
                </c:pt>
                <c:pt idx="68">
                  <c:v>0.93714722796496497</c:v>
                </c:pt>
                <c:pt idx="69">
                  <c:v>1.2795008345814907</c:v>
                </c:pt>
                <c:pt idx="70">
                  <c:v>1.0478679644047522</c:v>
                </c:pt>
                <c:pt idx="71">
                  <c:v>1.0308490135288244</c:v>
                </c:pt>
                <c:pt idx="72">
                  <c:v>0.27912449197264533</c:v>
                </c:pt>
                <c:pt idx="73">
                  <c:v>0.19932190138082159</c:v>
                </c:pt>
                <c:pt idx="74">
                  <c:v>0.4369455686724667</c:v>
                </c:pt>
                <c:pt idx="75">
                  <c:v>0.78934343573748933</c:v>
                </c:pt>
                <c:pt idx="76">
                  <c:v>1.2856372682269122</c:v>
                </c:pt>
                <c:pt idx="77">
                  <c:v>1.4236850145830195</c:v>
                </c:pt>
                <c:pt idx="78">
                  <c:v>1.3391403998672442</c:v>
                </c:pt>
                <c:pt idx="79">
                  <c:v>1.4566087163481958</c:v>
                </c:pt>
                <c:pt idx="80">
                  <c:v>1.441674777648756</c:v>
                </c:pt>
                <c:pt idx="81">
                  <c:v>1.6092891589590823</c:v>
                </c:pt>
                <c:pt idx="82">
                  <c:v>2.0025659067511907</c:v>
                </c:pt>
                <c:pt idx="83">
                  <c:v>1.9295198088208161</c:v>
                </c:pt>
                <c:pt idx="84">
                  <c:v>1.9945174727097079</c:v>
                </c:pt>
                <c:pt idx="85">
                  <c:v>1.745908359055423</c:v>
                </c:pt>
                <c:pt idx="86">
                  <c:v>1.4311040678476132</c:v>
                </c:pt>
                <c:pt idx="87">
                  <c:v>0.73166497563040978</c:v>
                </c:pt>
                <c:pt idx="88">
                  <c:v>0.86750698892579881</c:v>
                </c:pt>
                <c:pt idx="89">
                  <c:v>0.87010941793754804</c:v>
                </c:pt>
                <c:pt idx="90">
                  <c:v>0.25359353278311225</c:v>
                </c:pt>
                <c:pt idx="91">
                  <c:v>0.47140156792459942</c:v>
                </c:pt>
                <c:pt idx="92">
                  <c:v>0.3600695130754632</c:v>
                </c:pt>
                <c:pt idx="93">
                  <c:v>0.35196347132490274</c:v>
                </c:pt>
                <c:pt idx="94">
                  <c:v>0.24259778742179505</c:v>
                </c:pt>
                <c:pt idx="95">
                  <c:v>0.28524900726120617</c:v>
                </c:pt>
                <c:pt idx="96">
                  <c:v>0.30177426294337867</c:v>
                </c:pt>
                <c:pt idx="97">
                  <c:v>0.32889948290513005</c:v>
                </c:pt>
                <c:pt idx="98">
                  <c:v>0.34795301200480183</c:v>
                </c:pt>
                <c:pt idx="99">
                  <c:v>0.30510063060021725</c:v>
                </c:pt>
                <c:pt idx="100">
                  <c:v>0.245630905593448</c:v>
                </c:pt>
                <c:pt idx="101">
                  <c:v>0.69333624579398545</c:v>
                </c:pt>
                <c:pt idx="102">
                  <c:v>0.71835475678814142</c:v>
                </c:pt>
                <c:pt idx="103">
                  <c:v>0.73710182323136109</c:v>
                </c:pt>
                <c:pt idx="104">
                  <c:v>0.80951785688778699</c:v>
                </c:pt>
                <c:pt idx="105">
                  <c:v>0.78701926774413455</c:v>
                </c:pt>
                <c:pt idx="106">
                  <c:v>0.77762404179248967</c:v>
                </c:pt>
                <c:pt idx="107">
                  <c:v>1.18641896235341</c:v>
                </c:pt>
                <c:pt idx="108">
                  <c:v>1.1567934614335171</c:v>
                </c:pt>
                <c:pt idx="109">
                  <c:v>1.2960203549456255</c:v>
                </c:pt>
                <c:pt idx="110">
                  <c:v>1.2668585127247889</c:v>
                </c:pt>
                <c:pt idx="111">
                  <c:v>1.3241405122063477</c:v>
                </c:pt>
                <c:pt idx="112">
                  <c:v>1.260993934298944</c:v>
                </c:pt>
                <c:pt idx="113">
                  <c:v>1.2461645428133552</c:v>
                </c:pt>
                <c:pt idx="114">
                  <c:v>1.2127977871035107</c:v>
                </c:pt>
                <c:pt idx="115">
                  <c:v>1.6569905733275496</c:v>
                </c:pt>
                <c:pt idx="116">
                  <c:v>1.7060679002431458</c:v>
                </c:pt>
                <c:pt idx="117">
                  <c:v>1.7776963739336535</c:v>
                </c:pt>
                <c:pt idx="118">
                  <c:v>1.6492519337367679</c:v>
                </c:pt>
                <c:pt idx="119">
                  <c:v>1.5316964493342111</c:v>
                </c:pt>
                <c:pt idx="120">
                  <c:v>1.3139606073827932</c:v>
                </c:pt>
                <c:pt idx="121">
                  <c:v>1.2597101467141805</c:v>
                </c:pt>
                <c:pt idx="122">
                  <c:v>1.7936318337985209</c:v>
                </c:pt>
                <c:pt idx="123">
                  <c:v>1.8017650874137952</c:v>
                </c:pt>
                <c:pt idx="124">
                  <c:v>1.5231887155903783</c:v>
                </c:pt>
                <c:pt idx="125">
                  <c:v>1.3521859286219238</c:v>
                </c:pt>
                <c:pt idx="126">
                  <c:v>1.5544700551588702</c:v>
                </c:pt>
                <c:pt idx="127">
                  <c:v>1.6008809161291366</c:v>
                </c:pt>
                <c:pt idx="128">
                  <c:v>1.5721221363527316</c:v>
                </c:pt>
                <c:pt idx="129">
                  <c:v>1.4562955536223421</c:v>
                </c:pt>
                <c:pt idx="130">
                  <c:v>1.5795004965780068</c:v>
                </c:pt>
                <c:pt idx="131">
                  <c:v>1.4632281292223659</c:v>
                </c:pt>
                <c:pt idx="132">
                  <c:v>1.5329890995047668</c:v>
                </c:pt>
                <c:pt idx="133">
                  <c:v>1.5620319523316579</c:v>
                </c:pt>
                <c:pt idx="134">
                  <c:v>2.8489829715827257</c:v>
                </c:pt>
                <c:pt idx="135">
                  <c:v>2.9481923432395063</c:v>
                </c:pt>
                <c:pt idx="136">
                  <c:v>2.9340894939734548</c:v>
                </c:pt>
                <c:pt idx="137">
                  <c:v>2.8957465691390434</c:v>
                </c:pt>
                <c:pt idx="138">
                  <c:v>3.0197092774970709</c:v>
                </c:pt>
                <c:pt idx="139">
                  <c:v>2.9699831931836118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A3-433D-A9F8-C8EF47EC529E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0.12837688020966961</c:v>
                </c:pt>
                <c:pt idx="2">
                  <c:v>0.41288937790017155</c:v>
                </c:pt>
                <c:pt idx="3">
                  <c:v>0.48821587173187825</c:v>
                </c:pt>
                <c:pt idx="4">
                  <c:v>0.71782292359004207</c:v>
                </c:pt>
                <c:pt idx="5">
                  <c:v>0.75367872024499871</c:v>
                </c:pt>
                <c:pt idx="6">
                  <c:v>0.77060580942574253</c:v>
                </c:pt>
                <c:pt idx="7">
                  <c:v>0.77464153436500216</c:v>
                </c:pt>
                <c:pt idx="8">
                  <c:v>0.82837453103323622</c:v>
                </c:pt>
                <c:pt idx="9">
                  <c:v>0.85667296715566388</c:v>
                </c:pt>
                <c:pt idx="10">
                  <c:v>0.63888729411792244</c:v>
                </c:pt>
                <c:pt idx="11">
                  <c:v>0.69946541403939699</c:v>
                </c:pt>
                <c:pt idx="12">
                  <c:v>0.73611420477894074</c:v>
                </c:pt>
                <c:pt idx="13">
                  <c:v>0.73785049364328792</c:v>
                </c:pt>
                <c:pt idx="14">
                  <c:v>0.73500335804089068</c:v>
                </c:pt>
                <c:pt idx="15">
                  <c:v>0.48930598726163099</c:v>
                </c:pt>
                <c:pt idx="16">
                  <c:v>0.5901147825492784</c:v>
                </c:pt>
                <c:pt idx="17">
                  <c:v>0.30229817902979061</c:v>
                </c:pt>
                <c:pt idx="18">
                  <c:v>-0.11356302302788357</c:v>
                </c:pt>
                <c:pt idx="19">
                  <c:v>2.9772936889672363E-3</c:v>
                </c:pt>
                <c:pt idx="20">
                  <c:v>-0.63995623491669218</c:v>
                </c:pt>
                <c:pt idx="21">
                  <c:v>-0.52193380241068832</c:v>
                </c:pt>
                <c:pt idx="22">
                  <c:v>-0.51245678748427126</c:v>
                </c:pt>
                <c:pt idx="23">
                  <c:v>-0.43303308323501866</c:v>
                </c:pt>
                <c:pt idx="24">
                  <c:v>-0.14801291583732185</c:v>
                </c:pt>
                <c:pt idx="25">
                  <c:v>0.20092444036507856</c:v>
                </c:pt>
                <c:pt idx="26">
                  <c:v>-0.27325884316621096</c:v>
                </c:pt>
                <c:pt idx="27">
                  <c:v>-0.16080716718292096</c:v>
                </c:pt>
                <c:pt idx="28">
                  <c:v>-0.10918709692412884</c:v>
                </c:pt>
                <c:pt idx="29">
                  <c:v>-8.6665086889338341E-2</c:v>
                </c:pt>
                <c:pt idx="30">
                  <c:v>-0.5758815468939561</c:v>
                </c:pt>
                <c:pt idx="31">
                  <c:v>-0.64449534635535377</c:v>
                </c:pt>
                <c:pt idx="32">
                  <c:v>-0.65330367745378104</c:v>
                </c:pt>
                <c:pt idx="33">
                  <c:v>-0.73419492145315646</c:v>
                </c:pt>
                <c:pt idx="34">
                  <c:v>-0.64931096838496416</c:v>
                </c:pt>
                <c:pt idx="35">
                  <c:v>-0.70398790387559951</c:v>
                </c:pt>
                <c:pt idx="36">
                  <c:v>-0.72290718529612619</c:v>
                </c:pt>
                <c:pt idx="37">
                  <c:v>-0.50171772015069482</c:v>
                </c:pt>
                <c:pt idx="38">
                  <c:v>-0.43562760832170477</c:v>
                </c:pt>
                <c:pt idx="39">
                  <c:v>-0.4584793238108012</c:v>
                </c:pt>
                <c:pt idx="40">
                  <c:v>-0.41140235097655553</c:v>
                </c:pt>
                <c:pt idx="41">
                  <c:v>-0.63972284396432699</c:v>
                </c:pt>
                <c:pt idx="42">
                  <c:v>-0.69923697149673469</c:v>
                </c:pt>
                <c:pt idx="43">
                  <c:v>-0.54846799157105386</c:v>
                </c:pt>
                <c:pt idx="44">
                  <c:v>-7.1413804328651576E-2</c:v>
                </c:pt>
                <c:pt idx="45">
                  <c:v>-0.15856575651554747</c:v>
                </c:pt>
                <c:pt idx="46">
                  <c:v>-3.8262833108699268E-2</c:v>
                </c:pt>
                <c:pt idx="47">
                  <c:v>-0.14975417002491476</c:v>
                </c:pt>
                <c:pt idx="48">
                  <c:v>-0.26776954889835497</c:v>
                </c:pt>
                <c:pt idx="49">
                  <c:v>-0.22990247529868979</c:v>
                </c:pt>
                <c:pt idx="50">
                  <c:v>-0.28369720738332294</c:v>
                </c:pt>
                <c:pt idx="51">
                  <c:v>-0.36985624077865775</c:v>
                </c:pt>
                <c:pt idx="52">
                  <c:v>-1.1730722538230351</c:v>
                </c:pt>
                <c:pt idx="53">
                  <c:v>-1.0005021151096949</c:v>
                </c:pt>
                <c:pt idx="54">
                  <c:v>-1.1899911106679602</c:v>
                </c:pt>
                <c:pt idx="55">
                  <c:v>-1.2700030609404946</c:v>
                </c:pt>
                <c:pt idx="56">
                  <c:v>-1.0933795252611778</c:v>
                </c:pt>
                <c:pt idx="57">
                  <c:v>-0.94570596000945806</c:v>
                </c:pt>
                <c:pt idx="58">
                  <c:v>-0.80549203125081348</c:v>
                </c:pt>
                <c:pt idx="59">
                  <c:v>-0.87064612643059935</c:v>
                </c:pt>
                <c:pt idx="60">
                  <c:v>-0.86662257953631316</c:v>
                </c:pt>
                <c:pt idx="61">
                  <c:v>-0.897521191055487</c:v>
                </c:pt>
                <c:pt idx="62">
                  <c:v>-0.98230413089447521</c:v>
                </c:pt>
                <c:pt idx="63">
                  <c:v>-1.0021942893736948</c:v>
                </c:pt>
                <c:pt idx="64">
                  <c:v>-0.79411795714257227</c:v>
                </c:pt>
                <c:pt idx="65">
                  <c:v>-0.76232385281268245</c:v>
                </c:pt>
                <c:pt idx="66">
                  <c:v>-0.8264934861427975</c:v>
                </c:pt>
                <c:pt idx="67">
                  <c:v>-0.8167940890540839</c:v>
                </c:pt>
                <c:pt idx="68">
                  <c:v>-0.81807880653854081</c:v>
                </c:pt>
                <c:pt idx="69">
                  <c:v>-0.51861436319527754</c:v>
                </c:pt>
                <c:pt idx="70">
                  <c:v>-0.52736285551012296</c:v>
                </c:pt>
                <c:pt idx="71">
                  <c:v>-0.73066700734057333</c:v>
                </c:pt>
                <c:pt idx="72">
                  <c:v>-1.8396790773779355</c:v>
                </c:pt>
                <c:pt idx="73">
                  <c:v>-1.9071137987619258</c:v>
                </c:pt>
                <c:pt idx="74">
                  <c:v>-1.9325455733541228</c:v>
                </c:pt>
                <c:pt idx="75">
                  <c:v>-1.1185875466116011</c:v>
                </c:pt>
                <c:pt idx="76">
                  <c:v>-1.033235407824368</c:v>
                </c:pt>
                <c:pt idx="77">
                  <c:v>-1.0973624909804101</c:v>
                </c:pt>
                <c:pt idx="78">
                  <c:v>-1.2798323708679717</c:v>
                </c:pt>
                <c:pt idx="79">
                  <c:v>-1.2613890201172027</c:v>
                </c:pt>
                <c:pt idx="80">
                  <c:v>-1.3163937474195553</c:v>
                </c:pt>
                <c:pt idx="81">
                  <c:v>-1.1995783527869623</c:v>
                </c:pt>
                <c:pt idx="82">
                  <c:v>-0.55899371891434413</c:v>
                </c:pt>
                <c:pt idx="83">
                  <c:v>-0.66026864669365459</c:v>
                </c:pt>
                <c:pt idx="84">
                  <c:v>-0.61319602198864953</c:v>
                </c:pt>
                <c:pt idx="85">
                  <c:v>-1.0219544026157255</c:v>
                </c:pt>
                <c:pt idx="86">
                  <c:v>-1.0131670266187225</c:v>
                </c:pt>
                <c:pt idx="87">
                  <c:v>-1.8009390329708328</c:v>
                </c:pt>
                <c:pt idx="88">
                  <c:v>-1.4845664680561228</c:v>
                </c:pt>
                <c:pt idx="89">
                  <c:v>-1.575115125031306</c:v>
                </c:pt>
                <c:pt idx="90">
                  <c:v>-1.7669535389451692</c:v>
                </c:pt>
                <c:pt idx="91">
                  <c:v>-1.5014946032780985</c:v>
                </c:pt>
                <c:pt idx="92">
                  <c:v>-1.6324218014783263</c:v>
                </c:pt>
                <c:pt idx="93">
                  <c:v>-1.8649998222531348</c:v>
                </c:pt>
                <c:pt idx="94">
                  <c:v>-2.0956779848235989</c:v>
                </c:pt>
                <c:pt idx="95">
                  <c:v>-2.0052816204198884</c:v>
                </c:pt>
                <c:pt idx="96">
                  <c:v>-2.1517372640253463</c:v>
                </c:pt>
                <c:pt idx="97">
                  <c:v>-2.0379325015848568</c:v>
                </c:pt>
                <c:pt idx="98">
                  <c:v>-1.742209440104465</c:v>
                </c:pt>
                <c:pt idx="99">
                  <c:v>-1.5952730210118946</c:v>
                </c:pt>
                <c:pt idx="100">
                  <c:v>-1.5567568899496633</c:v>
                </c:pt>
                <c:pt idx="101">
                  <c:v>-1.2104436757924728</c:v>
                </c:pt>
                <c:pt idx="102">
                  <c:v>-1.1764640907000194</c:v>
                </c:pt>
                <c:pt idx="103">
                  <c:v>-1.1929659565490158</c:v>
                </c:pt>
                <c:pt idx="104">
                  <c:v>-1.0134128413096677</c:v>
                </c:pt>
                <c:pt idx="105">
                  <c:v>-1.0157797063199339</c:v>
                </c:pt>
                <c:pt idx="106">
                  <c:v>-1.1918424638294689</c:v>
                </c:pt>
                <c:pt idx="107">
                  <c:v>-0.66625745768497091</c:v>
                </c:pt>
                <c:pt idx="108">
                  <c:v>-0.78580274408510364</c:v>
                </c:pt>
                <c:pt idx="109">
                  <c:v>-0.52000006809259136</c:v>
                </c:pt>
                <c:pt idx="110">
                  <c:v>-0.15522495280592558</c:v>
                </c:pt>
                <c:pt idx="111">
                  <c:v>-0.13414348164807416</c:v>
                </c:pt>
                <c:pt idx="112">
                  <c:v>-0.19762684118941748</c:v>
                </c:pt>
                <c:pt idx="113">
                  <c:v>-0.14581965381302417</c:v>
                </c:pt>
                <c:pt idx="114">
                  <c:v>-0.12001197849929708</c:v>
                </c:pt>
                <c:pt idx="115">
                  <c:v>0.54707669710269291</c:v>
                </c:pt>
                <c:pt idx="116">
                  <c:v>0.58797098656003355</c:v>
                </c:pt>
                <c:pt idx="117">
                  <c:v>0.46186122244672495</c:v>
                </c:pt>
                <c:pt idx="118">
                  <c:v>0.33203879011198306</c:v>
                </c:pt>
                <c:pt idx="119">
                  <c:v>-2.1834886237811713E-2</c:v>
                </c:pt>
                <c:pt idx="120">
                  <c:v>-0.54166356609542088</c:v>
                </c:pt>
                <c:pt idx="121">
                  <c:v>-0.6163969113614256</c:v>
                </c:pt>
                <c:pt idx="122">
                  <c:v>0.13454144944877622</c:v>
                </c:pt>
                <c:pt idx="123">
                  <c:v>0.23258828425140207</c:v>
                </c:pt>
                <c:pt idx="124">
                  <c:v>-0.15077495669380384</c:v>
                </c:pt>
                <c:pt idx="125">
                  <c:v>-0.32451228714188307</c:v>
                </c:pt>
                <c:pt idx="126">
                  <c:v>-0.32775216375042604</c:v>
                </c:pt>
                <c:pt idx="127">
                  <c:v>-0.40986085564922914</c:v>
                </c:pt>
                <c:pt idx="128">
                  <c:v>-0.46478103949073174</c:v>
                </c:pt>
                <c:pt idx="129">
                  <c:v>-0.57400981186353806</c:v>
                </c:pt>
                <c:pt idx="130">
                  <c:v>-0.31735843190001167</c:v>
                </c:pt>
                <c:pt idx="131">
                  <c:v>-0.4321075334026141</c:v>
                </c:pt>
                <c:pt idx="132">
                  <c:v>-0.31867809421139531</c:v>
                </c:pt>
                <c:pt idx="133">
                  <c:v>-0.3859547712553637</c:v>
                </c:pt>
                <c:pt idx="134">
                  <c:v>1.9294065091133212</c:v>
                </c:pt>
                <c:pt idx="135">
                  <c:v>2.1347920878058351</c:v>
                </c:pt>
                <c:pt idx="136">
                  <c:v>2.023047806784402</c:v>
                </c:pt>
                <c:pt idx="137">
                  <c:v>2.0297737888600791</c:v>
                </c:pt>
                <c:pt idx="138">
                  <c:v>2.1696863954134402</c:v>
                </c:pt>
                <c:pt idx="139">
                  <c:v>1.9130949100316903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A3-433D-A9F8-C8EF47EC529E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A3-433D-A9F8-C8EF47EC5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M12" sqref="EM12:EM24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2.1384622901678089E-2</v>
      </c>
      <c r="D3" s="2">
        <v>6.2085315585136414E-3</v>
      </c>
      <c r="E3" s="2">
        <v>3.5493887960910797E-2</v>
      </c>
      <c r="F3" s="2">
        <v>2.6995036751031879E-2</v>
      </c>
      <c r="G3" s="2">
        <v>1.9322143867611889E-2</v>
      </c>
      <c r="H3" s="2">
        <v>-4.8867595614865422E-4</v>
      </c>
      <c r="I3" s="2">
        <v>2.2219710052013401E-2</v>
      </c>
      <c r="J3" s="2">
        <v>8.1882821395993233E-3</v>
      </c>
      <c r="K3" s="2">
        <v>3.7730719894170761E-2</v>
      </c>
      <c r="L3" s="2">
        <v>8.0356046557426453E-2</v>
      </c>
      <c r="M3" s="2">
        <v>3.820226714015007E-2</v>
      </c>
      <c r="N3" s="2">
        <v>3.3819951117038727E-2</v>
      </c>
      <c r="O3" s="2">
        <v>2.6821058243513111E-2</v>
      </c>
      <c r="P3" s="2">
        <v>4.8989016562700272E-2</v>
      </c>
      <c r="Q3" s="2">
        <v>5.1116403192281723E-2</v>
      </c>
      <c r="R3" s="2">
        <v>2.8836483135819439E-2</v>
      </c>
      <c r="S3" s="2">
        <v>-1.1045613326132299E-2</v>
      </c>
      <c r="T3" s="2">
        <v>-5.4997783154249191E-3</v>
      </c>
      <c r="U3" s="2">
        <v>1.916555501520634E-2</v>
      </c>
      <c r="V3" s="2">
        <v>-2.3617833852767941E-2</v>
      </c>
      <c r="W3" s="2">
        <v>1.6766401007771489E-2</v>
      </c>
      <c r="X3" s="2">
        <v>6.8642176687717438E-2</v>
      </c>
      <c r="Y3" s="2">
        <v>3.7944957613945007E-2</v>
      </c>
      <c r="Z3" s="2">
        <v>2.6601735502481461E-2</v>
      </c>
      <c r="AA3" s="2">
        <v>-1.044304668903351E-2</v>
      </c>
      <c r="AB3" s="2">
        <v>6.0451116412878043E-2</v>
      </c>
      <c r="AC3" s="2">
        <v>1.2645645998418329E-2</v>
      </c>
      <c r="AD3" s="2">
        <v>3.1133845448493961E-2</v>
      </c>
      <c r="AE3" s="2">
        <v>3.1886115670204163E-2</v>
      </c>
      <c r="AF3" s="2">
        <v>6.3942134380340576E-2</v>
      </c>
      <c r="AG3" s="2">
        <v>-1.074034254997969E-2</v>
      </c>
      <c r="AH3" s="2">
        <v>1.93442776799202E-2</v>
      </c>
      <c r="AI3" s="2">
        <v>4.4364981353282928E-2</v>
      </c>
      <c r="AJ3" s="2">
        <v>5.9207383543252938E-2</v>
      </c>
      <c r="AK3" s="2">
        <v>3.8927238434553153E-2</v>
      </c>
      <c r="AL3" s="2">
        <v>5.3689334541559219E-2</v>
      </c>
      <c r="AM3" s="2">
        <v>5.2407745271921158E-2</v>
      </c>
      <c r="AN3" s="2">
        <v>5.1848378032445908E-2</v>
      </c>
      <c r="AO3" s="2">
        <v>5.6688833981752403E-2</v>
      </c>
      <c r="AP3" s="2">
        <v>7.7263422310352325E-2</v>
      </c>
      <c r="AQ3" s="2">
        <v>4.8698432743549347E-2</v>
      </c>
      <c r="AR3" s="2">
        <v>3.1827423721551902E-2</v>
      </c>
      <c r="AS3" s="2">
        <v>-5.3263027220964432E-3</v>
      </c>
      <c r="AT3" s="2">
        <v>6.8274345248937607E-3</v>
      </c>
      <c r="AU3" s="2">
        <v>2.8391312807798389E-2</v>
      </c>
      <c r="AV3" s="2">
        <v>6.589217483997345E-2</v>
      </c>
      <c r="AW3" s="2">
        <v>3.1806275248527527E-2</v>
      </c>
      <c r="AX3" s="2">
        <v>2.3136453703045849E-2</v>
      </c>
      <c r="AY3" s="2">
        <v>1.720385625958443E-2</v>
      </c>
      <c r="AZ3" s="2">
        <v>4.8162486404180527E-2</v>
      </c>
      <c r="BA3" s="2">
        <v>4.5020870864391327E-2</v>
      </c>
      <c r="BB3" s="2">
        <v>5.8584816753864288E-2</v>
      </c>
      <c r="BC3" s="2">
        <v>3.2960090786218643E-2</v>
      </c>
      <c r="BD3" s="2">
        <v>1.4948392286896711E-2</v>
      </c>
      <c r="BE3" s="2">
        <v>1.206005364656448E-2</v>
      </c>
      <c r="BF3" s="2">
        <v>4.1460148990154273E-2</v>
      </c>
      <c r="BG3" s="2">
        <v>2.717349678277969E-2</v>
      </c>
      <c r="BH3" s="2">
        <v>4.8242643475532532E-2</v>
      </c>
      <c r="BI3" s="2">
        <v>5.7555802166461938E-2</v>
      </c>
      <c r="BJ3" s="2">
        <v>5.4008647799491882E-2</v>
      </c>
      <c r="BK3" s="2">
        <v>5.9487193822860718E-2</v>
      </c>
      <c r="BL3" s="2">
        <v>4.4882841408252723E-2</v>
      </c>
      <c r="BM3" s="2">
        <v>1.869392208755016E-2</v>
      </c>
      <c r="BN3" s="2">
        <v>2.8275258839130402E-2</v>
      </c>
      <c r="BO3" s="2">
        <v>1.656997017562389E-2</v>
      </c>
      <c r="BP3" s="2">
        <v>3.0568450689315799E-2</v>
      </c>
      <c r="BQ3" s="2">
        <v>3.1830046325922012E-2</v>
      </c>
      <c r="BR3" s="2">
        <v>2.2769121453166011E-2</v>
      </c>
      <c r="BS3" s="2">
        <v>2.8570586815476421E-2</v>
      </c>
      <c r="BT3" s="2">
        <v>3.9114817976951599E-2</v>
      </c>
      <c r="BU3" s="2">
        <v>8.9526018127799034E-3</v>
      </c>
      <c r="BV3" s="2">
        <v>1.219893246889114E-2</v>
      </c>
      <c r="BW3" s="2">
        <v>2.1470315754413601E-2</v>
      </c>
      <c r="BX3" s="2">
        <v>2.493099682033062E-2</v>
      </c>
      <c r="BY3" s="2">
        <v>1.2077592313289641E-2</v>
      </c>
      <c r="BZ3" s="2">
        <v>3.645806759595871E-2</v>
      </c>
      <c r="CA3" s="2">
        <v>1.6028642654418949E-2</v>
      </c>
      <c r="CB3" s="2">
        <v>2.7871729806065559E-2</v>
      </c>
      <c r="CC3" s="2">
        <v>-1.566923339851201E-3</v>
      </c>
      <c r="CD3" s="2">
        <v>6.1749620363116256E-3</v>
      </c>
      <c r="CE3" s="2">
        <v>6.4363791607320309E-3</v>
      </c>
      <c r="CF3" s="2">
        <v>6.619059294462204E-2</v>
      </c>
      <c r="CG3" s="2">
        <v>2.8865136206150051E-2</v>
      </c>
      <c r="CH3" s="2">
        <v>5.1061570644378662E-2</v>
      </c>
      <c r="CI3" s="2">
        <v>5.7563208043575287E-2</v>
      </c>
      <c r="CJ3" s="2">
        <v>8.8996067643165588E-2</v>
      </c>
      <c r="CK3" s="2">
        <v>2.3406891152262691E-2</v>
      </c>
      <c r="CL3" s="2">
        <v>3.9076175540685647E-2</v>
      </c>
      <c r="CM3" s="2">
        <v>4.4518075883388519E-2</v>
      </c>
      <c r="CN3" s="2">
        <v>0.11028569936752319</v>
      </c>
      <c r="CO3" s="2">
        <v>3.7435531616210938E-2</v>
      </c>
      <c r="CP3" s="2">
        <v>1.222133636474609E-2</v>
      </c>
      <c r="CQ3" s="2">
        <v>2.380294352769852E-2</v>
      </c>
      <c r="CR3" s="2">
        <v>7.6876550912857056E-2</v>
      </c>
      <c r="CS3" s="2">
        <v>0.10389680415391921</v>
      </c>
      <c r="CT3" s="2">
        <v>6.6643297672271729E-2</v>
      </c>
      <c r="CU3" s="2">
        <v>4.6993248164653778E-2</v>
      </c>
      <c r="CV3" s="2">
        <v>2.871822752058506E-2</v>
      </c>
      <c r="CW3" s="2">
        <v>7.0636175572872162E-2</v>
      </c>
      <c r="CX3" s="2">
        <v>4.5363247394561768E-2</v>
      </c>
      <c r="CY3" s="2">
        <v>6.0462243854999542E-2</v>
      </c>
      <c r="CZ3" s="2">
        <v>6.0128804296255112E-2</v>
      </c>
      <c r="DA3" s="2">
        <v>4.1078437119722373E-2</v>
      </c>
      <c r="DB3" s="2">
        <v>2.6134224608540532E-2</v>
      </c>
      <c r="DC3" s="2">
        <v>4.5154552906751633E-2</v>
      </c>
      <c r="DD3" s="2">
        <v>4.1204877197742462E-2</v>
      </c>
      <c r="DE3" s="2">
        <v>7.9255074262619019E-2</v>
      </c>
      <c r="DF3" s="2">
        <v>3.7982180714607239E-2</v>
      </c>
      <c r="DG3" s="2">
        <v>1.8428875133395198E-2</v>
      </c>
      <c r="DH3" s="2">
        <v>3.6969806998968117E-2</v>
      </c>
      <c r="DI3" s="2">
        <v>1.331676170229912E-2</v>
      </c>
      <c r="DJ3" s="2">
        <v>1.356823276728392E-2</v>
      </c>
      <c r="DK3" s="2">
        <v>1.8075281754136089E-2</v>
      </c>
      <c r="DL3" s="2">
        <v>1.831196807324886E-2</v>
      </c>
      <c r="DM3" s="2">
        <v>-5.2976803854107857E-3</v>
      </c>
      <c r="DN3" s="2">
        <v>3.1424559652805328E-2</v>
      </c>
      <c r="DO3" s="2">
        <v>-5.9854225255548954E-3</v>
      </c>
      <c r="DP3" s="2">
        <v>3.073384054005146E-2</v>
      </c>
      <c r="DQ3" s="2">
        <v>3.8263808935880661E-2</v>
      </c>
      <c r="DR3" s="2">
        <v>5.8564659208059311E-2</v>
      </c>
      <c r="DS3" s="2">
        <v>3.6518916487693787E-2</v>
      </c>
      <c r="DT3" s="2">
        <v>2.9084345325827599E-2</v>
      </c>
      <c r="DU3" s="2">
        <v>9.2715034261345863E-3</v>
      </c>
      <c r="DV3" s="2">
        <v>-2.876596711575985E-2</v>
      </c>
      <c r="DW3" s="2">
        <v>6.1656545847654343E-2</v>
      </c>
      <c r="DX3" s="2">
        <v>3.319497918710113E-3</v>
      </c>
      <c r="DY3" s="2">
        <v>1.3810926117002961E-2</v>
      </c>
      <c r="DZ3" s="2">
        <v>-3.2365705817937851E-2</v>
      </c>
      <c r="EA3" s="2">
        <v>2.656497759744525E-3</v>
      </c>
      <c r="EB3" s="2">
        <v>5.3087126463651657E-2</v>
      </c>
      <c r="EC3" s="2">
        <v>7.0435956120491028E-2</v>
      </c>
      <c r="ED3" s="2">
        <v>7.5781151652336121E-2</v>
      </c>
      <c r="EE3" s="2">
        <v>7.4293278157711029E-2</v>
      </c>
      <c r="EF3" s="2">
        <v>-2.3859791457653049E-2</v>
      </c>
      <c r="EG3" s="2">
        <v>2.0955521613359451E-2</v>
      </c>
      <c r="EH3" s="2">
        <v>-4.9046785570681104E-3</v>
      </c>
      <c r="EI3" s="2">
        <v>1.7493529245257381E-2</v>
      </c>
      <c r="EJ3" s="2">
        <v>2.7235755696892738E-3</v>
      </c>
      <c r="EK3" s="2">
        <v>2.5114959571510549E-3</v>
      </c>
      <c r="EL3" s="2">
        <v>-3.6372389644384377E-2</v>
      </c>
      <c r="EM3" s="2">
        <v>-3.071239218115807E-3</v>
      </c>
    </row>
    <row r="4" spans="1:145" x14ac:dyDescent="0.3">
      <c r="B4" s="6" t="s">
        <v>144</v>
      </c>
      <c r="C4" s="2">
        <v>-2.0116182044148449E-2</v>
      </c>
      <c r="D4" s="2">
        <v>-4.1433513164520257E-2</v>
      </c>
      <c r="E4" s="2">
        <v>-0.1054108068346977</v>
      </c>
      <c r="F4" s="2">
        <v>-0.14115726947784421</v>
      </c>
      <c r="G4" s="2">
        <v>-0.1358892023563385</v>
      </c>
      <c r="H4" s="2">
        <v>-3.2324142754077911E-2</v>
      </c>
      <c r="I4" s="2">
        <v>-5.608823150396347E-2</v>
      </c>
      <c r="J4" s="2">
        <v>-6.0880199074745178E-2</v>
      </c>
      <c r="K4" s="2">
        <v>-4.1457630693912513E-2</v>
      </c>
      <c r="L4" s="2">
        <v>-1.8936943262815479E-2</v>
      </c>
      <c r="M4" s="2">
        <v>-4.3679680675268173E-2</v>
      </c>
      <c r="N4" s="2">
        <v>-2.1250296384096149E-2</v>
      </c>
      <c r="O4" s="2">
        <v>3.028000239282846E-3</v>
      </c>
      <c r="P4" s="2">
        <v>-5.2210021764039993E-2</v>
      </c>
      <c r="Q4" s="2">
        <v>-6.0307271778583527E-2</v>
      </c>
      <c r="R4" s="2">
        <v>-1.6635529696941379E-2</v>
      </c>
      <c r="S4" s="2">
        <v>-3.5245604813098907E-2</v>
      </c>
      <c r="T4" s="2">
        <v>-2.4626178666949269E-2</v>
      </c>
      <c r="U4" s="2">
        <v>4.8858420923352242E-3</v>
      </c>
      <c r="V4" s="2">
        <v>4.4351727701723584E-3</v>
      </c>
      <c r="W4" s="2">
        <v>2.1335095167160031E-2</v>
      </c>
      <c r="X4" s="2">
        <v>1.1508151888847349E-2</v>
      </c>
      <c r="Y4" s="2">
        <v>-3.3528175204992287E-2</v>
      </c>
      <c r="Z4" s="2">
        <v>-3.5066407173871987E-2</v>
      </c>
      <c r="AA4" s="2">
        <v>-1.8956955522298809E-2</v>
      </c>
      <c r="AB4" s="2">
        <v>-2.0634789019823071E-2</v>
      </c>
      <c r="AC4" s="2">
        <v>4.5430758036673069E-3</v>
      </c>
      <c r="AD4" s="2">
        <v>-7.8803729265928268E-3</v>
      </c>
      <c r="AE4" s="2">
        <v>-9.6710836514830589E-3</v>
      </c>
      <c r="AF4" s="2">
        <v>-3.119556233286858E-2</v>
      </c>
      <c r="AG4" s="2">
        <v>1.9589569419622421E-2</v>
      </c>
      <c r="AH4" s="2">
        <v>-2.1153058856725689E-2</v>
      </c>
      <c r="AI4" s="2">
        <v>-1.8485292792320251E-2</v>
      </c>
      <c r="AJ4" s="2">
        <v>-4.4810216873884201E-2</v>
      </c>
      <c r="AK4" s="2">
        <v>-3.8480717688798897E-2</v>
      </c>
      <c r="AL4" s="2">
        <v>-2.8241811320185661E-2</v>
      </c>
      <c r="AM4" s="2">
        <v>1.071570627391338E-2</v>
      </c>
      <c r="AN4" s="2">
        <v>-3.4469529986381531E-2</v>
      </c>
      <c r="AO4" s="2">
        <v>-2.5418078526854519E-2</v>
      </c>
      <c r="AP4" s="2">
        <v>-3.076112270355225E-2</v>
      </c>
      <c r="AQ4" s="2">
        <v>-3.7217754870653152E-2</v>
      </c>
      <c r="AR4" s="2">
        <v>-2.5028873234987259E-2</v>
      </c>
      <c r="AS4" s="2">
        <v>-2.6712249964475632E-2</v>
      </c>
      <c r="AT4" s="2">
        <v>1.9948748871684071E-2</v>
      </c>
      <c r="AU4" s="2">
        <v>-3.4190982580184943E-2</v>
      </c>
      <c r="AV4" s="2">
        <v>-1.5953699126839641E-2</v>
      </c>
      <c r="AW4" s="2">
        <v>-8.0705069005489349E-2</v>
      </c>
      <c r="AX4" s="2">
        <v>-1.6966873779892921E-2</v>
      </c>
      <c r="AY4" s="2">
        <v>-2.6864064857363701E-2</v>
      </c>
      <c r="AZ4" s="2">
        <v>-1.3301976025104519E-2</v>
      </c>
      <c r="BA4" s="2">
        <v>-2.7144066989421841E-2</v>
      </c>
      <c r="BB4" s="2">
        <v>-5.8215323835611343E-2</v>
      </c>
      <c r="BC4" s="2">
        <v>-3.1292259693145752E-2</v>
      </c>
      <c r="BD4" s="2">
        <v>-1.7290608957409859E-2</v>
      </c>
      <c r="BE4" s="2">
        <v>-4.8348080366849899E-2</v>
      </c>
      <c r="BF4" s="2">
        <v>-4.3041668832302087E-2</v>
      </c>
      <c r="BG4" s="2">
        <v>5.6051533669233322E-2</v>
      </c>
      <c r="BH4" s="2">
        <v>1.3574806973338131E-2</v>
      </c>
      <c r="BI4" s="2">
        <v>1.954366452991962E-3</v>
      </c>
      <c r="BJ4" s="2">
        <v>1.611663959920406E-2</v>
      </c>
      <c r="BK4" s="2">
        <v>-3.4451618790626533E-2</v>
      </c>
      <c r="BL4" s="2">
        <v>-4.8494916409254067E-2</v>
      </c>
      <c r="BM4" s="2">
        <v>1.8059739843010899E-2</v>
      </c>
      <c r="BN4" s="2">
        <v>-4.6812752261757851E-3</v>
      </c>
      <c r="BO4" s="2">
        <v>1.687155920080841E-3</v>
      </c>
      <c r="BP4" s="2">
        <v>3.3530544489622123E-2</v>
      </c>
      <c r="BQ4" s="2">
        <v>9.9907955154776573E-3</v>
      </c>
      <c r="BR4" s="2">
        <v>4.0667824447154999E-2</v>
      </c>
      <c r="BS4" s="2">
        <v>2.3329269140958789E-2</v>
      </c>
      <c r="BT4" s="2">
        <v>-4.4324260205030441E-2</v>
      </c>
      <c r="BU4" s="2">
        <v>-7.1650400757789612E-2</v>
      </c>
      <c r="BV4" s="2">
        <v>-1.7102757468819622E-2</v>
      </c>
      <c r="BW4" s="2">
        <v>4.0029857307672501E-2</v>
      </c>
      <c r="BX4" s="2">
        <v>1.7527525778859849E-3</v>
      </c>
      <c r="BY4" s="2">
        <v>-2.404789254069328E-2</v>
      </c>
      <c r="BZ4" s="2">
        <v>-3.7445716559886932E-2</v>
      </c>
      <c r="CA4" s="2">
        <v>-4.6248454600572593E-2</v>
      </c>
      <c r="CB4" s="2">
        <v>-9.6187498420476913E-3</v>
      </c>
      <c r="CC4" s="2">
        <v>-4.7657586634159088E-2</v>
      </c>
      <c r="CD4" s="2">
        <v>-4.3317254632711411E-2</v>
      </c>
      <c r="CE4" s="2">
        <v>-6.9234132766723633E-2</v>
      </c>
      <c r="CF4" s="2">
        <v>-3.8890421390533447E-2</v>
      </c>
      <c r="CG4" s="2">
        <v>-5.9534341096878052E-2</v>
      </c>
      <c r="CH4" s="2">
        <v>-5.0186887383460999E-2</v>
      </c>
      <c r="CI4" s="2">
        <v>-5.3663581609725952E-2</v>
      </c>
      <c r="CJ4" s="2">
        <v>-3.3301092684268951E-2</v>
      </c>
      <c r="CK4" s="2">
        <v>-2.4340655654668811E-2</v>
      </c>
      <c r="CL4" s="2">
        <v>-1.6147250309586521E-2</v>
      </c>
      <c r="CM4" s="2">
        <v>-4.1242804378271103E-2</v>
      </c>
      <c r="CN4" s="2">
        <v>-3.162054717540741E-2</v>
      </c>
      <c r="CO4" s="2">
        <v>3.3149775117635727E-2</v>
      </c>
      <c r="CP4" s="2">
        <v>6.3154622912406921E-2</v>
      </c>
      <c r="CQ4" s="2">
        <v>-4.0926769375801093E-2</v>
      </c>
      <c r="CR4" s="2">
        <v>4.1355922818183899E-2</v>
      </c>
      <c r="CS4" s="2">
        <v>-9.8862186074256897E-2</v>
      </c>
      <c r="CT4" s="2">
        <v>-6.5789952874183655E-2</v>
      </c>
      <c r="CU4" s="2">
        <v>-5.2493758499622338E-2</v>
      </c>
      <c r="CV4" s="2">
        <v>1.4395703328773379E-3</v>
      </c>
      <c r="CW4" s="2">
        <v>-2.5382401421666149E-2</v>
      </c>
      <c r="CX4" s="2">
        <v>-1.497303880751133E-2</v>
      </c>
      <c r="CY4" s="2">
        <v>-2.5147143751382831E-2</v>
      </c>
      <c r="CZ4" s="2">
        <v>-3.8899973034858697E-2</v>
      </c>
      <c r="DA4" s="2">
        <v>-6.6368021070957184E-2</v>
      </c>
      <c r="DB4" s="2">
        <v>-9.9088206887245178E-2</v>
      </c>
      <c r="DC4" s="2">
        <v>-8.7841019034385681E-2</v>
      </c>
      <c r="DD4" s="2">
        <v>-9.5149271190166473E-2</v>
      </c>
      <c r="DE4" s="2">
        <v>-7.5684666633605957E-2</v>
      </c>
      <c r="DF4" s="2">
        <v>-6.1269368976354599E-2</v>
      </c>
      <c r="DG4" s="2">
        <v>-6.4791887998580933E-2</v>
      </c>
      <c r="DH4" s="2">
        <v>-4.2990855872631073E-2</v>
      </c>
      <c r="DI4" s="2">
        <v>1.6611326485872269E-2</v>
      </c>
      <c r="DJ4" s="2">
        <v>-5.498785525560379E-2</v>
      </c>
      <c r="DK4" s="2">
        <v>-8.0709442496299744E-2</v>
      </c>
      <c r="DL4" s="2">
        <v>-8.7292157113552094E-2</v>
      </c>
      <c r="DM4" s="2">
        <v>2.5429284200072289E-2</v>
      </c>
      <c r="DN4" s="2">
        <v>1.348613388836384E-2</v>
      </c>
      <c r="DO4" s="2">
        <v>2.691176533699036E-2</v>
      </c>
      <c r="DP4" s="2">
        <v>-2.0206337794661518E-2</v>
      </c>
      <c r="DQ4" s="2">
        <v>-2.807299792766571E-2</v>
      </c>
      <c r="DR4" s="2">
        <v>-7.4518457055091858E-2</v>
      </c>
      <c r="DS4" s="2">
        <v>-1.5364203136414289E-4</v>
      </c>
      <c r="DT4" s="2">
        <v>-3.2376378774642937E-2</v>
      </c>
      <c r="DU4" s="2">
        <v>-4.4630087912082672E-2</v>
      </c>
      <c r="DV4" s="2">
        <v>-6.5195851027965546E-2</v>
      </c>
      <c r="DW4" s="2">
        <v>9.7361684311181307E-4</v>
      </c>
      <c r="DX4" s="2">
        <v>-4.8191780224442482E-3</v>
      </c>
      <c r="DY4" s="2">
        <v>-6.2778793275356293E-2</v>
      </c>
      <c r="DZ4" s="2">
        <v>-3.5209164023399353E-2</v>
      </c>
      <c r="EA4" s="2">
        <v>-6.0484454035758972E-2</v>
      </c>
      <c r="EB4" s="2">
        <v>-6.5868578851222992E-2</v>
      </c>
      <c r="EC4" s="2">
        <v>-6.4344577491283417E-2</v>
      </c>
      <c r="ED4" s="2">
        <v>-6.2420867383480072E-2</v>
      </c>
      <c r="EE4" s="2">
        <v>-3.765815868973732E-2</v>
      </c>
      <c r="EF4" s="2">
        <v>-1.969143562018871E-2</v>
      </c>
      <c r="EG4" s="2">
        <v>1.0347722098231321E-2</v>
      </c>
      <c r="EH4" s="2">
        <v>-7.5388825498521328E-3</v>
      </c>
      <c r="EI4" s="2">
        <v>-3.7975464016199112E-2</v>
      </c>
      <c r="EJ4" s="2">
        <v>-2.6498528197407719E-2</v>
      </c>
      <c r="EK4" s="2">
        <v>2.7714299038052559E-2</v>
      </c>
      <c r="EL4" s="2">
        <v>5.3217515349388123E-2</v>
      </c>
      <c r="EM4" s="2">
        <v>8.3066843450069427E-2</v>
      </c>
    </row>
    <row r="5" spans="1:145" x14ac:dyDescent="0.3">
      <c r="B5" s="1" t="s">
        <v>145</v>
      </c>
      <c r="C5" s="2">
        <v>5.5741846561431878E-2</v>
      </c>
      <c r="D5" s="2">
        <v>1.5730537474155429E-2</v>
      </c>
      <c r="E5" s="2">
        <v>-8.4050968289375305E-3</v>
      </c>
      <c r="F5" s="2">
        <v>7.0764519274234772E-2</v>
      </c>
      <c r="G5" s="2">
        <v>6.1796344816684723E-2</v>
      </c>
      <c r="H5" s="2">
        <v>1.9191207364201549E-2</v>
      </c>
      <c r="I5" s="2">
        <v>2.7801195159554482E-2</v>
      </c>
      <c r="J5" s="2">
        <v>6.3844837248325348E-2</v>
      </c>
      <c r="K5" s="2">
        <v>8.7833143770694733E-3</v>
      </c>
      <c r="L5" s="2">
        <v>2.9632467776536942E-2</v>
      </c>
      <c r="M5" s="2">
        <v>3.1051227822899818E-2</v>
      </c>
      <c r="N5" s="2">
        <v>8.4429970011115074E-3</v>
      </c>
      <c r="O5" s="2">
        <v>3.6712147295475013E-2</v>
      </c>
      <c r="P5" s="2">
        <v>1.7434984445571899E-2</v>
      </c>
      <c r="Q5" s="2">
        <v>3.7053599953651428E-2</v>
      </c>
      <c r="R5" s="2">
        <v>2.1478258073329929E-2</v>
      </c>
      <c r="S5" s="2">
        <v>4.6521492302417762E-2</v>
      </c>
      <c r="T5" s="2">
        <v>1.8265387043356899E-2</v>
      </c>
      <c r="U5" s="2">
        <v>2.9996473342180249E-2</v>
      </c>
      <c r="V5" s="2">
        <v>8.2199856638908386E-2</v>
      </c>
      <c r="W5" s="2">
        <v>5.1936138421297073E-2</v>
      </c>
      <c r="X5" s="2">
        <v>1.8651567399501801E-2</v>
      </c>
      <c r="Y5" s="2">
        <v>-2.8840977698564529E-2</v>
      </c>
      <c r="Z5" s="2">
        <v>-4.8936635255813599E-2</v>
      </c>
      <c r="AA5" s="2">
        <v>7.4104063212871552E-2</v>
      </c>
      <c r="AB5" s="2">
        <v>-7.9052217304706573E-2</v>
      </c>
      <c r="AC5" s="2">
        <v>4.592437669634819E-2</v>
      </c>
      <c r="AD5" s="2">
        <v>-1.2192311696708201E-2</v>
      </c>
      <c r="AE5" s="2">
        <v>6.8174158222973347E-3</v>
      </c>
      <c r="AF5" s="2">
        <v>2.5050153955817219E-2</v>
      </c>
      <c r="AG5" s="2">
        <v>4.8616897314786911E-2</v>
      </c>
      <c r="AH5" s="2">
        <v>1.1846562847495079E-3</v>
      </c>
      <c r="AI5" s="2">
        <v>-2.8516151360236108E-4</v>
      </c>
      <c r="AJ5" s="2">
        <v>5.6431600823998451E-3</v>
      </c>
      <c r="AK5" s="2">
        <v>3.1767126172780991E-2</v>
      </c>
      <c r="AL5" s="2">
        <v>2.2000886965543032E-3</v>
      </c>
      <c r="AM5" s="2">
        <v>1.528516598045826E-2</v>
      </c>
      <c r="AN5" s="2">
        <v>-1.262857671827078E-2</v>
      </c>
      <c r="AO5" s="2">
        <v>2.365807443857193E-2</v>
      </c>
      <c r="AP5" s="2">
        <v>4.5001458376646042E-2</v>
      </c>
      <c r="AQ5" s="2">
        <v>4.8620425164699548E-2</v>
      </c>
      <c r="AR5" s="2">
        <v>5.3666368126869202E-2</v>
      </c>
      <c r="AS5" s="2">
        <v>3.9547394961118698E-2</v>
      </c>
      <c r="AT5" s="2">
        <v>2.9460180550813671E-2</v>
      </c>
      <c r="AU5" s="2">
        <v>2.2005906328558918E-2</v>
      </c>
      <c r="AV5" s="2">
        <v>5.57871013879776E-2</v>
      </c>
      <c r="AW5" s="2">
        <v>4.1573628783226013E-2</v>
      </c>
      <c r="AX5" s="2">
        <v>5.7690292596817017E-2</v>
      </c>
      <c r="AY5" s="2">
        <v>5.2581634372472763E-2</v>
      </c>
      <c r="AZ5" s="2">
        <v>-8.5635492578148842E-3</v>
      </c>
      <c r="BA5" s="2">
        <v>4.225115105509758E-2</v>
      </c>
      <c r="BB5" s="2">
        <v>-1.6324453055858609E-2</v>
      </c>
      <c r="BC5" s="2">
        <v>6.4180669141933322E-4</v>
      </c>
      <c r="BD5" s="2">
        <v>-5.6817673146724701E-2</v>
      </c>
      <c r="BE5" s="2">
        <v>-2.9879733920097351E-2</v>
      </c>
      <c r="BF5" s="2">
        <v>1.893253996968269E-2</v>
      </c>
      <c r="BG5" s="2">
        <v>-3.5026323050260537E-2</v>
      </c>
      <c r="BH5" s="2">
        <v>-6.5759293735027313E-2</v>
      </c>
      <c r="BI5" s="2">
        <v>-7.9368360340595245E-2</v>
      </c>
      <c r="BJ5" s="2">
        <v>-8.5684239864349365E-2</v>
      </c>
      <c r="BK5" s="2">
        <v>-4.9413099884986877E-2</v>
      </c>
      <c r="BL5" s="2">
        <v>-1.1686298530548811E-3</v>
      </c>
      <c r="BM5" s="2">
        <v>-2.3616783320903782E-2</v>
      </c>
      <c r="BN5" s="2">
        <v>-3.0536096543073651E-2</v>
      </c>
      <c r="BO5" s="2">
        <v>2.686824090778828E-2</v>
      </c>
      <c r="BP5" s="2">
        <v>2.7123436331748959E-2</v>
      </c>
      <c r="BQ5" s="2">
        <v>9.7388895228505135E-3</v>
      </c>
      <c r="BR5" s="2">
        <v>2.0006326958537098E-2</v>
      </c>
      <c r="BS5" s="2">
        <v>1.4250755775719881E-3</v>
      </c>
      <c r="BT5" s="2">
        <v>4.8925049602985382E-2</v>
      </c>
      <c r="BU5" s="2">
        <v>4.7599527984857559E-2</v>
      </c>
      <c r="BV5" s="2">
        <v>-2.8521495405584569E-3</v>
      </c>
      <c r="BW5" s="2">
        <v>3.047716990113258E-2</v>
      </c>
      <c r="BX5" s="2">
        <v>3.2435460016131401E-3</v>
      </c>
      <c r="BY5" s="2">
        <v>-4.4437490403652191E-2</v>
      </c>
      <c r="BZ5" s="2">
        <v>3.372203791514039E-4</v>
      </c>
      <c r="CA5" s="2">
        <v>5.1361106336116791E-2</v>
      </c>
      <c r="CB5" s="2">
        <v>4.0368124842643738E-2</v>
      </c>
      <c r="CC5" s="2">
        <v>2.743220329284668E-2</v>
      </c>
      <c r="CD5" s="2">
        <v>2.207928895950317E-2</v>
      </c>
      <c r="CE5" s="2">
        <v>2.3870967328548431E-2</v>
      </c>
      <c r="CF5" s="2">
        <v>-3.202897310256958E-2</v>
      </c>
      <c r="CG5" s="2">
        <v>-7.1231015026569366E-2</v>
      </c>
      <c r="CH5" s="2">
        <v>-4.6868059784173972E-2</v>
      </c>
      <c r="CI5" s="2">
        <v>-6.7858822643756866E-2</v>
      </c>
      <c r="CJ5" s="2">
        <v>-6.4342252910137177E-2</v>
      </c>
      <c r="CK5" s="2">
        <v>-5.9413556009531021E-2</v>
      </c>
      <c r="CL5" s="2">
        <v>8.4330163896083832E-2</v>
      </c>
      <c r="CM5" s="2">
        <v>6.5344303846359253E-2</v>
      </c>
      <c r="CN5" s="2">
        <v>4.4891763478517532E-2</v>
      </c>
      <c r="CO5" s="2">
        <v>1.0420361533761019E-2</v>
      </c>
      <c r="CP5" s="2">
        <v>0.1182377934455872</v>
      </c>
      <c r="CQ5" s="2">
        <v>5.0723213702440262E-2</v>
      </c>
      <c r="CR5" s="2">
        <v>3.3173959702253342E-2</v>
      </c>
      <c r="CS5" s="2">
        <v>-3.7132888101041321E-3</v>
      </c>
      <c r="CT5" s="2">
        <v>-1.008150540292263E-2</v>
      </c>
      <c r="CU5" s="2">
        <v>4.6655397862195969E-2</v>
      </c>
      <c r="CV5" s="2">
        <v>-5.5946167558431634E-3</v>
      </c>
      <c r="CW5" s="2">
        <v>-0.1470402330160141</v>
      </c>
      <c r="CX5" s="2">
        <v>-2.894680388271809E-2</v>
      </c>
      <c r="CY5" s="2">
        <v>8.4989266470074654E-3</v>
      </c>
      <c r="CZ5" s="2">
        <v>-2.2278601303696629E-2</v>
      </c>
      <c r="DA5" s="2">
        <v>3.0063033103942871E-2</v>
      </c>
      <c r="DB5" s="2">
        <v>-1.368775591254234E-2</v>
      </c>
      <c r="DC5" s="2">
        <v>3.7013180553913123E-2</v>
      </c>
      <c r="DD5" s="2">
        <v>4.2487449944019318E-2</v>
      </c>
      <c r="DE5" s="2">
        <v>3.5419993102550507E-2</v>
      </c>
      <c r="DF5" s="2">
        <v>5.0845975056290627E-3</v>
      </c>
      <c r="DG5" s="2">
        <v>3.7272726185619831E-3</v>
      </c>
      <c r="DH5" s="2">
        <v>-6.6102910786867142E-3</v>
      </c>
      <c r="DI5" s="2">
        <v>-5.582159012556076E-2</v>
      </c>
      <c r="DJ5" s="2">
        <v>4.8400323837995529E-2</v>
      </c>
      <c r="DK5" s="2">
        <v>1.1602438054978849E-2</v>
      </c>
      <c r="DL5" s="2">
        <v>1.8670994788408279E-2</v>
      </c>
      <c r="DM5" s="2">
        <v>1.2823298573493959E-2</v>
      </c>
      <c r="DN5" s="2">
        <v>3.3588364720344543E-2</v>
      </c>
      <c r="DO5" s="2">
        <v>3.080024570226669E-2</v>
      </c>
      <c r="DP5" s="2">
        <v>4.4318786822259426E-3</v>
      </c>
      <c r="DQ5" s="2">
        <v>-2.750279009342194E-2</v>
      </c>
      <c r="DR5" s="2">
        <v>-0.1000711172819138</v>
      </c>
      <c r="DS5" s="2">
        <v>2.2957990877330299E-3</v>
      </c>
      <c r="DT5" s="2">
        <v>4.5962766744196406E-3</v>
      </c>
      <c r="DU5" s="2">
        <v>4.9048192799091339E-2</v>
      </c>
      <c r="DV5" s="2">
        <v>4.9711555242538452E-2</v>
      </c>
      <c r="DW5" s="2">
        <v>6.2132958322763443E-2</v>
      </c>
      <c r="DX5" s="2">
        <v>3.4120500087738037E-2</v>
      </c>
      <c r="DY5" s="2">
        <v>-4.3345347046852112E-2</v>
      </c>
      <c r="DZ5" s="2">
        <v>1.6171941533684731E-2</v>
      </c>
      <c r="EA5" s="2">
        <v>2.0687229931354519E-2</v>
      </c>
      <c r="EB5" s="2">
        <v>2.4651791900396351E-2</v>
      </c>
      <c r="EC5" s="2">
        <v>-7.1213126182556152E-2</v>
      </c>
      <c r="ED5" s="2">
        <v>-6.88604936003685E-2</v>
      </c>
      <c r="EE5" s="2">
        <v>-2.8207767754793171E-2</v>
      </c>
      <c r="EF5" s="2">
        <v>1.9379980862140659E-2</v>
      </c>
      <c r="EG5" s="2">
        <v>-1.8364094197750092E-2</v>
      </c>
      <c r="EH5" s="2">
        <v>-4.4609863311052322E-2</v>
      </c>
      <c r="EI5" s="2">
        <v>-8.8491691276431084E-3</v>
      </c>
      <c r="EJ5" s="2">
        <v>1.1057978495955471E-2</v>
      </c>
      <c r="EK5" s="2">
        <v>-3.502532839775085E-3</v>
      </c>
      <c r="EL5" s="2">
        <v>1.083044148981571E-2</v>
      </c>
      <c r="EM5" s="2">
        <v>7.6744821853935719E-3</v>
      </c>
    </row>
    <row r="6" spans="1:145" x14ac:dyDescent="0.3">
      <c r="A6" s="20" t="s">
        <v>146</v>
      </c>
      <c r="B6" s="21"/>
      <c r="C6" s="2">
        <f t="array" ref="C6">MATCH(MAX(ABS(C3:C5)), ABS(C3:C5), 0)</f>
        <v>3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2</v>
      </c>
      <c r="H6" s="2">
        <f t="array" ref="H6">MATCH(MAX(ABS(H3:H5)), ABS(H3:H5), 0)</f>
        <v>2</v>
      </c>
      <c r="I6" s="2">
        <f t="array" ref="I6">MATCH(MAX(ABS(I3:I5)), ABS(I3:I5), 0)</f>
        <v>2</v>
      </c>
      <c r="J6" s="2">
        <f t="array" ref="J6">MATCH(MAX(ABS(J3:J5)), ABS(J3:J5), 0)</f>
        <v>3</v>
      </c>
      <c r="K6" s="2">
        <f t="array" ref="K6">MATCH(MAX(ABS(K3:K5)), ABS(K3:K5), 0)</f>
        <v>2</v>
      </c>
      <c r="L6" s="2">
        <f t="array" ref="L6">MATCH(MAX(ABS(L3:L5)), ABS(L3:L5), 0)</f>
        <v>1</v>
      </c>
      <c r="M6" s="2">
        <f t="array" ref="M6">MATCH(MAX(ABS(M3:M5)), ABS(M3:M5), 0)</f>
        <v>2</v>
      </c>
      <c r="N6" s="2">
        <f t="array" ref="N6">MATCH(MAX(ABS(N3:N5)), ABS(N3:N5), 0)</f>
        <v>1</v>
      </c>
      <c r="O6" s="2">
        <f t="array" ref="O6">MATCH(MAX(ABS(O3:O5)), ABS(O3:O5), 0)</f>
        <v>3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2</v>
      </c>
      <c r="U6" s="2">
        <f t="array" ref="U6">MATCH(MAX(ABS(U3:U5)), ABS(U3:U5), 0)</f>
        <v>3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1</v>
      </c>
      <c r="Y6" s="2">
        <f t="array" ref="Y6">MATCH(MAX(ABS(Y3:Y5)), ABS(Y3:Y5), 0)</f>
        <v>1</v>
      </c>
      <c r="Z6" s="2">
        <f t="array" ref="Z6">MATCH(MAX(ABS(Z3:Z5)), ABS(Z3:Z5), 0)</f>
        <v>3</v>
      </c>
      <c r="AA6" s="2">
        <f t="array" ref="AA6">MATCH(MAX(ABS(AA3:AA5)), ABS(AA3:AA5), 0)</f>
        <v>3</v>
      </c>
      <c r="AB6" s="2">
        <f t="array" ref="AB6">MATCH(MAX(ABS(AB3:AB5)), ABS(AB3:AB5), 0)</f>
        <v>3</v>
      </c>
      <c r="AC6" s="2">
        <f t="array" ref="AC6">MATCH(MAX(ABS(AC3:AC5)), ABS(AC3:AC5), 0)</f>
        <v>3</v>
      </c>
      <c r="AD6" s="2">
        <f t="array" ref="AD6">MATCH(MAX(ABS(AD3:AD5)), ABS(AD3:AD5), 0)</f>
        <v>1</v>
      </c>
      <c r="AE6" s="2">
        <f t="array" ref="AE6">MATCH(MAX(ABS(AE3:AE5)), ABS(AE3:AE5), 0)</f>
        <v>1</v>
      </c>
      <c r="AF6" s="2">
        <f t="array" ref="AF6">MATCH(MAX(ABS(AF3:AF5)), ABS(AF3:AF5), 0)</f>
        <v>1</v>
      </c>
      <c r="AG6" s="2">
        <f t="array" ref="AG6">MATCH(MAX(ABS(AG3:AG5)), ABS(AG3:AG5), 0)</f>
        <v>3</v>
      </c>
      <c r="AH6" s="2">
        <f t="array" ref="AH6">MATCH(MAX(ABS(AH3:AH5)), ABS(AH3:AH5), 0)</f>
        <v>2</v>
      </c>
      <c r="AI6" s="2">
        <f t="array" ref="AI6">MATCH(MAX(ABS(AI3:AI5)), ABS(AI3:AI5), 0)</f>
        <v>1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1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3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1</v>
      </c>
      <c r="AW6" s="2">
        <f t="array" ref="AW6">MATCH(MAX(ABS(AW3:AW5)), ABS(AW3:AW5), 0)</f>
        <v>2</v>
      </c>
      <c r="AX6" s="2">
        <f t="array" ref="AX6">MATCH(MAX(ABS(AX3:AX5)), ABS(AX3:AX5), 0)</f>
        <v>3</v>
      </c>
      <c r="AY6" s="2">
        <f t="array" ref="AY6">MATCH(MAX(ABS(AY3:AY5)), ABS(AY3:AY5), 0)</f>
        <v>3</v>
      </c>
      <c r="AZ6" s="2">
        <f t="array" ref="AZ6">MATCH(MAX(ABS(AZ3:AZ5)), ABS(AZ3:AZ5), 0)</f>
        <v>1</v>
      </c>
      <c r="BA6" s="2">
        <f t="array" ref="BA6">MATCH(MAX(ABS(BA3:BA5)), ABS(BA3:BA5), 0)</f>
        <v>1</v>
      </c>
      <c r="BB6" s="2">
        <f t="array" ref="BB6">MATCH(MAX(ABS(BB3:BB5)), ABS(BB3:BB5), 0)</f>
        <v>1</v>
      </c>
      <c r="BC6" s="2">
        <f t="array" ref="BC6">MATCH(MAX(ABS(BC3:BC5)), ABS(BC3:BC5), 0)</f>
        <v>1</v>
      </c>
      <c r="BD6" s="2">
        <f t="array" ref="BD6">MATCH(MAX(ABS(BD3:BD5)), ABS(BD3:BD5), 0)</f>
        <v>3</v>
      </c>
      <c r="BE6" s="2">
        <f t="array" ref="BE6">MATCH(MAX(ABS(BE3:BE5)), ABS(BE3:BE5), 0)</f>
        <v>2</v>
      </c>
      <c r="BF6" s="2">
        <f t="array" ref="BF6">MATCH(MAX(ABS(BF3:BF5)), ABS(BF3:BF5), 0)</f>
        <v>2</v>
      </c>
      <c r="BG6" s="2">
        <f t="array" ref="BG6">MATCH(MAX(ABS(BG3:BG5)), ABS(BG3:BG5), 0)</f>
        <v>2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3</v>
      </c>
      <c r="BK6" s="2">
        <f t="array" ref="BK6">MATCH(MAX(ABS(BK3:BK5)), ABS(BK3:BK5), 0)</f>
        <v>1</v>
      </c>
      <c r="BL6" s="2">
        <f t="array" ref="BL6">MATCH(MAX(ABS(BL3:BL5)), ABS(BL3:BL5), 0)</f>
        <v>2</v>
      </c>
      <c r="BM6" s="2">
        <f t="array" ref="BM6">MATCH(MAX(ABS(BM3:BM5)), ABS(BM3:BM5), 0)</f>
        <v>3</v>
      </c>
      <c r="BN6" s="2">
        <f t="array" ref="BN6">MATCH(MAX(ABS(BN3:BN5)), ABS(BN3:BN5), 0)</f>
        <v>3</v>
      </c>
      <c r="BO6" s="2">
        <f t="array" ref="BO6">MATCH(MAX(ABS(BO3:BO5)), ABS(BO3:BO5), 0)</f>
        <v>3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2</v>
      </c>
      <c r="BS6" s="2">
        <f t="array" ref="BS6">MATCH(MAX(ABS(BS3:BS5)), ABS(BS3:BS5), 0)</f>
        <v>1</v>
      </c>
      <c r="BT6" s="2">
        <f t="array" ref="BT6">MATCH(MAX(ABS(BT3:BT5)), ABS(BT3:BT5), 0)</f>
        <v>3</v>
      </c>
      <c r="BU6" s="2">
        <f t="array" ref="BU6">MATCH(MAX(ABS(BU3:BU5)), ABS(BU3:BU5), 0)</f>
        <v>2</v>
      </c>
      <c r="BV6" s="2">
        <f t="array" ref="BV6">MATCH(MAX(ABS(BV3:BV5)), ABS(BV3:BV5), 0)</f>
        <v>2</v>
      </c>
      <c r="BW6" s="2">
        <f t="array" ref="BW6">MATCH(MAX(ABS(BW3:BW5)), ABS(BW3:BW5), 0)</f>
        <v>2</v>
      </c>
      <c r="BX6" s="2">
        <f t="array" ref="BX6">MATCH(MAX(ABS(BX3:BX5)), ABS(BX3:BX5), 0)</f>
        <v>1</v>
      </c>
      <c r="BY6" s="2">
        <f t="array" ref="BY6">MATCH(MAX(ABS(BY3:BY5)), ABS(BY3:BY5), 0)</f>
        <v>3</v>
      </c>
      <c r="BZ6" s="2">
        <f t="array" ref="BZ6">MATCH(MAX(ABS(BZ3:BZ5)), ABS(BZ3:BZ5), 0)</f>
        <v>2</v>
      </c>
      <c r="CA6" s="2">
        <f t="array" ref="CA6">MATCH(MAX(ABS(CA3:CA5)), ABS(CA3:CA5), 0)</f>
        <v>3</v>
      </c>
      <c r="CB6" s="2">
        <f t="array" ref="CB6">MATCH(MAX(ABS(CB3:CB5)), ABS(CB3:CB5), 0)</f>
        <v>3</v>
      </c>
      <c r="CC6" s="2">
        <f t="array" ref="CC6">MATCH(MAX(ABS(CC3:CC5)), ABS(CC3:CC5), 0)</f>
        <v>2</v>
      </c>
      <c r="CD6" s="2">
        <f t="array" ref="CD6">MATCH(MAX(ABS(CD3:CD5)), ABS(CD3:CD5), 0)</f>
        <v>2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3</v>
      </c>
      <c r="CJ6" s="2">
        <f t="array" ref="CJ6">MATCH(MAX(ABS(CJ3:CJ5)), ABS(CJ3:CJ5), 0)</f>
        <v>1</v>
      </c>
      <c r="CK6" s="2">
        <f t="array" ref="CK6">MATCH(MAX(ABS(CK3:CK5)), ABS(CK3:CK5), 0)</f>
        <v>3</v>
      </c>
      <c r="CL6" s="2">
        <f t="array" ref="CL6">MATCH(MAX(ABS(CL3:CL5)), ABS(CL3:CL5), 0)</f>
        <v>3</v>
      </c>
      <c r="CM6" s="2">
        <f t="array" ref="CM6">MATCH(MAX(ABS(CM3:CM5)), ABS(CM3:CM5), 0)</f>
        <v>3</v>
      </c>
      <c r="CN6" s="2">
        <f t="array" ref="CN6">MATCH(MAX(ABS(CN3:CN5)), ABS(CN3:CN5), 0)</f>
        <v>1</v>
      </c>
      <c r="CO6" s="2">
        <f t="array" ref="CO6">MATCH(MAX(ABS(CO3:CO5)), ABS(CO3:CO5), 0)</f>
        <v>1</v>
      </c>
      <c r="CP6" s="2">
        <f t="array" ref="CP6">MATCH(MAX(ABS(CP3:CP5)), ABS(CP3:CP5), 0)</f>
        <v>3</v>
      </c>
      <c r="CQ6" s="2">
        <f t="array" ref="CQ6">MATCH(MAX(ABS(CQ3:CQ5)), ABS(CQ3:CQ5), 0)</f>
        <v>3</v>
      </c>
      <c r="CR6" s="2">
        <f t="array" ref="CR6">MATCH(MAX(ABS(CR3:CR5)), ABS(CR3:CR5), 0)</f>
        <v>1</v>
      </c>
      <c r="CS6" s="2">
        <f t="array" ref="CS6">MATCH(MAX(ABS(CS3:CS5)), ABS(CS3:CS5), 0)</f>
        <v>1</v>
      </c>
      <c r="CT6" s="2">
        <f t="array" ref="CT6">MATCH(MAX(ABS(CT3:CT5)), ABS(CT3:CT5), 0)</f>
        <v>1</v>
      </c>
      <c r="CU6" s="2">
        <f t="array" ref="CU6">MATCH(MAX(ABS(CU3:CU5)), ABS(CU3:CU5), 0)</f>
        <v>2</v>
      </c>
      <c r="CV6" s="2">
        <f t="array" ref="CV6">MATCH(MAX(ABS(CV3:CV5)), ABS(CV3:CV5), 0)</f>
        <v>1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1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2</v>
      </c>
      <c r="DD6" s="2">
        <f t="array" ref="DD6">MATCH(MAX(ABS(DD3:DD5)), ABS(DD3:DD5), 0)</f>
        <v>2</v>
      </c>
      <c r="DE6" s="2">
        <f t="array" ref="DE6">MATCH(MAX(ABS(DE3:DE5)), ABS(DE3:DE5), 0)</f>
        <v>1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3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2</v>
      </c>
      <c r="DM6" s="2">
        <f t="array" ref="DM6">MATCH(MAX(ABS(DM3:DM5)), ABS(DM3:DM5), 0)</f>
        <v>2</v>
      </c>
      <c r="DN6" s="2">
        <f t="array" ref="DN6">MATCH(MAX(ABS(DN3:DN5)), ABS(DN3:DN5), 0)</f>
        <v>3</v>
      </c>
      <c r="DO6" s="2">
        <f t="array" ref="DO6">MATCH(MAX(ABS(DO3:DO5)), ABS(DO3:DO5), 0)</f>
        <v>3</v>
      </c>
      <c r="DP6" s="2">
        <f t="array" ref="DP6">MATCH(MAX(ABS(DP3:DP5)), ABS(DP3:DP5), 0)</f>
        <v>1</v>
      </c>
      <c r="DQ6" s="2">
        <f t="array" ref="DQ6">MATCH(MAX(ABS(DQ3:DQ5)), ABS(DQ3:DQ5), 0)</f>
        <v>1</v>
      </c>
      <c r="DR6" s="2">
        <f t="array" ref="DR6">MATCH(MAX(ABS(DR3:DR5)), ABS(DR3:DR5), 0)</f>
        <v>3</v>
      </c>
      <c r="DS6" s="2">
        <f t="array" ref="DS6">MATCH(MAX(ABS(DS3:DS5)), ABS(DS3:DS5), 0)</f>
        <v>1</v>
      </c>
      <c r="DT6" s="2">
        <f t="array" ref="DT6">MATCH(MAX(ABS(DT3:DT5)), ABS(DT3:DT5), 0)</f>
        <v>2</v>
      </c>
      <c r="DU6" s="2">
        <f t="array" ref="DU6">MATCH(MAX(ABS(DU3:DU5)), ABS(DU3:DU5), 0)</f>
        <v>3</v>
      </c>
      <c r="DV6" s="2">
        <f t="array" ref="DV6">MATCH(MAX(ABS(DV3:DV5)), ABS(DV3:DV5), 0)</f>
        <v>2</v>
      </c>
      <c r="DW6" s="2">
        <f t="array" ref="DW6">MATCH(MAX(ABS(DW3:DW5)), ABS(DW3:DW5), 0)</f>
        <v>3</v>
      </c>
      <c r="DX6" s="2">
        <f t="array" ref="DX6">MATCH(MAX(ABS(DX3:DX5)), ABS(DX3:DX5), 0)</f>
        <v>3</v>
      </c>
      <c r="DY6" s="2">
        <f t="array" ref="DY6">MATCH(MAX(ABS(DY3:DY5)), ABS(DY3:DY5), 0)</f>
        <v>2</v>
      </c>
      <c r="DZ6" s="2">
        <f t="array" ref="DZ6">MATCH(MAX(ABS(DZ3:DZ5)), ABS(DZ3:DZ5), 0)</f>
        <v>2</v>
      </c>
      <c r="EA6" s="2">
        <f t="array" ref="EA6">MATCH(MAX(ABS(EA3:EA5)), ABS(EA3:EA5), 0)</f>
        <v>2</v>
      </c>
      <c r="EB6" s="2">
        <f t="array" ref="EB6">MATCH(MAX(ABS(EB3:EB5)), ABS(EB3:EB5), 0)</f>
        <v>2</v>
      </c>
      <c r="EC6" s="2">
        <f t="array" ref="EC6">MATCH(MAX(ABS(EC3:EC5)), ABS(EC3:EC5), 0)</f>
        <v>3</v>
      </c>
      <c r="ED6" s="2">
        <f t="array" ref="ED6">MATCH(MAX(ABS(ED3:ED5)), ABS(ED3:ED5), 0)</f>
        <v>1</v>
      </c>
      <c r="EE6" s="2">
        <f t="array" ref="EE6">MATCH(MAX(ABS(EE3:EE5)), ABS(EE3:EE5), 0)</f>
        <v>1</v>
      </c>
      <c r="EF6" s="2">
        <f t="array" ref="EF6">MATCH(MAX(ABS(EF3:EF5)), ABS(EF3:EF5), 0)</f>
        <v>1</v>
      </c>
      <c r="EG6" s="2">
        <f t="array" ref="EG6">MATCH(MAX(ABS(EG3:EG5)), ABS(EG3:EG5), 0)</f>
        <v>1</v>
      </c>
      <c r="EH6" s="2">
        <f t="array" ref="EH6">MATCH(MAX(ABS(EH3:EH5)), ABS(EH3:EH5), 0)</f>
        <v>3</v>
      </c>
      <c r="EI6" s="2">
        <f t="array" ref="EI6">MATCH(MAX(ABS(EI3:EI5)), ABS(EI3:EI5), 0)</f>
        <v>2</v>
      </c>
      <c r="EJ6" s="2">
        <f t="array" ref="EJ6">MATCH(MAX(ABS(EJ3:EJ5)), ABS(EJ3:EJ5), 0)</f>
        <v>2</v>
      </c>
      <c r="EK6" s="2">
        <f t="array" ref="EK6">MATCH(MAX(ABS(EK3:EK5)), ABS(EK3:EK5), 0)</f>
        <v>2</v>
      </c>
      <c r="EL6" s="2">
        <f t="array" ref="EL6">MATCH(MAX(ABS(EL3:EL5)), ABS(EL3:EL5), 0)</f>
        <v>2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mom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size</v>
      </c>
      <c r="H7" s="2" t="str">
        <f t="shared" si="0"/>
        <v>size</v>
      </c>
      <c r="I7" s="2" t="str">
        <f t="shared" si="0"/>
        <v>size</v>
      </c>
      <c r="J7" s="2" t="str">
        <f t="shared" si="0"/>
        <v>mom</v>
      </c>
      <c r="K7" s="2" t="str">
        <f t="shared" si="0"/>
        <v>size</v>
      </c>
      <c r="L7" s="2" t="str">
        <f t="shared" si="0"/>
        <v>bm</v>
      </c>
      <c r="M7" s="2" t="str">
        <f t="shared" si="0"/>
        <v>size</v>
      </c>
      <c r="N7" s="2" t="str">
        <f t="shared" si="0"/>
        <v>bm</v>
      </c>
      <c r="O7" s="2" t="str">
        <f t="shared" si="0"/>
        <v>mom</v>
      </c>
      <c r="P7" s="2" t="str">
        <f t="shared" si="0"/>
        <v>size</v>
      </c>
      <c r="Q7" s="2" t="str">
        <f t="shared" si="0"/>
        <v>size</v>
      </c>
      <c r="R7" s="2" t="str">
        <f t="shared" si="0"/>
        <v>bm</v>
      </c>
      <c r="S7" s="2" t="str">
        <f t="shared" si="0"/>
        <v>mom</v>
      </c>
      <c r="T7" s="2" t="str">
        <f t="shared" si="0"/>
        <v>size</v>
      </c>
      <c r="U7" s="2" t="str">
        <f t="shared" si="0"/>
        <v>mom</v>
      </c>
      <c r="V7" s="2" t="str">
        <f t="shared" si="0"/>
        <v>mom</v>
      </c>
      <c r="W7" s="2" t="str">
        <f t="shared" si="0"/>
        <v>mom</v>
      </c>
      <c r="X7" s="2" t="str">
        <f t="shared" si="0"/>
        <v>bm</v>
      </c>
      <c r="Y7" s="2" t="str">
        <f t="shared" si="0"/>
        <v>bm</v>
      </c>
      <c r="Z7" s="2" t="str">
        <f t="shared" si="0"/>
        <v>mom</v>
      </c>
      <c r="AA7" s="2" t="str">
        <f t="shared" si="0"/>
        <v>mom</v>
      </c>
      <c r="AB7" s="2" t="str">
        <f t="shared" si="0"/>
        <v>mom</v>
      </c>
      <c r="AC7" s="2" t="str">
        <f t="shared" si="0"/>
        <v>mom</v>
      </c>
      <c r="AD7" s="2" t="str">
        <f t="shared" si="0"/>
        <v>bm</v>
      </c>
      <c r="AE7" s="2" t="str">
        <f t="shared" si="0"/>
        <v>bm</v>
      </c>
      <c r="AF7" s="2" t="str">
        <f t="shared" si="0"/>
        <v>bm</v>
      </c>
      <c r="AG7" s="2" t="str">
        <f t="shared" si="0"/>
        <v>mom</v>
      </c>
      <c r="AH7" s="2" t="str">
        <f t="shared" si="0"/>
        <v>size</v>
      </c>
      <c r="AI7" s="2" t="str">
        <f t="shared" ref="AI7:BN7" si="1">IF(AI6=1,"bm",IF(AI6=2,"size",IF(AI6=3,"mom")))</f>
        <v>bm</v>
      </c>
      <c r="AJ7" s="2" t="str">
        <f t="shared" si="1"/>
        <v>bm</v>
      </c>
      <c r="AK7" s="2" t="str">
        <f t="shared" si="1"/>
        <v>bm</v>
      </c>
      <c r="AL7" s="2" t="str">
        <f t="shared" si="1"/>
        <v>bm</v>
      </c>
      <c r="AM7" s="2" t="str">
        <f t="shared" si="1"/>
        <v>bm</v>
      </c>
      <c r="AN7" s="2" t="str">
        <f t="shared" si="1"/>
        <v>bm</v>
      </c>
      <c r="AO7" s="2" t="str">
        <f t="shared" si="1"/>
        <v>bm</v>
      </c>
      <c r="AP7" s="2" t="str">
        <f t="shared" si="1"/>
        <v>bm</v>
      </c>
      <c r="AQ7" s="2" t="str">
        <f t="shared" si="1"/>
        <v>bm</v>
      </c>
      <c r="AR7" s="2" t="str">
        <f t="shared" si="1"/>
        <v>mom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bm</v>
      </c>
      <c r="AW7" s="2" t="str">
        <f t="shared" si="1"/>
        <v>size</v>
      </c>
      <c r="AX7" s="2" t="str">
        <f t="shared" si="1"/>
        <v>mom</v>
      </c>
      <c r="AY7" s="2" t="str">
        <f t="shared" si="1"/>
        <v>mom</v>
      </c>
      <c r="AZ7" s="2" t="str">
        <f t="shared" si="1"/>
        <v>bm</v>
      </c>
      <c r="BA7" s="2" t="str">
        <f t="shared" si="1"/>
        <v>bm</v>
      </c>
      <c r="BB7" s="2" t="str">
        <f t="shared" si="1"/>
        <v>bm</v>
      </c>
      <c r="BC7" s="2" t="str">
        <f t="shared" si="1"/>
        <v>bm</v>
      </c>
      <c r="BD7" s="2" t="str">
        <f t="shared" si="1"/>
        <v>mom</v>
      </c>
      <c r="BE7" s="2" t="str">
        <f t="shared" si="1"/>
        <v>size</v>
      </c>
      <c r="BF7" s="2" t="str">
        <f t="shared" si="1"/>
        <v>size</v>
      </c>
      <c r="BG7" s="2" t="str">
        <f t="shared" si="1"/>
        <v>size</v>
      </c>
      <c r="BH7" s="2" t="str">
        <f t="shared" si="1"/>
        <v>mom</v>
      </c>
      <c r="BI7" s="2" t="str">
        <f t="shared" si="1"/>
        <v>mom</v>
      </c>
      <c r="BJ7" s="2" t="str">
        <f t="shared" si="1"/>
        <v>mom</v>
      </c>
      <c r="BK7" s="2" t="str">
        <f t="shared" si="1"/>
        <v>bm</v>
      </c>
      <c r="BL7" s="2" t="str">
        <f t="shared" si="1"/>
        <v>size</v>
      </c>
      <c r="BM7" s="2" t="str">
        <f t="shared" si="1"/>
        <v>mom</v>
      </c>
      <c r="BN7" s="2" t="str">
        <f t="shared" si="1"/>
        <v>mom</v>
      </c>
      <c r="BO7" s="2" t="str">
        <f t="shared" ref="BO7:CT7" si="2">IF(BO6=1,"bm",IF(BO6=2,"size",IF(BO6=3,"mom")))</f>
        <v>mom</v>
      </c>
      <c r="BP7" s="2" t="str">
        <f t="shared" si="2"/>
        <v>size</v>
      </c>
      <c r="BQ7" s="2" t="str">
        <f t="shared" si="2"/>
        <v>bm</v>
      </c>
      <c r="BR7" s="2" t="str">
        <f t="shared" si="2"/>
        <v>size</v>
      </c>
      <c r="BS7" s="2" t="str">
        <f t="shared" si="2"/>
        <v>bm</v>
      </c>
      <c r="BT7" s="2" t="str">
        <f t="shared" si="2"/>
        <v>mom</v>
      </c>
      <c r="BU7" s="2" t="str">
        <f t="shared" si="2"/>
        <v>size</v>
      </c>
      <c r="BV7" s="2" t="str">
        <f t="shared" si="2"/>
        <v>size</v>
      </c>
      <c r="BW7" s="2" t="str">
        <f t="shared" si="2"/>
        <v>size</v>
      </c>
      <c r="BX7" s="2" t="str">
        <f t="shared" si="2"/>
        <v>bm</v>
      </c>
      <c r="BY7" s="2" t="str">
        <f t="shared" si="2"/>
        <v>mom</v>
      </c>
      <c r="BZ7" s="2" t="str">
        <f t="shared" si="2"/>
        <v>size</v>
      </c>
      <c r="CA7" s="2" t="str">
        <f t="shared" si="2"/>
        <v>mom</v>
      </c>
      <c r="CB7" s="2" t="str">
        <f t="shared" si="2"/>
        <v>mom</v>
      </c>
      <c r="CC7" s="2" t="str">
        <f t="shared" si="2"/>
        <v>size</v>
      </c>
      <c r="CD7" s="2" t="str">
        <f t="shared" si="2"/>
        <v>size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mom</v>
      </c>
      <c r="CJ7" s="2" t="str">
        <f t="shared" si="2"/>
        <v>bm</v>
      </c>
      <c r="CK7" s="2" t="str">
        <f t="shared" si="2"/>
        <v>mom</v>
      </c>
      <c r="CL7" s="2" t="str">
        <f t="shared" si="2"/>
        <v>mom</v>
      </c>
      <c r="CM7" s="2" t="str">
        <f t="shared" si="2"/>
        <v>mom</v>
      </c>
      <c r="CN7" s="2" t="str">
        <f t="shared" si="2"/>
        <v>bm</v>
      </c>
      <c r="CO7" s="2" t="str">
        <f t="shared" si="2"/>
        <v>bm</v>
      </c>
      <c r="CP7" s="2" t="str">
        <f t="shared" si="2"/>
        <v>mom</v>
      </c>
      <c r="CQ7" s="2" t="str">
        <f t="shared" si="2"/>
        <v>mom</v>
      </c>
      <c r="CR7" s="2" t="str">
        <f t="shared" si="2"/>
        <v>bm</v>
      </c>
      <c r="CS7" s="2" t="str">
        <f t="shared" si="2"/>
        <v>bm</v>
      </c>
      <c r="CT7" s="2" t="str">
        <f t="shared" si="2"/>
        <v>bm</v>
      </c>
      <c r="CU7" s="2" t="str">
        <f t="shared" ref="CU7:DZ7" si="3">IF(CU6=1,"bm",IF(CU6=2,"size",IF(CU6=3,"mom")))</f>
        <v>size</v>
      </c>
      <c r="CV7" s="2" t="str">
        <f t="shared" si="3"/>
        <v>bm</v>
      </c>
      <c r="CW7" s="2" t="str">
        <f t="shared" si="3"/>
        <v>mom</v>
      </c>
      <c r="CX7" s="2" t="str">
        <f t="shared" si="3"/>
        <v>bm</v>
      </c>
      <c r="CY7" s="2" t="str">
        <f t="shared" si="3"/>
        <v>bm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size</v>
      </c>
      <c r="DD7" s="2" t="str">
        <f t="shared" si="3"/>
        <v>size</v>
      </c>
      <c r="DE7" s="2" t="str">
        <f t="shared" si="3"/>
        <v>bm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mom</v>
      </c>
      <c r="DJ7" s="2" t="str">
        <f t="shared" si="3"/>
        <v>size</v>
      </c>
      <c r="DK7" s="2" t="str">
        <f t="shared" si="3"/>
        <v>size</v>
      </c>
      <c r="DL7" s="2" t="str">
        <f t="shared" si="3"/>
        <v>size</v>
      </c>
      <c r="DM7" s="2" t="str">
        <f t="shared" si="3"/>
        <v>size</v>
      </c>
      <c r="DN7" s="2" t="str">
        <f t="shared" si="3"/>
        <v>mom</v>
      </c>
      <c r="DO7" s="2" t="str">
        <f t="shared" si="3"/>
        <v>mom</v>
      </c>
      <c r="DP7" s="2" t="str">
        <f t="shared" si="3"/>
        <v>bm</v>
      </c>
      <c r="DQ7" s="2" t="str">
        <f t="shared" si="3"/>
        <v>bm</v>
      </c>
      <c r="DR7" s="2" t="str">
        <f t="shared" si="3"/>
        <v>mom</v>
      </c>
      <c r="DS7" s="2" t="str">
        <f t="shared" si="3"/>
        <v>bm</v>
      </c>
      <c r="DT7" s="2" t="str">
        <f t="shared" si="3"/>
        <v>size</v>
      </c>
      <c r="DU7" s="2" t="str">
        <f t="shared" si="3"/>
        <v>mom</v>
      </c>
      <c r="DV7" s="2" t="str">
        <f t="shared" si="3"/>
        <v>size</v>
      </c>
      <c r="DW7" s="2" t="str">
        <f t="shared" si="3"/>
        <v>mom</v>
      </c>
      <c r="DX7" s="2" t="str">
        <f t="shared" si="3"/>
        <v>mom</v>
      </c>
      <c r="DY7" s="2" t="str">
        <f t="shared" si="3"/>
        <v>size</v>
      </c>
      <c r="DZ7" s="2" t="str">
        <f t="shared" si="3"/>
        <v>size</v>
      </c>
      <c r="EA7" s="2" t="str">
        <f t="shared" ref="EA7:FF7" si="4">IF(EA6=1,"bm",IF(EA6=2,"size",IF(EA6=3,"mom")))</f>
        <v>size</v>
      </c>
      <c r="EB7" s="2" t="str">
        <f t="shared" si="4"/>
        <v>size</v>
      </c>
      <c r="EC7" s="2" t="str">
        <f t="shared" si="4"/>
        <v>mom</v>
      </c>
      <c r="ED7" s="2" t="str">
        <f t="shared" si="4"/>
        <v>bm</v>
      </c>
      <c r="EE7" s="2" t="str">
        <f t="shared" si="4"/>
        <v>bm</v>
      </c>
      <c r="EF7" s="2" t="str">
        <f t="shared" si="4"/>
        <v>bm</v>
      </c>
      <c r="EG7" s="2" t="str">
        <f t="shared" si="4"/>
        <v>bm</v>
      </c>
      <c r="EH7" s="2" t="str">
        <f t="shared" si="4"/>
        <v>mom</v>
      </c>
      <c r="EI7" s="2" t="str">
        <f t="shared" si="4"/>
        <v>size</v>
      </c>
      <c r="EJ7" s="2" t="str">
        <f t="shared" si="4"/>
        <v>size</v>
      </c>
      <c r="EK7" s="2" t="str">
        <f t="shared" si="4"/>
        <v>size</v>
      </c>
      <c r="EL7" s="2" t="str">
        <f t="shared" si="4"/>
        <v>size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5.5741846561431878E-2</v>
      </c>
      <c r="D8" s="2">
        <f t="shared" si="5"/>
        <v>-4.1433513164520257E-2</v>
      </c>
      <c r="E8" s="2">
        <f t="shared" si="5"/>
        <v>-0.1054108068346977</v>
      </c>
      <c r="F8" s="2">
        <f t="shared" si="5"/>
        <v>-0.14115726947784421</v>
      </c>
      <c r="G8" s="2">
        <f t="shared" si="5"/>
        <v>-0.1358892023563385</v>
      </c>
      <c r="H8" s="2">
        <f t="shared" si="5"/>
        <v>-3.2324142754077911E-2</v>
      </c>
      <c r="I8" s="2">
        <f t="shared" si="5"/>
        <v>-5.608823150396347E-2</v>
      </c>
      <c r="J8" s="2">
        <f t="shared" si="5"/>
        <v>6.3844837248325348E-2</v>
      </c>
      <c r="K8" s="2">
        <f t="shared" si="5"/>
        <v>-4.1457630693912513E-2</v>
      </c>
      <c r="L8" s="2">
        <f t="shared" si="5"/>
        <v>8.0356046557426453E-2</v>
      </c>
      <c r="M8" s="2">
        <f t="shared" si="5"/>
        <v>-4.3679680675268173E-2</v>
      </c>
      <c r="N8" s="2">
        <f t="shared" si="5"/>
        <v>3.3819951117038727E-2</v>
      </c>
      <c r="O8" s="2">
        <f t="shared" si="5"/>
        <v>3.6712147295475013E-2</v>
      </c>
      <c r="P8" s="2">
        <f t="shared" si="5"/>
        <v>-5.2210021764039993E-2</v>
      </c>
      <c r="Q8" s="2">
        <f t="shared" si="5"/>
        <v>-6.0307271778583527E-2</v>
      </c>
      <c r="R8" s="2">
        <f t="shared" si="5"/>
        <v>2.8836483135819439E-2</v>
      </c>
      <c r="S8" s="2">
        <f t="shared" si="5"/>
        <v>4.6521492302417762E-2</v>
      </c>
      <c r="T8" s="2">
        <f t="shared" si="5"/>
        <v>-2.4626178666949269E-2</v>
      </c>
      <c r="U8" s="2">
        <f t="shared" si="5"/>
        <v>2.9996473342180249E-2</v>
      </c>
      <c r="V8" s="2">
        <f t="shared" si="5"/>
        <v>8.2199856638908386E-2</v>
      </c>
      <c r="W8" s="2">
        <f t="shared" si="5"/>
        <v>5.1936138421297073E-2</v>
      </c>
      <c r="X8" s="2">
        <f t="shared" si="5"/>
        <v>6.8642176687717438E-2</v>
      </c>
      <c r="Y8" s="2">
        <f t="shared" si="5"/>
        <v>3.7944957613945007E-2</v>
      </c>
      <c r="Z8" s="2">
        <f t="shared" si="5"/>
        <v>-4.8936635255813599E-2</v>
      </c>
      <c r="AA8" s="2">
        <f t="shared" si="5"/>
        <v>7.4104063212871552E-2</v>
      </c>
      <c r="AB8" s="2">
        <f t="shared" si="5"/>
        <v>-7.9052217304706573E-2</v>
      </c>
      <c r="AC8" s="2">
        <f t="shared" si="5"/>
        <v>4.592437669634819E-2</v>
      </c>
      <c r="AD8" s="2">
        <f t="shared" si="5"/>
        <v>3.1133845448493961E-2</v>
      </c>
      <c r="AE8" s="2">
        <f t="shared" si="5"/>
        <v>3.1886115670204163E-2</v>
      </c>
      <c r="AF8" s="2">
        <f t="shared" si="5"/>
        <v>6.3942134380340576E-2</v>
      </c>
      <c r="AG8" s="2">
        <f t="shared" si="5"/>
        <v>4.8616897314786911E-2</v>
      </c>
      <c r="AH8" s="2">
        <f t="shared" si="5"/>
        <v>-2.1153058856725689E-2</v>
      </c>
      <c r="AI8" s="2">
        <f t="shared" ref="AI8:BN8" si="6">IF(AI6=1,AI3,IF(AI6=2,AI4,IF(AI6=3,AI5)))</f>
        <v>4.4364981353282928E-2</v>
      </c>
      <c r="AJ8" s="2">
        <f t="shared" si="6"/>
        <v>5.9207383543252938E-2</v>
      </c>
      <c r="AK8" s="2">
        <f t="shared" si="6"/>
        <v>3.8927238434553153E-2</v>
      </c>
      <c r="AL8" s="2">
        <f t="shared" si="6"/>
        <v>5.3689334541559219E-2</v>
      </c>
      <c r="AM8" s="2">
        <f t="shared" si="6"/>
        <v>5.2407745271921158E-2</v>
      </c>
      <c r="AN8" s="2">
        <f t="shared" si="6"/>
        <v>5.1848378032445908E-2</v>
      </c>
      <c r="AO8" s="2">
        <f t="shared" si="6"/>
        <v>5.6688833981752403E-2</v>
      </c>
      <c r="AP8" s="2">
        <f t="shared" si="6"/>
        <v>7.7263422310352325E-2</v>
      </c>
      <c r="AQ8" s="2">
        <f t="shared" si="6"/>
        <v>4.8698432743549347E-2</v>
      </c>
      <c r="AR8" s="2">
        <f t="shared" si="6"/>
        <v>5.3666368126869202E-2</v>
      </c>
      <c r="AS8" s="2">
        <f t="shared" si="6"/>
        <v>3.9547394961118698E-2</v>
      </c>
      <c r="AT8" s="2">
        <f t="shared" si="6"/>
        <v>2.9460180550813671E-2</v>
      </c>
      <c r="AU8" s="2">
        <f t="shared" si="6"/>
        <v>-3.4190982580184943E-2</v>
      </c>
      <c r="AV8" s="2">
        <f t="shared" si="6"/>
        <v>6.589217483997345E-2</v>
      </c>
      <c r="AW8" s="2">
        <f t="shared" si="6"/>
        <v>-8.0705069005489349E-2</v>
      </c>
      <c r="AX8" s="2">
        <f t="shared" si="6"/>
        <v>5.7690292596817017E-2</v>
      </c>
      <c r="AY8" s="2">
        <f t="shared" si="6"/>
        <v>5.2581634372472763E-2</v>
      </c>
      <c r="AZ8" s="2">
        <f t="shared" si="6"/>
        <v>4.8162486404180527E-2</v>
      </c>
      <c r="BA8" s="2">
        <f t="shared" si="6"/>
        <v>4.5020870864391327E-2</v>
      </c>
      <c r="BB8" s="2">
        <f t="shared" si="6"/>
        <v>5.8584816753864288E-2</v>
      </c>
      <c r="BC8" s="2">
        <f t="shared" si="6"/>
        <v>3.2960090786218643E-2</v>
      </c>
      <c r="BD8" s="2">
        <f t="shared" si="6"/>
        <v>-5.6817673146724701E-2</v>
      </c>
      <c r="BE8" s="2">
        <f t="shared" si="6"/>
        <v>-4.8348080366849899E-2</v>
      </c>
      <c r="BF8" s="2">
        <f t="shared" si="6"/>
        <v>-4.3041668832302087E-2</v>
      </c>
      <c r="BG8" s="2">
        <f t="shared" si="6"/>
        <v>5.6051533669233322E-2</v>
      </c>
      <c r="BH8" s="2">
        <f t="shared" si="6"/>
        <v>-6.5759293735027313E-2</v>
      </c>
      <c r="BI8" s="2">
        <f t="shared" si="6"/>
        <v>-7.9368360340595245E-2</v>
      </c>
      <c r="BJ8" s="2">
        <f t="shared" si="6"/>
        <v>-8.5684239864349365E-2</v>
      </c>
      <c r="BK8" s="2">
        <f t="shared" si="6"/>
        <v>5.9487193822860718E-2</v>
      </c>
      <c r="BL8" s="2">
        <f t="shared" si="6"/>
        <v>-4.8494916409254067E-2</v>
      </c>
      <c r="BM8" s="2">
        <f t="shared" si="6"/>
        <v>-2.3616783320903782E-2</v>
      </c>
      <c r="BN8" s="2">
        <f t="shared" si="6"/>
        <v>-3.0536096543073651E-2</v>
      </c>
      <c r="BO8" s="2">
        <f t="shared" ref="BO8:CT8" si="7">IF(BO6=1,BO3,IF(BO6=2,BO4,IF(BO6=3,BO5)))</f>
        <v>2.686824090778828E-2</v>
      </c>
      <c r="BP8" s="2">
        <f t="shared" si="7"/>
        <v>3.3530544489622123E-2</v>
      </c>
      <c r="BQ8" s="2">
        <f t="shared" si="7"/>
        <v>3.1830046325922012E-2</v>
      </c>
      <c r="BR8" s="2">
        <f t="shared" si="7"/>
        <v>4.0667824447154999E-2</v>
      </c>
      <c r="BS8" s="2">
        <f t="shared" si="7"/>
        <v>2.8570586815476421E-2</v>
      </c>
      <c r="BT8" s="2">
        <f t="shared" si="7"/>
        <v>4.8925049602985382E-2</v>
      </c>
      <c r="BU8" s="2">
        <f t="shared" si="7"/>
        <v>-7.1650400757789612E-2</v>
      </c>
      <c r="BV8" s="2">
        <f t="shared" si="7"/>
        <v>-1.7102757468819622E-2</v>
      </c>
      <c r="BW8" s="2">
        <f t="shared" si="7"/>
        <v>4.0029857307672501E-2</v>
      </c>
      <c r="BX8" s="2">
        <f t="shared" si="7"/>
        <v>2.493099682033062E-2</v>
      </c>
      <c r="BY8" s="2">
        <f t="shared" si="7"/>
        <v>-4.4437490403652191E-2</v>
      </c>
      <c r="BZ8" s="2">
        <f t="shared" si="7"/>
        <v>-3.7445716559886932E-2</v>
      </c>
      <c r="CA8" s="2">
        <f t="shared" si="7"/>
        <v>5.1361106336116791E-2</v>
      </c>
      <c r="CB8" s="2">
        <f t="shared" si="7"/>
        <v>4.0368124842643738E-2</v>
      </c>
      <c r="CC8" s="2">
        <f t="shared" si="7"/>
        <v>-4.7657586634159088E-2</v>
      </c>
      <c r="CD8" s="2">
        <f t="shared" si="7"/>
        <v>-4.3317254632711411E-2</v>
      </c>
      <c r="CE8" s="2">
        <f t="shared" si="7"/>
        <v>-6.9234132766723633E-2</v>
      </c>
      <c r="CF8" s="2">
        <f t="shared" si="7"/>
        <v>6.619059294462204E-2</v>
      </c>
      <c r="CG8" s="2">
        <f t="shared" si="7"/>
        <v>-7.1231015026569366E-2</v>
      </c>
      <c r="CH8" s="2">
        <f t="shared" si="7"/>
        <v>5.1061570644378662E-2</v>
      </c>
      <c r="CI8" s="2">
        <f t="shared" si="7"/>
        <v>-6.7858822643756866E-2</v>
      </c>
      <c r="CJ8" s="2">
        <f t="shared" si="7"/>
        <v>8.8996067643165588E-2</v>
      </c>
      <c r="CK8" s="2">
        <f t="shared" si="7"/>
        <v>-5.9413556009531021E-2</v>
      </c>
      <c r="CL8" s="2">
        <f t="shared" si="7"/>
        <v>8.4330163896083832E-2</v>
      </c>
      <c r="CM8" s="2">
        <f t="shared" si="7"/>
        <v>6.5344303846359253E-2</v>
      </c>
      <c r="CN8" s="2">
        <f t="shared" si="7"/>
        <v>0.11028569936752319</v>
      </c>
      <c r="CO8" s="2">
        <f t="shared" si="7"/>
        <v>3.7435531616210938E-2</v>
      </c>
      <c r="CP8" s="2">
        <f t="shared" si="7"/>
        <v>0.1182377934455872</v>
      </c>
      <c r="CQ8" s="2">
        <f t="shared" si="7"/>
        <v>5.0723213702440262E-2</v>
      </c>
      <c r="CR8" s="2">
        <f t="shared" si="7"/>
        <v>7.6876550912857056E-2</v>
      </c>
      <c r="CS8" s="2">
        <f t="shared" si="7"/>
        <v>0.10389680415391921</v>
      </c>
      <c r="CT8" s="2">
        <f t="shared" si="7"/>
        <v>6.6643297672271729E-2</v>
      </c>
      <c r="CU8" s="2">
        <f t="shared" ref="CU8:DZ8" si="8">IF(CU6=1,CU3,IF(CU6=2,CU4,IF(CU6=3,CU5)))</f>
        <v>-5.2493758499622338E-2</v>
      </c>
      <c r="CV8" s="2">
        <f t="shared" si="8"/>
        <v>2.871822752058506E-2</v>
      </c>
      <c r="CW8" s="2">
        <f t="shared" si="8"/>
        <v>-0.1470402330160141</v>
      </c>
      <c r="CX8" s="2">
        <f t="shared" si="8"/>
        <v>4.5363247394561768E-2</v>
      </c>
      <c r="CY8" s="2">
        <f t="shared" si="8"/>
        <v>6.0462243854999542E-2</v>
      </c>
      <c r="CZ8" s="2">
        <f t="shared" si="8"/>
        <v>6.0128804296255112E-2</v>
      </c>
      <c r="DA8" s="2">
        <f t="shared" si="8"/>
        <v>-6.6368021070957184E-2</v>
      </c>
      <c r="DB8" s="2">
        <f t="shared" si="8"/>
        <v>-9.9088206887245178E-2</v>
      </c>
      <c r="DC8" s="2">
        <f t="shared" si="8"/>
        <v>-8.7841019034385681E-2</v>
      </c>
      <c r="DD8" s="2">
        <f t="shared" si="8"/>
        <v>-9.5149271190166473E-2</v>
      </c>
      <c r="DE8" s="2">
        <f t="shared" si="8"/>
        <v>7.9255074262619019E-2</v>
      </c>
      <c r="DF8" s="2">
        <f t="shared" si="8"/>
        <v>-6.1269368976354599E-2</v>
      </c>
      <c r="DG8" s="2">
        <f t="shared" si="8"/>
        <v>-6.4791887998580933E-2</v>
      </c>
      <c r="DH8" s="2">
        <f t="shared" si="8"/>
        <v>-4.2990855872631073E-2</v>
      </c>
      <c r="DI8" s="2">
        <f t="shared" si="8"/>
        <v>-5.582159012556076E-2</v>
      </c>
      <c r="DJ8" s="2">
        <f t="shared" si="8"/>
        <v>-5.498785525560379E-2</v>
      </c>
      <c r="DK8" s="2">
        <f t="shared" si="8"/>
        <v>-8.0709442496299744E-2</v>
      </c>
      <c r="DL8" s="2">
        <f t="shared" si="8"/>
        <v>-8.7292157113552094E-2</v>
      </c>
      <c r="DM8" s="2">
        <f t="shared" si="8"/>
        <v>2.5429284200072289E-2</v>
      </c>
      <c r="DN8" s="2">
        <f t="shared" si="8"/>
        <v>3.3588364720344543E-2</v>
      </c>
      <c r="DO8" s="2">
        <f t="shared" si="8"/>
        <v>3.080024570226669E-2</v>
      </c>
      <c r="DP8" s="2">
        <f t="shared" si="8"/>
        <v>3.073384054005146E-2</v>
      </c>
      <c r="DQ8" s="2">
        <f t="shared" si="8"/>
        <v>3.8263808935880661E-2</v>
      </c>
      <c r="DR8" s="2">
        <f t="shared" si="8"/>
        <v>-0.1000711172819138</v>
      </c>
      <c r="DS8" s="2">
        <f t="shared" si="8"/>
        <v>3.6518916487693787E-2</v>
      </c>
      <c r="DT8" s="2">
        <f t="shared" si="8"/>
        <v>-3.2376378774642937E-2</v>
      </c>
      <c r="DU8" s="2">
        <f t="shared" si="8"/>
        <v>4.9048192799091339E-2</v>
      </c>
      <c r="DV8" s="2">
        <f t="shared" si="8"/>
        <v>-6.5195851027965546E-2</v>
      </c>
      <c r="DW8" s="2">
        <f t="shared" si="8"/>
        <v>6.2132958322763443E-2</v>
      </c>
      <c r="DX8" s="2">
        <f t="shared" si="8"/>
        <v>3.4120500087738037E-2</v>
      </c>
      <c r="DY8" s="2">
        <f t="shared" si="8"/>
        <v>-6.2778793275356293E-2</v>
      </c>
      <c r="DZ8" s="2">
        <f t="shared" si="8"/>
        <v>-3.5209164023399353E-2</v>
      </c>
      <c r="EA8" s="2">
        <f t="shared" ref="EA8:EM8" si="9">IF(EA6=1,EA3,IF(EA6=2,EA4,IF(EA6=3,EA5)))</f>
        <v>-6.0484454035758972E-2</v>
      </c>
      <c r="EB8" s="2">
        <f t="shared" si="9"/>
        <v>-6.5868578851222992E-2</v>
      </c>
      <c r="EC8" s="2">
        <f t="shared" si="9"/>
        <v>-7.1213126182556152E-2</v>
      </c>
      <c r="ED8" s="2">
        <f t="shared" si="9"/>
        <v>7.5781151652336121E-2</v>
      </c>
      <c r="EE8" s="2">
        <f t="shared" si="9"/>
        <v>7.4293278157711029E-2</v>
      </c>
      <c r="EF8" s="2">
        <f t="shared" si="9"/>
        <v>-2.3859791457653049E-2</v>
      </c>
      <c r="EG8" s="2">
        <f t="shared" si="9"/>
        <v>2.0955521613359451E-2</v>
      </c>
      <c r="EH8" s="2">
        <f t="shared" si="9"/>
        <v>-4.4609863311052322E-2</v>
      </c>
      <c r="EI8" s="2">
        <f t="shared" si="9"/>
        <v>-3.7975464016199112E-2</v>
      </c>
      <c r="EJ8" s="2">
        <f t="shared" si="9"/>
        <v>-2.6498528197407719E-2</v>
      </c>
      <c r="EK8" s="2">
        <f t="shared" si="9"/>
        <v>2.7714299038052559E-2</v>
      </c>
      <c r="EL8" s="2">
        <f t="shared" si="9"/>
        <v>5.3217515349388123E-2</v>
      </c>
      <c r="EM8" s="2">
        <f t="shared" si="9"/>
        <v>8.3066843450069427E-2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-6.6123725509230347E-3</v>
      </c>
      <c r="D12" s="3">
        <v>0.1028237995655711</v>
      </c>
      <c r="E12" s="3">
        <v>3.8261781428851373E-2</v>
      </c>
      <c r="F12" s="3">
        <v>-7.3451094401049653E-3</v>
      </c>
      <c r="G12" s="3">
        <v>1.5156935895989449E-2</v>
      </c>
      <c r="H12" s="3">
        <v>4.3063012145177312E-2</v>
      </c>
      <c r="I12" s="3">
        <v>2.4997931166853341E-2</v>
      </c>
      <c r="J12" s="3">
        <v>1.173916789218694E-3</v>
      </c>
      <c r="K12" s="3">
        <v>2.8025432629048191E-2</v>
      </c>
      <c r="L12" s="3">
        <v>1.533464544549866E-2</v>
      </c>
      <c r="M12" s="3">
        <v>-3.6873954015990708E-3</v>
      </c>
      <c r="N12" s="3">
        <v>4.4637394675003668E-2</v>
      </c>
      <c r="O12" s="3">
        <v>2.6262838934360731E-2</v>
      </c>
      <c r="P12" s="3">
        <v>-1.7497659709287891E-3</v>
      </c>
      <c r="Q12" s="3">
        <v>2.457856848083766E-2</v>
      </c>
      <c r="R12" s="3">
        <v>1.725127340853927E-3</v>
      </c>
      <c r="S12" s="3">
        <v>4.0481855983298447E-2</v>
      </c>
      <c r="T12" s="3">
        <v>-3.4974850894289099E-3</v>
      </c>
      <c r="U12" s="3">
        <v>4.2167677383178606E-3</v>
      </c>
      <c r="V12" s="3">
        <v>2.553853060319855E-3</v>
      </c>
      <c r="W12" s="3">
        <v>-3.3108214591750208E-2</v>
      </c>
      <c r="X12" s="3">
        <v>4.6210240510284703E-2</v>
      </c>
      <c r="Y12" s="3">
        <v>-3.247838058625762E-2</v>
      </c>
      <c r="Z12" s="3">
        <v>4.9358807324568821E-2</v>
      </c>
      <c r="AA12" s="3">
        <v>3.1866296841282657E-2</v>
      </c>
      <c r="AB12" s="3">
        <v>-6.2505728837477306E-3</v>
      </c>
      <c r="AC12" s="3">
        <v>-5.0074104694363658E-2</v>
      </c>
      <c r="AD12" s="3">
        <v>1.549436108572011E-2</v>
      </c>
      <c r="AE12" s="3">
        <v>-3.8003609102383679E-2</v>
      </c>
      <c r="AF12" s="3">
        <v>3.4405111109333537E-2</v>
      </c>
      <c r="AG12" s="3">
        <v>-6.9186945673739434E-3</v>
      </c>
      <c r="AH12" s="3">
        <v>2.4404384646849211E-2</v>
      </c>
      <c r="AI12" s="3">
        <v>1.6159122773231178E-2</v>
      </c>
      <c r="AJ12" s="3">
        <v>1.8902487346677922E-2</v>
      </c>
      <c r="AK12" s="3">
        <v>4.1114693252788923E-2</v>
      </c>
      <c r="AL12" s="3">
        <v>9.6239898747781175E-3</v>
      </c>
      <c r="AM12" s="3">
        <v>2.5435995419533428E-2</v>
      </c>
      <c r="AN12" s="3">
        <v>5.9852191203249902E-2</v>
      </c>
      <c r="AO12" s="3">
        <v>-1.6321434017523529E-3</v>
      </c>
      <c r="AP12" s="3">
        <v>-2.153954826191519E-2</v>
      </c>
      <c r="AQ12" s="3">
        <v>-7.260712968734144E-3</v>
      </c>
      <c r="AR12" s="3">
        <v>7.0017903250165214E-3</v>
      </c>
      <c r="AS12" s="3">
        <v>2.9038603307229179E-2</v>
      </c>
      <c r="AT12" s="3">
        <v>7.1815369298134549E-2</v>
      </c>
      <c r="AU12" s="3">
        <v>6.3509530041740314E-2</v>
      </c>
      <c r="AV12" s="3">
        <v>-2.4831027558915749E-2</v>
      </c>
      <c r="AW12" s="3">
        <v>1.177437316019162E-2</v>
      </c>
      <c r="AX12" s="3">
        <v>-5.579031389003495E-2</v>
      </c>
      <c r="AY12" s="3">
        <v>1.003395302767624E-2</v>
      </c>
      <c r="AZ12" s="3">
        <v>3.3584611920771221E-3</v>
      </c>
      <c r="BA12" s="3">
        <v>4.9042623580592033E-3</v>
      </c>
      <c r="BB12" s="3">
        <v>2.3603629904787472E-2</v>
      </c>
      <c r="BC12" s="3">
        <v>3.7833203905467132E-3</v>
      </c>
      <c r="BD12" s="3">
        <v>3.6980593811856591E-3</v>
      </c>
      <c r="BE12" s="3">
        <v>-4.613774146674713E-2</v>
      </c>
      <c r="BF12" s="3">
        <v>-9.6457869915822607E-3</v>
      </c>
      <c r="BG12" s="3">
        <v>-1.077459977165789E-2</v>
      </c>
      <c r="BH12" s="3">
        <v>3.4422220615853399E-2</v>
      </c>
      <c r="BI12" s="3">
        <v>5.8150960934774433E-2</v>
      </c>
      <c r="BJ12" s="3">
        <v>1.8973352889710929E-2</v>
      </c>
      <c r="BK12" s="3">
        <v>-2.5081314210525871E-2</v>
      </c>
      <c r="BL12" s="3">
        <v>1.052582439158388E-2</v>
      </c>
      <c r="BM12" s="3">
        <v>-4.030159961880006E-2</v>
      </c>
      <c r="BN12" s="3">
        <v>4.1178846826352587E-3</v>
      </c>
      <c r="BO12" s="3">
        <v>-7.669884627921307E-3</v>
      </c>
      <c r="BP12" s="3">
        <v>2.4810168456218851E-2</v>
      </c>
      <c r="BQ12" s="3">
        <v>5.6548259598195923E-3</v>
      </c>
      <c r="BR12" s="3">
        <v>-2.504649872679059E-2</v>
      </c>
      <c r="BS12" s="3">
        <v>1.575274089212392E-3</v>
      </c>
      <c r="BT12" s="3">
        <v>8.8135110723658559E-3</v>
      </c>
      <c r="BU12" s="3">
        <v>-3.5413040825291738E-2</v>
      </c>
      <c r="BV12" s="3">
        <v>2.5457016832642121E-2</v>
      </c>
      <c r="BW12" s="3">
        <v>-5.2391898025049559E-2</v>
      </c>
      <c r="BX12" s="3">
        <v>7.1965923770129468E-3</v>
      </c>
      <c r="BY12" s="3">
        <v>-5.7102816307409023E-2</v>
      </c>
      <c r="BZ12" s="3">
        <v>7.0500167289666293E-3</v>
      </c>
      <c r="CA12" s="3">
        <v>-4.1453840487307159E-3</v>
      </c>
      <c r="CB12" s="3">
        <v>2.4388013154144771E-3</v>
      </c>
      <c r="CC12" s="3">
        <v>5.4872423204937133E-2</v>
      </c>
      <c r="CD12" s="3">
        <v>4.1016506723565618E-2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2.9303637480726809E-2</v>
      </c>
      <c r="CJ12" s="3">
        <v>1.0480510665371159E-2</v>
      </c>
      <c r="CK12" s="3">
        <v>-6.0243583687149653E-2</v>
      </c>
      <c r="CL12" s="3">
        <v>3.5946995556503471E-2</v>
      </c>
      <c r="CM12" s="3">
        <v>-1.483710565722372E-2</v>
      </c>
      <c r="CN12" s="3">
        <v>-3.2484644992415608E-2</v>
      </c>
      <c r="CO12" s="3">
        <v>-6.4189513381316104E-3</v>
      </c>
      <c r="CP12" s="3">
        <v>-8.5422085968391709E-3</v>
      </c>
      <c r="CQ12" s="3">
        <v>-5.7210856477400672E-2</v>
      </c>
      <c r="CR12" s="3">
        <v>-2.0767246136683491E-2</v>
      </c>
      <c r="CS12" s="3">
        <v>-1.969733034609979E-2</v>
      </c>
      <c r="CT12" s="3">
        <v>8.9400217117644454E-3</v>
      </c>
      <c r="CU12" s="3">
        <v>2.38028429767882E-2</v>
      </c>
      <c r="CV12" s="3">
        <v>1.8744411570956909E-2</v>
      </c>
      <c r="CW12" s="3">
        <v>-2.5947070250701171E-2</v>
      </c>
      <c r="CX12" s="3">
        <v>7.0272156267845637E-2</v>
      </c>
      <c r="CY12" s="3">
        <v>-7.8516961663366233E-3</v>
      </c>
      <c r="CZ12" s="3">
        <v>8.8361067051985778E-2</v>
      </c>
      <c r="DA12" s="3">
        <v>3.0372587723068022E-2</v>
      </c>
      <c r="DB12" s="3">
        <v>7.6905201867884826E-2</v>
      </c>
      <c r="DC12" s="3">
        <v>2.59229319446725E-2</v>
      </c>
      <c r="DD12" s="3">
        <v>-1.5871145094522952E-2</v>
      </c>
      <c r="DE12" s="3">
        <v>-1.9664544265514169E-2</v>
      </c>
      <c r="DF12" s="3">
        <v>4.89042761722863E-2</v>
      </c>
      <c r="DG12" s="3">
        <v>-4.3686975841222428E-2</v>
      </c>
      <c r="DH12" s="3">
        <v>3.2463432215984377E-2</v>
      </c>
      <c r="DI12" s="3">
        <v>-1.9823714430408319E-2</v>
      </c>
      <c r="DJ12" s="3">
        <v>2.1108184890481701E-2</v>
      </c>
      <c r="DK12" s="3">
        <v>-3.4140900507271331E-2</v>
      </c>
      <c r="DL12" s="3">
        <v>5.4340703510558086E-4</v>
      </c>
      <c r="DM12" s="3">
        <v>2.1984777876655929E-2</v>
      </c>
      <c r="DN12" s="3">
        <v>-1.0013210955636139E-2</v>
      </c>
      <c r="DO12" s="3">
        <v>-2.337564400492867E-2</v>
      </c>
      <c r="DP12" s="3">
        <v>3.591564094969673E-2</v>
      </c>
      <c r="DQ12" s="3">
        <v>-3.3638118112593193E-2</v>
      </c>
      <c r="DR12" s="3">
        <v>3.8662803926944392E-3</v>
      </c>
      <c r="DS12" s="3">
        <v>-4.2520942460889853E-2</v>
      </c>
      <c r="DT12" s="3">
        <v>3.111511122560481E-2</v>
      </c>
      <c r="DU12" s="3">
        <v>3.6995823685585051E-2</v>
      </c>
      <c r="DV12" s="3">
        <v>2.0472109894068231E-2</v>
      </c>
      <c r="DW12" s="3">
        <v>3.1931752825577822E-3</v>
      </c>
      <c r="DX12" s="3">
        <v>2.4605665763885481E-2</v>
      </c>
      <c r="DY12" s="3">
        <v>4.8638639077399258E-2</v>
      </c>
      <c r="DZ12" s="3">
        <v>2.3579635334096708E-3</v>
      </c>
      <c r="EA12" s="3">
        <v>5.1998138291262541E-2</v>
      </c>
      <c r="EB12" s="3">
        <v>3.5778632231433E-3</v>
      </c>
      <c r="EC12" s="3">
        <v>-3.5432310748164729E-3</v>
      </c>
      <c r="ED12" s="3">
        <v>-6.1427254421337493E-2</v>
      </c>
      <c r="EE12" s="3">
        <v>1.5179855642329151E-2</v>
      </c>
      <c r="EF12" s="3">
        <v>-3.1921081011591287E-2</v>
      </c>
      <c r="EG12" s="3">
        <v>9.7829677873400939E-2</v>
      </c>
      <c r="EH12" s="3">
        <v>1.974026137920324E-2</v>
      </c>
      <c r="EI12" s="3">
        <v>-8.9612566733749469E-3</v>
      </c>
      <c r="EJ12" s="3">
        <v>-3.614039119329969E-2</v>
      </c>
      <c r="EK12" s="3">
        <v>5.0118013209412449E-2</v>
      </c>
      <c r="EL12" s="3">
        <v>-1.677271736884987E-2</v>
      </c>
      <c r="EM12">
        <f t="shared" ref="EM12:EM24" si="11">AVERAGE(C12:EL12)</f>
        <v>9.5319961212750933E-3</v>
      </c>
      <c r="EN12">
        <f t="shared" ref="EN12:EN25" si="12">STDEV(C12:EL12)</f>
        <v>3.4971412035390177E-2</v>
      </c>
      <c r="EO12">
        <f t="shared" ref="EO12:EO25" si="13">EM12/EN12</f>
        <v>0.27256537744684017</v>
      </c>
    </row>
    <row r="13" spans="1:145" x14ac:dyDescent="0.3">
      <c r="A13" s="18">
        <v>20</v>
      </c>
      <c r="B13" s="18">
        <f t="shared" si="10"/>
        <v>53</v>
      </c>
      <c r="C13" s="3">
        <v>2.5000369039076591E-2</v>
      </c>
      <c r="D13" s="3">
        <v>8.3505281944260726E-2</v>
      </c>
      <c r="E13" s="3">
        <v>4.9219108515422091E-2</v>
      </c>
      <c r="F13" s="3">
        <v>-3.7987155428196459E-2</v>
      </c>
      <c r="G13" s="3">
        <v>1.520470294694851E-2</v>
      </c>
      <c r="H13" s="3">
        <v>2.925126379166074E-2</v>
      </c>
      <c r="I13" s="3">
        <v>2.3807709919101881E-2</v>
      </c>
      <c r="J13" s="3">
        <v>-1.017592294177269E-2</v>
      </c>
      <c r="K13" s="3">
        <v>1.7789948863865229E-2</v>
      </c>
      <c r="L13" s="3">
        <v>7.2310355946043209E-4</v>
      </c>
      <c r="M13" s="3">
        <v>1.9915206400358119E-2</v>
      </c>
      <c r="N13" s="3">
        <v>3.6181968854739593E-2</v>
      </c>
      <c r="O13" s="3">
        <v>1.683525059847514E-2</v>
      </c>
      <c r="P13" s="3">
        <v>1.5955720806170949E-2</v>
      </c>
      <c r="Q13" s="3">
        <v>5.5097990574834353E-2</v>
      </c>
      <c r="R13" s="3">
        <v>-3.330400307077389E-3</v>
      </c>
      <c r="S13" s="3">
        <v>6.7239971359634526E-2</v>
      </c>
      <c r="T13" s="3">
        <v>-1.334845466353553E-2</v>
      </c>
      <c r="U13" s="3">
        <v>3.4065547263899668E-2</v>
      </c>
      <c r="V13" s="3">
        <v>3.4322849657213582E-3</v>
      </c>
      <c r="W13" s="3">
        <v>-1.759060101918378E-2</v>
      </c>
      <c r="X13" s="3">
        <v>6.2214171126705547E-2</v>
      </c>
      <c r="Y13" s="3">
        <v>-4.1377915347424278E-2</v>
      </c>
      <c r="Z13" s="3">
        <v>5.9697424026507503E-2</v>
      </c>
      <c r="AA13" s="3">
        <v>5.0692982307539547E-2</v>
      </c>
      <c r="AB13" s="3">
        <v>-1.264645014928166E-2</v>
      </c>
      <c r="AC13" s="3">
        <v>-5.3020261002784598E-2</v>
      </c>
      <c r="AD13" s="3">
        <v>9.9449374766517294E-3</v>
      </c>
      <c r="AE13" s="3">
        <v>-4.2459961574410059E-2</v>
      </c>
      <c r="AF13" s="3">
        <v>4.8654006266786648E-2</v>
      </c>
      <c r="AG13" s="3">
        <v>-5.0412953408421439E-3</v>
      </c>
      <c r="AH13" s="3">
        <v>2.6267439591638891E-2</v>
      </c>
      <c r="AI13" s="3">
        <v>1.2512959993696461E-2</v>
      </c>
      <c r="AJ13" s="3">
        <v>-9.9915601526937205E-3</v>
      </c>
      <c r="AK13" s="3">
        <v>6.3693124550481303E-2</v>
      </c>
      <c r="AL13" s="3">
        <v>5.2251369702858586E-3</v>
      </c>
      <c r="AM13" s="3">
        <v>2.8672215639817301E-2</v>
      </c>
      <c r="AN13" s="3">
        <v>9.6939841924799333E-2</v>
      </c>
      <c r="AO13" s="3">
        <v>3.911145004500426E-4</v>
      </c>
      <c r="AP13" s="3">
        <v>-4.5398469090540697E-2</v>
      </c>
      <c r="AQ13" s="3">
        <v>-2.989844811575759E-3</v>
      </c>
      <c r="AR13" s="3">
        <v>3.047074072696282E-3</v>
      </c>
      <c r="AS13" s="3">
        <v>3.4877568004709689E-2</v>
      </c>
      <c r="AT13" s="3">
        <v>9.4929151988845523E-2</v>
      </c>
      <c r="AU13" s="3">
        <v>7.3018129783138763E-2</v>
      </c>
      <c r="AV13" s="3">
        <v>1.215214194423001E-2</v>
      </c>
      <c r="AW13" s="3">
        <v>3.5176783968494933E-2</v>
      </c>
      <c r="AX13" s="3">
        <v>-5.210077315508603E-2</v>
      </c>
      <c r="AY13" s="3">
        <v>2.9071266322073241E-3</v>
      </c>
      <c r="AZ13" s="3">
        <v>6.3332741558955481E-3</v>
      </c>
      <c r="BA13" s="3">
        <v>1.0876447369980091E-2</v>
      </c>
      <c r="BB13" s="3">
        <v>4.8762443627020063E-2</v>
      </c>
      <c r="BC13" s="3">
        <v>6.1704012924434642E-3</v>
      </c>
      <c r="BD13" s="3">
        <v>3.7643710147462592E-3</v>
      </c>
      <c r="BE13" s="3">
        <v>-5.0521462631845232E-2</v>
      </c>
      <c r="BF13" s="3">
        <v>-1.235613097131359E-2</v>
      </c>
      <c r="BG13" s="3">
        <v>2.5001802635475391E-3</v>
      </c>
      <c r="BH13" s="3">
        <v>4.1179773134603408E-2</v>
      </c>
      <c r="BI13" s="3">
        <v>5.6277194494778103E-2</v>
      </c>
      <c r="BJ13" s="3">
        <v>1.437935531144139E-2</v>
      </c>
      <c r="BK13" s="3">
        <v>-2.2436774029587839E-2</v>
      </c>
      <c r="BL13" s="3">
        <v>1.396548097632338E-2</v>
      </c>
      <c r="BM13" s="3">
        <v>-4.6612515564975428E-2</v>
      </c>
      <c r="BN13" s="3">
        <v>2.0443855489151661E-2</v>
      </c>
      <c r="BO13" s="3">
        <v>-2.4476561554917661E-2</v>
      </c>
      <c r="BP13" s="3">
        <v>2.022167930850018E-2</v>
      </c>
      <c r="BQ13" s="3">
        <v>2.067169344822321E-2</v>
      </c>
      <c r="BR13" s="3">
        <v>-2.6424990886673619E-2</v>
      </c>
      <c r="BS13" s="3">
        <v>-6.9397851550220746E-3</v>
      </c>
      <c r="BT13" s="3">
        <v>-5.0253781744752993E-3</v>
      </c>
      <c r="BU13" s="3">
        <v>-6.0633378589253037E-2</v>
      </c>
      <c r="BV13" s="3">
        <v>1.7125324583562859E-2</v>
      </c>
      <c r="BW13" s="3">
        <v>-0.10489004166697111</v>
      </c>
      <c r="BX13" s="3">
        <v>1.5755333566071891E-2</v>
      </c>
      <c r="BY13" s="3">
        <v>-3.3780685411275102E-2</v>
      </c>
      <c r="BZ13" s="3">
        <v>2.4459567102379509E-3</v>
      </c>
      <c r="CA13" s="3">
        <v>1.622127064651737E-2</v>
      </c>
      <c r="CB13" s="3">
        <v>1.755194909886618E-2</v>
      </c>
      <c r="CC13" s="3">
        <v>9.6289701716755827E-2</v>
      </c>
      <c r="CD13" s="3">
        <v>4.8839900488750997E-2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1.9628790837295011E-2</v>
      </c>
      <c r="CJ13" s="3">
        <v>-2.09059253114105E-3</v>
      </c>
      <c r="CK13" s="3">
        <v>-6.5517118371520411E-2</v>
      </c>
      <c r="CL13" s="3">
        <v>1.756796805678432E-2</v>
      </c>
      <c r="CM13" s="3">
        <v>1.12744821677096E-2</v>
      </c>
      <c r="CN13" s="3">
        <v>-3.7478846520031493E-2</v>
      </c>
      <c r="CO13" s="3">
        <v>1.6064412374439591E-2</v>
      </c>
      <c r="CP13" s="3">
        <v>1.45402505454446E-2</v>
      </c>
      <c r="CQ13" s="3">
        <v>-5.6641732139420711E-2</v>
      </c>
      <c r="CR13" s="3">
        <v>-2.860180943047964E-2</v>
      </c>
      <c r="CS13" s="3">
        <v>-9.6574006437869613E-3</v>
      </c>
      <c r="CT13" s="3">
        <v>2.3460602227813709E-2</v>
      </c>
      <c r="CU13" s="3">
        <v>3.5215497946164548E-2</v>
      </c>
      <c r="CV13" s="3">
        <v>1.706810460739748E-2</v>
      </c>
      <c r="CW13" s="3">
        <v>-3.3795594047858958E-2</v>
      </c>
      <c r="CX13" s="3">
        <v>7.9685442390190903E-2</v>
      </c>
      <c r="CY13" s="3">
        <v>-1.898489829125095E-2</v>
      </c>
      <c r="CZ13" s="3">
        <v>8.0348889372885493E-2</v>
      </c>
      <c r="DA13" s="3">
        <v>1.482978302679655E-2</v>
      </c>
      <c r="DB13" s="3">
        <v>7.8082554401336171E-2</v>
      </c>
      <c r="DC13" s="3">
        <v>3.8784674127842089E-2</v>
      </c>
      <c r="DD13" s="3">
        <v>-1.6442308122780198E-2</v>
      </c>
      <c r="DE13" s="3">
        <v>-1.424011475858664E-2</v>
      </c>
      <c r="DF13" s="3">
        <v>6.3934165702345558E-2</v>
      </c>
      <c r="DG13" s="3">
        <v>-3.7529260637764378E-2</v>
      </c>
      <c r="DH13" s="3">
        <v>3.9090407329143158E-2</v>
      </c>
      <c r="DI13" s="3">
        <v>-1.510479360590612E-2</v>
      </c>
      <c r="DJ13" s="3">
        <v>6.0368666565386231E-3</v>
      </c>
      <c r="DK13" s="3">
        <v>-2.0804992587120239E-2</v>
      </c>
      <c r="DL13" s="3">
        <v>2.9014875224417289E-2</v>
      </c>
      <c r="DM13" s="3">
        <v>8.0990213384564986E-3</v>
      </c>
      <c r="DN13" s="3">
        <v>-4.5047643292899266E-3</v>
      </c>
      <c r="DO13" s="3">
        <v>-4.1067716545564847E-2</v>
      </c>
      <c r="DP13" s="3">
        <v>5.3511487842789501E-2</v>
      </c>
      <c r="DQ13" s="3">
        <v>-3.803275480350686E-2</v>
      </c>
      <c r="DR13" s="3">
        <v>7.7352535359323168E-3</v>
      </c>
      <c r="DS13" s="3">
        <v>-5.4267429282953868E-2</v>
      </c>
      <c r="DT13" s="3">
        <v>5.644308286791834E-2</v>
      </c>
      <c r="DU13" s="3">
        <v>2.0814911038588228E-2</v>
      </c>
      <c r="DV13" s="3">
        <v>3.5576138544501937E-2</v>
      </c>
      <c r="DW13" s="3">
        <v>2.1192478829749031E-2</v>
      </c>
      <c r="DX13" s="3">
        <v>3.1033236253458451E-2</v>
      </c>
      <c r="DY13" s="3">
        <v>6.349586820188044E-2</v>
      </c>
      <c r="DZ13" s="3">
        <v>8.5362001782125982E-3</v>
      </c>
      <c r="EA13" s="3">
        <v>4.6460981855743183E-2</v>
      </c>
      <c r="EB13" s="3">
        <v>1.9472343328164211E-3</v>
      </c>
      <c r="EC13" s="3">
        <v>-9.636892087663218E-3</v>
      </c>
      <c r="ED13" s="3">
        <v>-6.5938452986503679E-2</v>
      </c>
      <c r="EE13" s="3">
        <v>1.68225068969215E-2</v>
      </c>
      <c r="EF13" s="3">
        <v>-5.5587355043285408E-2</v>
      </c>
      <c r="EG13" s="3">
        <v>0.1515491861230315</v>
      </c>
      <c r="EH13" s="3">
        <v>1.120523021333945E-2</v>
      </c>
      <c r="EI13" s="3">
        <v>-1.362226048758707E-2</v>
      </c>
      <c r="EJ13" s="3">
        <v>-3.1971336258269353E-2</v>
      </c>
      <c r="EK13" s="3">
        <v>4.3586137420909263E-2</v>
      </c>
      <c r="EL13" s="3">
        <v>-5.4200361509841789E-2</v>
      </c>
      <c r="EM13">
        <f t="shared" si="11"/>
        <v>1.2284419380831494E-2</v>
      </c>
      <c r="EN13">
        <f t="shared" si="12"/>
        <v>4.2268920543290595E-2</v>
      </c>
      <c r="EO13">
        <f t="shared" si="13"/>
        <v>0.2906253394441467</v>
      </c>
    </row>
    <row r="14" spans="1:145" x14ac:dyDescent="0.3">
      <c r="A14" s="18">
        <v>50</v>
      </c>
      <c r="B14" s="18">
        <f t="shared" si="10"/>
        <v>21</v>
      </c>
      <c r="C14" s="3">
        <v>7.0147677629209787E-2</v>
      </c>
      <c r="D14" s="3">
        <v>0.1158127989469112</v>
      </c>
      <c r="E14" s="3">
        <v>8.3639426142282008E-2</v>
      </c>
      <c r="F14" s="3">
        <v>-4.7441583885534683E-2</v>
      </c>
      <c r="G14" s="3">
        <v>9.7449694003839432E-2</v>
      </c>
      <c r="H14" s="3">
        <v>7.6211003064836511E-2</v>
      </c>
      <c r="I14" s="3">
        <v>4.8575362107981447E-2</v>
      </c>
      <c r="J14" s="3">
        <v>2.4369522512445091E-2</v>
      </c>
      <c r="K14" s="3">
        <v>3.8115639066763518E-2</v>
      </c>
      <c r="L14" s="3">
        <v>3.9693686366189529E-3</v>
      </c>
      <c r="M14" s="3">
        <v>-8.3093354972449858E-3</v>
      </c>
      <c r="N14" s="3">
        <v>7.7795135254071307E-2</v>
      </c>
      <c r="O14" s="3">
        <v>-6.9838309719343333E-3</v>
      </c>
      <c r="P14" s="3">
        <v>5.4679978269078763E-2</v>
      </c>
      <c r="Q14" s="3">
        <v>8.760922597337209E-2</v>
      </c>
      <c r="R14" s="3">
        <v>-3.2911964443531959E-3</v>
      </c>
      <c r="S14" s="3">
        <v>0.1395841093461111</v>
      </c>
      <c r="T14" s="3">
        <v>-6.4994990085081722E-3</v>
      </c>
      <c r="U14" s="3">
        <v>1.6338249029147749E-2</v>
      </c>
      <c r="V14" s="3">
        <v>-3.4231499798857618E-2</v>
      </c>
      <c r="W14" s="3">
        <v>-2.6873789517261031E-2</v>
      </c>
      <c r="X14" s="3">
        <v>0.1032033074865468</v>
      </c>
      <c r="Y14" s="3">
        <v>-4.4544401368763753E-2</v>
      </c>
      <c r="Z14" s="3">
        <v>0.1062122318974191</v>
      </c>
      <c r="AA14" s="3">
        <v>9.6850949783866311E-2</v>
      </c>
      <c r="AB14" s="3">
        <v>-9.9352063083414169E-3</v>
      </c>
      <c r="AC14" s="3">
        <v>-1.982436908184718E-2</v>
      </c>
      <c r="AD14" s="3">
        <v>-1.962744274660147E-2</v>
      </c>
      <c r="AE14" s="3">
        <v>-8.9297689327916319E-2</v>
      </c>
      <c r="AF14" s="3">
        <v>5.8011953789199912E-2</v>
      </c>
      <c r="AG14" s="3">
        <v>-5.8792649675238201E-3</v>
      </c>
      <c r="AH14" s="3">
        <v>5.6536548945862707E-2</v>
      </c>
      <c r="AI14" s="3">
        <v>6.879689977993092E-2</v>
      </c>
      <c r="AJ14" s="3">
        <v>7.7624249253961733E-3</v>
      </c>
      <c r="AK14" s="3">
        <v>5.8451122638718933E-2</v>
      </c>
      <c r="AL14" s="3">
        <v>2.5944789681796199E-2</v>
      </c>
      <c r="AM14" s="3">
        <v>5.075574272085917E-2</v>
      </c>
      <c r="AN14" s="3">
        <v>0.1044155732278423</v>
      </c>
      <c r="AO14" s="3">
        <v>2.4115184884545629E-2</v>
      </c>
      <c r="AP14" s="3">
        <v>-5.4501731434774173E-2</v>
      </c>
      <c r="AQ14" s="3">
        <v>-1.981008370123865E-2</v>
      </c>
      <c r="AR14" s="3">
        <v>7.3752568151875322E-3</v>
      </c>
      <c r="AS14" s="3">
        <v>-1.3478001554976559E-2</v>
      </c>
      <c r="AT14" s="3">
        <v>0.13781441350398549</v>
      </c>
      <c r="AU14" s="3">
        <v>0.10970669075879751</v>
      </c>
      <c r="AV14" s="3">
        <v>9.2046834100939015E-3</v>
      </c>
      <c r="AW14" s="3">
        <v>3.7803967151079483E-2</v>
      </c>
      <c r="AX14" s="3">
        <v>-4.0769983534298428E-2</v>
      </c>
      <c r="AY14" s="3">
        <v>-9.727674926682181E-4</v>
      </c>
      <c r="AZ14" s="3">
        <v>-1.152333289766873E-2</v>
      </c>
      <c r="BA14" s="3">
        <v>3.6761616107432463E-2</v>
      </c>
      <c r="BB14" s="3">
        <v>5.8943089787233602E-2</v>
      </c>
      <c r="BC14" s="3">
        <v>2.052320405610537E-2</v>
      </c>
      <c r="BD14" s="3">
        <v>3.5072877830974479E-2</v>
      </c>
      <c r="BE14" s="3">
        <v>-3.3401943930245669E-2</v>
      </c>
      <c r="BF14" s="3">
        <v>5.6265665791791434E-3</v>
      </c>
      <c r="BG14" s="3">
        <v>-1.3689418355870611E-2</v>
      </c>
      <c r="BH14" s="3">
        <v>6.4711625059727329E-2</v>
      </c>
      <c r="BI14" s="3">
        <v>3.008741729199943E-2</v>
      </c>
      <c r="BJ14" s="3">
        <v>6.3282892431894208E-3</v>
      </c>
      <c r="BK14" s="3">
        <v>-5.4567351026670631E-3</v>
      </c>
      <c r="BL14" s="3">
        <v>7.7225927104139364E-3</v>
      </c>
      <c r="BM14" s="3">
        <v>-3.292116482344528E-2</v>
      </c>
      <c r="BN14" s="3">
        <v>2.8891663266068551E-2</v>
      </c>
      <c r="BO14" s="3">
        <v>-5.4034428789532622E-2</v>
      </c>
      <c r="BP14" s="3">
        <v>-4.8228295466902868E-2</v>
      </c>
      <c r="BQ14" s="3">
        <v>7.4654789912314279E-3</v>
      </c>
      <c r="BR14" s="3">
        <v>4.0855164893561358E-4</v>
      </c>
      <c r="BS14" s="3">
        <v>-4.2854182405706293E-2</v>
      </c>
      <c r="BT14" s="3">
        <v>-3.7045271178850502E-2</v>
      </c>
      <c r="BU14" s="3">
        <v>-0.1073950379134682</v>
      </c>
      <c r="BV14" s="3">
        <v>1.366274116239047E-2</v>
      </c>
      <c r="BW14" s="3">
        <v>-0.145179513349457</v>
      </c>
      <c r="BX14" s="3">
        <v>5.7360046534479757E-2</v>
      </c>
      <c r="BY14" s="3">
        <v>2.82450264855999E-3</v>
      </c>
      <c r="BZ14" s="3">
        <v>4.9772173607772342E-2</v>
      </c>
      <c r="CA14" s="3">
        <v>7.8723597363891562E-2</v>
      </c>
      <c r="CB14" s="3">
        <v>1.419250845140313E-2</v>
      </c>
      <c r="CC14" s="3">
        <v>8.7443825544862033E-2</v>
      </c>
      <c r="CD14" s="3">
        <v>5.6136825161885243E-2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-3.1238083619163168E-2</v>
      </c>
      <c r="CJ14" s="3">
        <v>-6.6208015381626073E-3</v>
      </c>
      <c r="CK14" s="3">
        <v>-5.3942692127080083E-2</v>
      </c>
      <c r="CL14" s="3">
        <v>4.1084957022469823E-2</v>
      </c>
      <c r="CM14" s="3">
        <v>5.1975427815521641E-2</v>
      </c>
      <c r="CN14" s="3">
        <v>-4.5793102108443333E-2</v>
      </c>
      <c r="CO14" s="3">
        <v>2.4403149299448579E-2</v>
      </c>
      <c r="CP14" s="3">
        <v>6.6645440687895796E-2</v>
      </c>
      <c r="CQ14" s="3">
        <v>-1.6983985983403772E-2</v>
      </c>
      <c r="CR14" s="3">
        <v>-1.3200144795487459E-2</v>
      </c>
      <c r="CS14" s="3">
        <v>4.9698699028887837E-3</v>
      </c>
      <c r="CT14" s="3">
        <v>5.0744733197539818E-2</v>
      </c>
      <c r="CU14" s="3">
        <v>8.6087365626370607E-2</v>
      </c>
      <c r="CV14" s="3">
        <v>3.3616367074304279E-2</v>
      </c>
      <c r="CW14" s="3">
        <v>-4.1207943299450843E-2</v>
      </c>
      <c r="CX14" s="3">
        <v>7.88806266203783E-2</v>
      </c>
      <c r="CY14" s="3">
        <v>-3.428408043506647E-2</v>
      </c>
      <c r="CZ14" s="3">
        <v>6.7028483584619769E-2</v>
      </c>
      <c r="DA14" s="3">
        <v>4.7399854232221567E-2</v>
      </c>
      <c r="DB14" s="3">
        <v>8.363887939681891E-2</v>
      </c>
      <c r="DC14" s="3">
        <v>5.3791589317465027E-2</v>
      </c>
      <c r="DD14" s="3">
        <v>3.5820502941925361E-2</v>
      </c>
      <c r="DE14" s="3">
        <v>-2.7444221094356149E-2</v>
      </c>
      <c r="DF14" s="3">
        <v>0.16325273418346661</v>
      </c>
      <c r="DG14" s="3">
        <v>-4.3741274114486028E-2</v>
      </c>
      <c r="DH14" s="3">
        <v>6.2926025887418816E-2</v>
      </c>
      <c r="DI14" s="3">
        <v>1.3854001235964969E-2</v>
      </c>
      <c r="DJ14" s="3">
        <v>1.377716786830015E-2</v>
      </c>
      <c r="DK14" s="3">
        <v>-3.5525438533042929E-2</v>
      </c>
      <c r="DL14" s="3">
        <v>1.1058220056049671E-2</v>
      </c>
      <c r="DM14" s="3">
        <v>1.911646502345786E-2</v>
      </c>
      <c r="DN14" s="3">
        <v>6.4680191210663568E-2</v>
      </c>
      <c r="DO14" s="3">
        <v>-6.749155499135967E-2</v>
      </c>
      <c r="DP14" s="3">
        <v>3.5084228984769261E-2</v>
      </c>
      <c r="DQ14" s="3">
        <v>-9.6101137863941852E-2</v>
      </c>
      <c r="DR14" s="3">
        <v>1.1803939980301371E-2</v>
      </c>
      <c r="DS14" s="3">
        <v>-5.4531248892000617E-2</v>
      </c>
      <c r="DT14" s="3">
        <v>0.1043046091230625</v>
      </c>
      <c r="DU14" s="3">
        <v>8.7746691323399892E-2</v>
      </c>
      <c r="DV14" s="3">
        <v>4.6847071346960787E-3</v>
      </c>
      <c r="DW14" s="3">
        <v>9.7196857655370839E-3</v>
      </c>
      <c r="DX14" s="3">
        <v>1.88267874784681E-2</v>
      </c>
      <c r="DY14" s="3">
        <v>6.0570737892259231E-2</v>
      </c>
      <c r="DZ14" s="3">
        <v>7.844014404504062E-3</v>
      </c>
      <c r="EA14" s="3">
        <v>6.2943118256179875E-2</v>
      </c>
      <c r="EB14" s="3">
        <v>-3.071333659011679E-2</v>
      </c>
      <c r="EC14" s="3">
        <v>-4.9736405358414948E-2</v>
      </c>
      <c r="ED14" s="3">
        <v>-9.8937325993809042E-2</v>
      </c>
      <c r="EE14" s="3">
        <v>1.8521692121038651E-2</v>
      </c>
      <c r="EF14" s="3">
        <v>-5.0666320547840413E-2</v>
      </c>
      <c r="EG14" s="3">
        <v>0.21599686931788431</v>
      </c>
      <c r="EH14" s="3">
        <v>1.1678053250898889E-2</v>
      </c>
      <c r="EI14" s="3">
        <v>-5.69536739345574E-3</v>
      </c>
      <c r="EJ14" s="3">
        <v>-2.653232647605696E-2</v>
      </c>
      <c r="EK14" s="3">
        <v>3.5700625683798178E-2</v>
      </c>
      <c r="EL14" s="3">
        <v>-4.7771192418282378E-2</v>
      </c>
      <c r="EM14">
        <f t="shared" si="11"/>
        <v>2.1183863549509276E-2</v>
      </c>
      <c r="EN14">
        <f t="shared" si="12"/>
        <v>5.8394610040715993E-2</v>
      </c>
      <c r="EO14">
        <f t="shared" si="13"/>
        <v>0.36277087105708383</v>
      </c>
    </row>
    <row r="15" spans="1:145" x14ac:dyDescent="0.3">
      <c r="A15" s="18">
        <v>110</v>
      </c>
      <c r="B15" s="18">
        <f t="shared" si="10"/>
        <v>10</v>
      </c>
      <c r="C15" s="3">
        <v>9.5037535583778296E-2</v>
      </c>
      <c r="D15" s="3">
        <v>0.17378891286628589</v>
      </c>
      <c r="E15" s="3">
        <v>7.4569663037060918E-2</v>
      </c>
      <c r="F15" s="3">
        <v>-8.1782026576160557E-2</v>
      </c>
      <c r="G15" s="3">
        <v>0.13793788264858101</v>
      </c>
      <c r="H15" s="3">
        <v>8.1815649923674238E-2</v>
      </c>
      <c r="I15" s="3">
        <v>9.9572773432820394E-2</v>
      </c>
      <c r="J15" s="3">
        <v>4.344786742942542E-2</v>
      </c>
      <c r="K15" s="3">
        <v>3.1508098267589248E-2</v>
      </c>
      <c r="L15" s="3">
        <v>-2.1771981531289181E-4</v>
      </c>
      <c r="M15" s="3">
        <v>-0.14710226331423629</v>
      </c>
      <c r="N15" s="3">
        <v>0.10167565845691411</v>
      </c>
      <c r="O15" s="3">
        <v>-1.8896543000180489E-2</v>
      </c>
      <c r="P15" s="3">
        <v>6.7357960555196841E-2</v>
      </c>
      <c r="Q15" s="3">
        <v>4.2372616617837811E-2</v>
      </c>
      <c r="R15" s="3">
        <v>-5.307967748589041E-2</v>
      </c>
      <c r="S15" s="3">
        <v>0.1802361447281137</v>
      </c>
      <c r="T15" s="3">
        <v>-3.1600514120534079E-2</v>
      </c>
      <c r="U15" s="3">
        <v>-4.7793734894272827E-2</v>
      </c>
      <c r="V15" s="3">
        <v>-6.0599995689698663E-2</v>
      </c>
      <c r="W15" s="3">
        <v>-1.544097769719144E-2</v>
      </c>
      <c r="X15" s="3">
        <v>0.10443897904169711</v>
      </c>
      <c r="Y15" s="3">
        <v>-2.1717268120404979E-2</v>
      </c>
      <c r="Z15" s="3">
        <v>4.8366369396083367E-2</v>
      </c>
      <c r="AA15" s="3">
        <v>0.12890890101030661</v>
      </c>
      <c r="AB15" s="3">
        <v>-3.2233149180326173E-2</v>
      </c>
      <c r="AC15" s="3">
        <v>3.3883246056628097E-2</v>
      </c>
      <c r="AD15" s="3">
        <v>1.5381375430983659E-2</v>
      </c>
      <c r="AE15" s="3">
        <v>-8.7545829366010366E-2</v>
      </c>
      <c r="AF15" s="3">
        <v>8.6141075845689322E-2</v>
      </c>
      <c r="AG15" s="3">
        <v>2.8616357951262608E-3</v>
      </c>
      <c r="AH15" s="3">
        <v>-6.6286235669350043E-3</v>
      </c>
      <c r="AI15" s="3">
        <v>5.7025540334767227E-2</v>
      </c>
      <c r="AJ15" s="3">
        <v>9.7728322028750314E-3</v>
      </c>
      <c r="AK15" s="3">
        <v>5.7963941149427933E-2</v>
      </c>
      <c r="AL15" s="3">
        <v>5.4708467172654783E-2</v>
      </c>
      <c r="AM15" s="3">
        <v>3.4533291566364407E-2</v>
      </c>
      <c r="AN15" s="3">
        <v>0.1187039663124473</v>
      </c>
      <c r="AO15" s="3">
        <v>-1.57253302919012E-3</v>
      </c>
      <c r="AP15" s="3">
        <v>-3.7834339344812867E-2</v>
      </c>
      <c r="AQ15" s="3">
        <v>-4.3749869403351023E-2</v>
      </c>
      <c r="AR15" s="3">
        <v>1.1318369487501111E-2</v>
      </c>
      <c r="AS15" s="3">
        <v>-6.5028803619250217E-2</v>
      </c>
      <c r="AT15" s="3">
        <v>0.2078389578691365</v>
      </c>
      <c r="AU15" s="3">
        <v>0.13494561595533039</v>
      </c>
      <c r="AV15" s="3">
        <v>3.0933319172823E-2</v>
      </c>
      <c r="AW15" s="3">
        <v>9.0158082259649969E-2</v>
      </c>
      <c r="AX15" s="3">
        <v>-0.1140796931468484</v>
      </c>
      <c r="AY15" s="3">
        <v>-1.2308096600947281E-2</v>
      </c>
      <c r="AZ15" s="3">
        <v>-4.980659279348823E-2</v>
      </c>
      <c r="BA15" s="3">
        <v>1.6457938493464719E-2</v>
      </c>
      <c r="BB15" s="3">
        <v>0.13753343966627751</v>
      </c>
      <c r="BC15" s="3">
        <v>6.7540883800242132E-2</v>
      </c>
      <c r="BD15" s="3">
        <v>-2.4992669803208901E-2</v>
      </c>
      <c r="BE15" s="3">
        <v>-5.4722500662893928E-2</v>
      </c>
      <c r="BF15" s="3">
        <v>-5.7792733795554677E-2</v>
      </c>
      <c r="BG15" s="3">
        <v>-1.302155209581895E-2</v>
      </c>
      <c r="BH15" s="3">
        <v>9.516212770205057E-2</v>
      </c>
      <c r="BI15" s="3">
        <v>4.4085977791574048E-2</v>
      </c>
      <c r="BJ15" s="3">
        <v>4.6155034773925352E-2</v>
      </c>
      <c r="BK15" s="3">
        <v>-5.118404624624151E-3</v>
      </c>
      <c r="BL15" s="3">
        <v>-8.0895922787738994E-3</v>
      </c>
      <c r="BM15" s="3">
        <v>-5.4492831913828248E-2</v>
      </c>
      <c r="BN15" s="3">
        <v>0.1005762245768906</v>
      </c>
      <c r="BO15" s="3">
        <v>-3.8015807833610367E-2</v>
      </c>
      <c r="BP15" s="3">
        <v>-9.8443455406784119E-2</v>
      </c>
      <c r="BQ15" s="3">
        <v>1.5695153147145501E-2</v>
      </c>
      <c r="BR15" s="3">
        <v>-5.2735500177523029E-2</v>
      </c>
      <c r="BS15" s="3">
        <v>-1.9853277814635362E-2</v>
      </c>
      <c r="BT15" s="3">
        <v>-4.9227241421055903E-2</v>
      </c>
      <c r="BU15" s="3">
        <v>-5.3351350971269758E-2</v>
      </c>
      <c r="BV15" s="3">
        <v>3.3638788543710267E-2</v>
      </c>
      <c r="BW15" s="3">
        <v>-0.19426949603978569</v>
      </c>
      <c r="BX15" s="3">
        <v>-7.9095404982131249E-3</v>
      </c>
      <c r="BY15" s="3">
        <v>4.628839666923823E-2</v>
      </c>
      <c r="BZ15" s="3">
        <v>8.6772760457739267E-2</v>
      </c>
      <c r="CA15" s="3">
        <v>0.17956376560331061</v>
      </c>
      <c r="CB15" s="3">
        <v>-0.1027662829498909</v>
      </c>
      <c r="CC15" s="3">
        <v>0.12139251508922611</v>
      </c>
      <c r="CD15" s="3">
        <v>9.5156376760311689E-2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-1.190852745856851E-2</v>
      </c>
      <c r="CJ15" s="3">
        <v>-4.3972103903508523E-2</v>
      </c>
      <c r="CK15" s="3">
        <v>-0.1434218267067412</v>
      </c>
      <c r="CL15" s="3">
        <v>-5.9674696722932769E-2</v>
      </c>
      <c r="CM15" s="3">
        <v>3.6904799918243907E-2</v>
      </c>
      <c r="CN15" s="3">
        <v>-8.5872132847714805E-2</v>
      </c>
      <c r="CO15" s="3">
        <v>-6.3390092816188362E-2</v>
      </c>
      <c r="CP15" s="3">
        <v>7.8825084918561397E-2</v>
      </c>
      <c r="CQ15" s="3">
        <v>-6.4482894299108936E-3</v>
      </c>
      <c r="CR15" s="3">
        <v>-2.2146667711150449E-2</v>
      </c>
      <c r="CS15" s="3">
        <v>-3.3847615873731592E-4</v>
      </c>
      <c r="CT15" s="3">
        <v>7.7651270757731372E-2</v>
      </c>
      <c r="CU15" s="3">
        <v>0.17082912064995279</v>
      </c>
      <c r="CV15" s="3">
        <v>2.8223211493210231E-2</v>
      </c>
      <c r="CW15" s="3">
        <v>-3.1169210624073362E-2</v>
      </c>
      <c r="CX15" s="3">
        <v>6.2601100394391443E-2</v>
      </c>
      <c r="CY15" s="3">
        <v>-4.2666444999690092E-2</v>
      </c>
      <c r="CZ15" s="3">
        <v>9.092379279398248E-2</v>
      </c>
      <c r="DA15" s="3">
        <v>6.8598067734650631E-2</v>
      </c>
      <c r="DB15" s="3">
        <v>3.9932392948441107E-2</v>
      </c>
      <c r="DC15" s="3">
        <v>6.8810504069061584E-2</v>
      </c>
      <c r="DD15" s="3">
        <v>0.18692140142605129</v>
      </c>
      <c r="DE15" s="3">
        <v>-2.5121441411934949E-2</v>
      </c>
      <c r="DF15" s="3">
        <v>0.29943562896720732</v>
      </c>
      <c r="DG15" s="3">
        <v>-4.017163325563592E-2</v>
      </c>
      <c r="DH15" s="3">
        <v>0.13218755394970341</v>
      </c>
      <c r="DI15" s="3">
        <v>2.8468466705051671E-2</v>
      </c>
      <c r="DJ15" s="3">
        <v>2.886359519681039E-2</v>
      </c>
      <c r="DK15" s="3">
        <v>-8.3677801123215767E-2</v>
      </c>
      <c r="DL15" s="3">
        <v>-1.6033360186535691E-3</v>
      </c>
      <c r="DM15" s="3">
        <v>1.298329715564042E-2</v>
      </c>
      <c r="DN15" s="3">
        <v>0.1111745334290872</v>
      </c>
      <c r="DO15" s="3">
        <v>-4.2035732338063979E-2</v>
      </c>
      <c r="DP15" s="3">
        <v>-1.2595778583227491E-2</v>
      </c>
      <c r="DQ15" s="3">
        <v>-0.13393214683499249</v>
      </c>
      <c r="DR15" s="3">
        <v>-4.4039774800065157E-2</v>
      </c>
      <c r="DS15" s="3">
        <v>-9.6666961613897678E-2</v>
      </c>
      <c r="DT15" s="3">
        <v>2.6593188694125799E-2</v>
      </c>
      <c r="DU15" s="3">
        <v>0.15570488266181609</v>
      </c>
      <c r="DV15" s="3">
        <v>1.8984707114096611E-2</v>
      </c>
      <c r="DW15" s="3">
        <v>1.6197702595987139E-2</v>
      </c>
      <c r="DX15" s="3">
        <v>3.5904110072630502E-2</v>
      </c>
      <c r="DY15" s="3">
        <v>0.11749143031016419</v>
      </c>
      <c r="DZ15" s="3">
        <v>4.5174472986779816E-3</v>
      </c>
      <c r="EA15" s="3">
        <v>6.474027869781232E-2</v>
      </c>
      <c r="EB15" s="3">
        <v>-7.6590860111436121E-2</v>
      </c>
      <c r="EC15" s="3">
        <v>-8.7894691591285309E-2</v>
      </c>
      <c r="ED15" s="3">
        <v>-0.14216139430498731</v>
      </c>
      <c r="EE15" s="3">
        <v>-9.1854053386567144E-3</v>
      </c>
      <c r="EF15" s="3">
        <v>-3.5515733602531969E-2</v>
      </c>
      <c r="EG15" s="3">
        <v>0.34471480336630661</v>
      </c>
      <c r="EH15" s="3">
        <v>2.3350353236254201E-2</v>
      </c>
      <c r="EI15" s="3">
        <v>-2.8455498797761641E-2</v>
      </c>
      <c r="EJ15" s="3">
        <v>-5.7632244059381048E-2</v>
      </c>
      <c r="EK15" s="3">
        <v>3.4906710498600252E-2</v>
      </c>
      <c r="EL15" s="3">
        <v>4.1557680501237038E-2</v>
      </c>
      <c r="EM15">
        <f t="shared" si="11"/>
        <v>2.1643034069817484E-2</v>
      </c>
      <c r="EN15">
        <f t="shared" si="12"/>
        <v>8.5304695666366462E-2</v>
      </c>
      <c r="EO15">
        <f t="shared" si="13"/>
        <v>0.2537144514818403</v>
      </c>
    </row>
    <row r="16" spans="1:145" x14ac:dyDescent="0.3">
      <c r="A16" s="18">
        <v>120</v>
      </c>
      <c r="B16" s="18">
        <f t="shared" si="10"/>
        <v>9</v>
      </c>
      <c r="C16" s="3">
        <v>9.71680377431344E-2</v>
      </c>
      <c r="D16" s="3">
        <v>0.18425850840958</v>
      </c>
      <c r="E16" s="3">
        <v>7.4485661362278494E-2</v>
      </c>
      <c r="F16" s="3">
        <v>-5.3057197033406472E-2</v>
      </c>
      <c r="G16" s="3">
        <v>0.1549372816949042</v>
      </c>
      <c r="H16" s="3">
        <v>8.2581288923990526E-2</v>
      </c>
      <c r="I16" s="3">
        <v>8.1776720845163881E-2</v>
      </c>
      <c r="J16" s="3">
        <v>5.2356481008443707E-2</v>
      </c>
      <c r="K16" s="3">
        <v>2.9838911503494391E-2</v>
      </c>
      <c r="L16" s="3">
        <v>1.5775149055428539E-2</v>
      </c>
      <c r="M16" s="3">
        <v>-0.15885956315251279</v>
      </c>
      <c r="N16" s="3">
        <v>0.10888348295094639</v>
      </c>
      <c r="O16" s="3">
        <v>-2.9371948062139708E-2</v>
      </c>
      <c r="P16" s="3">
        <v>7.9649562113123101E-2</v>
      </c>
      <c r="Q16" s="3">
        <v>4.802033055303033E-2</v>
      </c>
      <c r="R16" s="3">
        <v>-6.2293902562806293E-2</v>
      </c>
      <c r="S16" s="3">
        <v>0.1962294625411693</v>
      </c>
      <c r="T16" s="3">
        <v>-2.8224061966782489E-2</v>
      </c>
      <c r="U16" s="3">
        <v>-5.4621101690652103E-2</v>
      </c>
      <c r="V16" s="3">
        <v>-7.5295882228626876E-2</v>
      </c>
      <c r="W16" s="3">
        <v>-6.2744042721163962E-2</v>
      </c>
      <c r="X16" s="3">
        <v>0.1018402697575891</v>
      </c>
      <c r="Y16" s="3">
        <v>-2.6871903231725329E-2</v>
      </c>
      <c r="Z16" s="3">
        <v>4.8488528814658122E-2</v>
      </c>
      <c r="AA16" s="3">
        <v>0.12915152114136599</v>
      </c>
      <c r="AB16" s="3">
        <v>-3.3105837225623852E-2</v>
      </c>
      <c r="AC16" s="3">
        <v>2.5086622142810992E-2</v>
      </c>
      <c r="AD16" s="3">
        <v>3.1502386036138808E-2</v>
      </c>
      <c r="AE16" s="3">
        <v>-0.1117077976445722</v>
      </c>
      <c r="AF16" s="3">
        <v>8.638719713056546E-2</v>
      </c>
      <c r="AG16" s="3">
        <v>-2.6570564569897222E-3</v>
      </c>
      <c r="AH16" s="3">
        <v>1.2400628853758059E-2</v>
      </c>
      <c r="AI16" s="3">
        <v>5.3932803571996701E-2</v>
      </c>
      <c r="AJ16" s="3">
        <v>-3.0488408940729989E-2</v>
      </c>
      <c r="AK16" s="3">
        <v>6.4421400832372078E-2</v>
      </c>
      <c r="AL16" s="3">
        <v>3.3707825123009287E-2</v>
      </c>
      <c r="AM16" s="3">
        <v>2.85912264822701E-2</v>
      </c>
      <c r="AN16" s="3">
        <v>0.1374029139074828</v>
      </c>
      <c r="AO16" s="3">
        <v>2.1362408139252921E-2</v>
      </c>
      <c r="AP16" s="3">
        <v>-6.2955476002942351E-2</v>
      </c>
      <c r="AQ16" s="3">
        <v>-4.5395594867893942E-2</v>
      </c>
      <c r="AR16" s="3">
        <v>2.195304702745236E-2</v>
      </c>
      <c r="AS16" s="3">
        <v>-6.572009184837771E-2</v>
      </c>
      <c r="AT16" s="3">
        <v>0.2213208370440905</v>
      </c>
      <c r="AU16" s="3">
        <v>0.1387006490225984</v>
      </c>
      <c r="AV16" s="3">
        <v>2.4593170054472379E-2</v>
      </c>
      <c r="AW16" s="3">
        <v>9.4834369614056946E-2</v>
      </c>
      <c r="AX16" s="3">
        <v>-0.113595596911948</v>
      </c>
      <c r="AY16" s="3">
        <v>-1.1168144858505541E-2</v>
      </c>
      <c r="AZ16" s="3">
        <v>-5.884526916264432E-2</v>
      </c>
      <c r="BA16" s="3">
        <v>1.2096985808141791E-2</v>
      </c>
      <c r="BB16" s="3">
        <v>0.13297865675970799</v>
      </c>
      <c r="BC16" s="3">
        <v>6.5392330536299823E-2</v>
      </c>
      <c r="BD16" s="3">
        <v>-2.9906619076661839E-3</v>
      </c>
      <c r="BE16" s="3">
        <v>-4.7261609618519607E-2</v>
      </c>
      <c r="BF16" s="3">
        <v>-5.9047856730823467E-2</v>
      </c>
      <c r="BG16" s="3">
        <v>-2.1354945470887069E-2</v>
      </c>
      <c r="BH16" s="3">
        <v>0.12147275210746999</v>
      </c>
      <c r="BI16" s="3">
        <v>4.0348434529685812E-2</v>
      </c>
      <c r="BJ16" s="3">
        <v>5.1164983931225379E-2</v>
      </c>
      <c r="BK16" s="3">
        <v>-3.0539266155663689E-2</v>
      </c>
      <c r="BL16" s="3">
        <v>-1.089851819344082E-2</v>
      </c>
      <c r="BM16" s="3">
        <v>-4.4461594183894608E-2</v>
      </c>
      <c r="BN16" s="3">
        <v>7.819811809290661E-2</v>
      </c>
      <c r="BO16" s="3">
        <v>-3.0200719185444161E-2</v>
      </c>
      <c r="BP16" s="3">
        <v>-4.4135395130594127E-2</v>
      </c>
      <c r="BQ16" s="3">
        <v>1.6526033585724551E-2</v>
      </c>
      <c r="BR16" s="3">
        <v>-6.207829018013316E-2</v>
      </c>
      <c r="BS16" s="3">
        <v>-9.2733534181936965E-3</v>
      </c>
      <c r="BT16" s="3">
        <v>-5.015959430703798E-2</v>
      </c>
      <c r="BU16" s="3">
        <v>-4.2485239717766472E-2</v>
      </c>
      <c r="BV16" s="3">
        <v>2.6126170779363841E-2</v>
      </c>
      <c r="BW16" s="3">
        <v>-0.21283064117570519</v>
      </c>
      <c r="BX16" s="3">
        <v>8.0992436044694735E-3</v>
      </c>
      <c r="BY16" s="3">
        <v>6.4777386642231899E-2</v>
      </c>
      <c r="BZ16" s="3">
        <v>7.9934571903241991E-2</v>
      </c>
      <c r="CA16" s="3">
        <v>0.17145332351057069</v>
      </c>
      <c r="CB16" s="3">
        <v>-9.535550941805139E-2</v>
      </c>
      <c r="CC16" s="3">
        <v>6.9042887920293089E-2</v>
      </c>
      <c r="CD16" s="3">
        <v>0.1064543418042266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7.9549352008626784E-2</v>
      </c>
      <c r="CJ16" s="3">
        <v>-5.6743180121133011E-2</v>
      </c>
      <c r="CK16" s="3">
        <v>-0.1414699025513512</v>
      </c>
      <c r="CL16" s="3">
        <v>-6.1983832753590047E-2</v>
      </c>
      <c r="CM16" s="3">
        <v>3.1503144237707517E-2</v>
      </c>
      <c r="CN16" s="3">
        <v>-6.1379874937325371E-2</v>
      </c>
      <c r="CO16" s="3">
        <v>-8.8829577837161944E-2</v>
      </c>
      <c r="CP16" s="3">
        <v>8.0406142975407657E-2</v>
      </c>
      <c r="CQ16" s="3">
        <v>-7.5659968624205126E-2</v>
      </c>
      <c r="CR16" s="3">
        <v>-3.1607546547798807E-2</v>
      </c>
      <c r="CS16" s="3">
        <v>-1.142324905970141E-2</v>
      </c>
      <c r="CT16" s="3">
        <v>9.4320407651038218E-2</v>
      </c>
      <c r="CU16" s="3">
        <v>0.1728962212160351</v>
      </c>
      <c r="CV16" s="3">
        <v>2.5480206948086701E-2</v>
      </c>
      <c r="CW16" s="3">
        <v>-5.5800521046015572E-2</v>
      </c>
      <c r="CX16" s="3">
        <v>5.808372813074774E-2</v>
      </c>
      <c r="CY16" s="3">
        <v>-4.9637639404829813E-2</v>
      </c>
      <c r="CZ16" s="3">
        <v>0.1187113778136329</v>
      </c>
      <c r="DA16" s="3">
        <v>9.5888548540856988E-2</v>
      </c>
      <c r="DB16" s="3">
        <v>5.7360444555607203E-2</v>
      </c>
      <c r="DC16" s="3">
        <v>7.6411120966757506E-2</v>
      </c>
      <c r="DD16" s="3">
        <v>0.2096615572825862</v>
      </c>
      <c r="DE16" s="3">
        <v>-2.6213745236921351E-2</v>
      </c>
      <c r="DF16" s="3">
        <v>0.32192975016651382</v>
      </c>
      <c r="DG16" s="3">
        <v>-4.4449392942329309E-2</v>
      </c>
      <c r="DH16" s="3">
        <v>0.15270632460183189</v>
      </c>
      <c r="DI16" s="3">
        <v>4.0146607313784402E-2</v>
      </c>
      <c r="DJ16" s="3">
        <v>3.8300463436286243E-2</v>
      </c>
      <c r="DK16" s="3">
        <v>-8.32605938990571E-2</v>
      </c>
      <c r="DL16" s="3">
        <v>-8.676913236973182E-3</v>
      </c>
      <c r="DM16" s="3">
        <v>-3.6759747118981653E-2</v>
      </c>
      <c r="DN16" s="3">
        <v>0.1030004857123339</v>
      </c>
      <c r="DO16" s="3">
        <v>-5.5376440467518988E-2</v>
      </c>
      <c r="DP16" s="3">
        <v>1.7922888901306559E-2</v>
      </c>
      <c r="DQ16" s="3">
        <v>-0.13624209025000489</v>
      </c>
      <c r="DR16" s="3">
        <v>-4.0142165192253693E-2</v>
      </c>
      <c r="DS16" s="3">
        <v>-0.11644656854764381</v>
      </c>
      <c r="DT16" s="3">
        <v>1.640590613539835E-2</v>
      </c>
      <c r="DU16" s="3">
        <v>0.17791333832569989</v>
      </c>
      <c r="DV16" s="3">
        <v>1.917334026721049E-2</v>
      </c>
      <c r="DW16" s="3">
        <v>2.854486907738369E-2</v>
      </c>
      <c r="DX16" s="3">
        <v>2.738991040352097E-2</v>
      </c>
      <c r="DY16" s="3">
        <v>0.11447030232105861</v>
      </c>
      <c r="DZ16" s="3">
        <v>1.31116688137165E-2</v>
      </c>
      <c r="EA16" s="3">
        <v>8.4234522479627136E-2</v>
      </c>
      <c r="EB16" s="3">
        <v>-7.3319027144237076E-2</v>
      </c>
      <c r="EC16" s="3">
        <v>-9.5701086047416228E-2</v>
      </c>
      <c r="ED16" s="3">
        <v>-0.14742156790967209</v>
      </c>
      <c r="EE16" s="3">
        <v>2.2485564444540032E-3</v>
      </c>
      <c r="EF16" s="3">
        <v>-2.8909886459456389E-2</v>
      </c>
      <c r="EG16" s="3">
        <v>0.39578695837248468</v>
      </c>
      <c r="EH16" s="3">
        <v>2.0533961936404031E-2</v>
      </c>
      <c r="EI16" s="3">
        <v>-2.5811730105797591E-2</v>
      </c>
      <c r="EJ16" s="3">
        <v>-5.5428965937572079E-2</v>
      </c>
      <c r="EK16" s="3">
        <v>3.6273530087149439E-2</v>
      </c>
      <c r="EL16" s="3">
        <v>2.0357810052897621E-2</v>
      </c>
      <c r="EM16">
        <f t="shared" si="11"/>
        <v>2.2245828347116765E-2</v>
      </c>
      <c r="EN16">
        <f t="shared" si="12"/>
        <v>9.08376106403712E-2</v>
      </c>
      <c r="EO16">
        <f t="shared" si="13"/>
        <v>0.24489666989578426</v>
      </c>
    </row>
    <row r="17" spans="1:145" x14ac:dyDescent="0.3">
      <c r="A17" s="18">
        <v>130</v>
      </c>
      <c r="B17" s="18">
        <f t="shared" si="10"/>
        <v>8</v>
      </c>
      <c r="C17" s="3">
        <v>0.10848541786298629</v>
      </c>
      <c r="D17" s="3">
        <v>0.18133129259318301</v>
      </c>
      <c r="E17" s="3">
        <v>7.6702626423688205E-2</v>
      </c>
      <c r="F17" s="3">
        <v>-5.6491026831464307E-2</v>
      </c>
      <c r="G17" s="3">
        <v>0.16879684531803379</v>
      </c>
      <c r="H17" s="3">
        <v>3.995329522451764E-2</v>
      </c>
      <c r="I17" s="3">
        <v>8.1303625832984658E-2</v>
      </c>
      <c r="J17" s="3">
        <v>4.3881178344967943E-2</v>
      </c>
      <c r="K17" s="3">
        <v>1.6624607727713681E-2</v>
      </c>
      <c r="L17" s="3">
        <v>-7.6384008429408734E-3</v>
      </c>
      <c r="M17" s="3">
        <v>-0.18055640141264581</v>
      </c>
      <c r="N17" s="3">
        <v>0.11706289663700579</v>
      </c>
      <c r="O17" s="3">
        <v>-2.4067294318932831E-2</v>
      </c>
      <c r="P17" s="3">
        <v>8.7196549040837179E-2</v>
      </c>
      <c r="Q17" s="3">
        <v>5.0219076893250669E-2</v>
      </c>
      <c r="R17" s="3">
        <v>-6.8471776238508975E-2</v>
      </c>
      <c r="S17" s="3">
        <v>0.24596559854622521</v>
      </c>
      <c r="T17" s="3">
        <v>-3.2232623548323902E-2</v>
      </c>
      <c r="U17" s="3">
        <v>-4.4878559177761727E-2</v>
      </c>
      <c r="V17" s="3">
        <v>-7.1459287832526613E-2</v>
      </c>
      <c r="W17" s="3">
        <v>-7.6581696676687225E-2</v>
      </c>
      <c r="X17" s="3">
        <v>0.1340913045828529</v>
      </c>
      <c r="Y17" s="3">
        <v>-3.3272863783535243E-2</v>
      </c>
      <c r="Z17" s="3">
        <v>5.6824382034626648E-2</v>
      </c>
      <c r="AA17" s="3">
        <v>0.15968294389123941</v>
      </c>
      <c r="AB17" s="3">
        <v>-2.0715778855493489E-2</v>
      </c>
      <c r="AC17" s="3">
        <v>1.7804086134317849E-2</v>
      </c>
      <c r="AD17" s="3">
        <v>4.0127990401333843E-2</v>
      </c>
      <c r="AE17" s="3">
        <v>-0.12410093615335881</v>
      </c>
      <c r="AF17" s="3">
        <v>6.3645527540493393E-2</v>
      </c>
      <c r="AG17" s="3">
        <v>-1.265023247571453E-3</v>
      </c>
      <c r="AH17" s="3">
        <v>2.060342264877934E-3</v>
      </c>
      <c r="AI17" s="3">
        <v>3.7243729794268279E-2</v>
      </c>
      <c r="AJ17" s="3">
        <v>-4.2250026986231329E-2</v>
      </c>
      <c r="AK17" s="3">
        <v>3.1812485999819867E-2</v>
      </c>
      <c r="AL17" s="3">
        <v>3.184147070148817E-2</v>
      </c>
      <c r="AM17" s="3">
        <v>4.4527643935009492E-2</v>
      </c>
      <c r="AN17" s="3">
        <v>0.1150317075315794</v>
      </c>
      <c r="AO17" s="3">
        <v>1.8766319856617419E-2</v>
      </c>
      <c r="AP17" s="3">
        <v>-8.5202770622020807E-2</v>
      </c>
      <c r="AQ17" s="3">
        <v>-3.5840387988483297E-2</v>
      </c>
      <c r="AR17" s="3">
        <v>2.4600126491950969E-2</v>
      </c>
      <c r="AS17" s="3">
        <v>-8.6099673056289988E-2</v>
      </c>
      <c r="AT17" s="3">
        <v>0.2675017318134017</v>
      </c>
      <c r="AU17" s="3">
        <v>0.13777320588584041</v>
      </c>
      <c r="AV17" s="3">
        <v>2.370055769704725E-2</v>
      </c>
      <c r="AW17" s="3">
        <v>0.1140002593049446</v>
      </c>
      <c r="AX17" s="3">
        <v>-9.6011082808542647E-2</v>
      </c>
      <c r="AY17" s="3">
        <v>-1.0766339922778921E-2</v>
      </c>
      <c r="AZ17" s="3">
        <v>-7.0901272638070487E-2</v>
      </c>
      <c r="BA17" s="3">
        <v>9.6964031887086036E-3</v>
      </c>
      <c r="BB17" s="3">
        <v>0.14231737533917449</v>
      </c>
      <c r="BC17" s="3">
        <v>8.1917917659997619E-2</v>
      </c>
      <c r="BD17" s="3">
        <v>-2.2665331732207649E-2</v>
      </c>
      <c r="BE17" s="3">
        <v>-3.6598392584075781E-2</v>
      </c>
      <c r="BF17" s="3">
        <v>-2.3357909879356899E-2</v>
      </c>
      <c r="BG17" s="3">
        <v>1.0876604974189481E-2</v>
      </c>
      <c r="BH17" s="3">
        <v>0.1241267148019493</v>
      </c>
      <c r="BI17" s="3">
        <v>2.4448208911691249E-2</v>
      </c>
      <c r="BJ17" s="3">
        <v>7.7585785842305105E-2</v>
      </c>
      <c r="BK17" s="3">
        <v>-5.563431815760507E-2</v>
      </c>
      <c r="BL17" s="3">
        <v>5.5826729985598983E-3</v>
      </c>
      <c r="BM17" s="3">
        <v>-2.368577340358741E-2</v>
      </c>
      <c r="BN17" s="3">
        <v>5.8811256157272368E-2</v>
      </c>
      <c r="BO17" s="3">
        <v>-3.1737885293326371E-2</v>
      </c>
      <c r="BP17" s="3">
        <v>-5.1687061175644672E-2</v>
      </c>
      <c r="BQ17" s="3">
        <v>3.9513525861328079E-2</v>
      </c>
      <c r="BR17" s="3">
        <v>-9.1050123730805302E-2</v>
      </c>
      <c r="BS17" s="3">
        <v>-1.0628500977726539E-2</v>
      </c>
      <c r="BT17" s="3">
        <v>-2.713598156373118E-2</v>
      </c>
      <c r="BU17" s="3">
        <v>-7.1890941464683278E-2</v>
      </c>
      <c r="BV17" s="3">
        <v>2.3776920127193239E-2</v>
      </c>
      <c r="BW17" s="3">
        <v>-0.23425066051151591</v>
      </c>
      <c r="BX17" s="3">
        <v>2.430471463428575E-3</v>
      </c>
      <c r="BY17" s="3">
        <v>8.5728186499804904E-2</v>
      </c>
      <c r="BZ17" s="3">
        <v>8.7603173155947484E-2</v>
      </c>
      <c r="CA17" s="3">
        <v>0.12925304455486569</v>
      </c>
      <c r="CB17" s="3">
        <v>-0.10075521522681841</v>
      </c>
      <c r="CC17" s="3">
        <v>6.4406574130592448E-2</v>
      </c>
      <c r="CD17" s="3">
        <v>0.117653824838826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7.186677986695221E-2</v>
      </c>
      <c r="CJ17" s="3">
        <v>-8.1625098873259805E-2</v>
      </c>
      <c r="CK17" s="3">
        <v>-0.1430434700386142</v>
      </c>
      <c r="CL17" s="3">
        <v>-0.11702067645203509</v>
      </c>
      <c r="CM17" s="3">
        <v>-1.342411832556523E-2</v>
      </c>
      <c r="CN17" s="3">
        <v>-7.1601733869625178E-2</v>
      </c>
      <c r="CO17" s="3">
        <v>-0.132332062187618</v>
      </c>
      <c r="CP17" s="3">
        <v>9.9452860955883599E-2</v>
      </c>
      <c r="CQ17" s="3">
        <v>-6.6152951237496135E-2</v>
      </c>
      <c r="CR17" s="3">
        <v>-3.7973367941478813E-2</v>
      </c>
      <c r="CS17" s="3">
        <v>9.1114212490726217E-3</v>
      </c>
      <c r="CT17" s="3">
        <v>0.10623952418419159</v>
      </c>
      <c r="CU17" s="3">
        <v>0.1423385733270735</v>
      </c>
      <c r="CV17" s="3">
        <v>1.7497571856797681E-2</v>
      </c>
      <c r="CW17" s="3">
        <v>-6.9562239507384466E-2</v>
      </c>
      <c r="CX17" s="3">
        <v>4.9065005678958711E-2</v>
      </c>
      <c r="CY17" s="3">
        <v>-5.8010683239434202E-2</v>
      </c>
      <c r="CZ17" s="3">
        <v>0.16623877981028229</v>
      </c>
      <c r="DA17" s="3">
        <v>8.4473677696731947E-2</v>
      </c>
      <c r="DB17" s="3">
        <v>5.8532682781620111E-2</v>
      </c>
      <c r="DC17" s="3">
        <v>6.81425922149341E-2</v>
      </c>
      <c r="DD17" s="3">
        <v>-4.8534466911192488E-2</v>
      </c>
      <c r="DE17" s="3">
        <v>-2.505165232706846E-2</v>
      </c>
      <c r="DF17" s="3">
        <v>0.34811952842700339</v>
      </c>
      <c r="DG17" s="3">
        <v>-5.0927877609217728E-2</v>
      </c>
      <c r="DH17" s="3">
        <v>0.1770091726222508</v>
      </c>
      <c r="DI17" s="3">
        <v>3.1911727931631849E-2</v>
      </c>
      <c r="DJ17" s="3">
        <v>4.0386117821395347E-2</v>
      </c>
      <c r="DK17" s="3">
        <v>-9.5776785314946766E-2</v>
      </c>
      <c r="DL17" s="3">
        <v>-1.499076796394215E-2</v>
      </c>
      <c r="DM17" s="3">
        <v>-4.3442597022706787E-2</v>
      </c>
      <c r="DN17" s="3">
        <v>0.1407928439418504</v>
      </c>
      <c r="DO17" s="3">
        <v>-7.5164690087662328E-2</v>
      </c>
      <c r="DP17" s="3">
        <v>3.1720124336312043E-2</v>
      </c>
      <c r="DQ17" s="3">
        <v>-0.14463219226151761</v>
      </c>
      <c r="DR17" s="3">
        <v>-6.7693697223895968E-2</v>
      </c>
      <c r="DS17" s="3">
        <v>-0.1498474763074365</v>
      </c>
      <c r="DT17" s="3">
        <v>5.6014247137875298E-3</v>
      </c>
      <c r="DU17" s="3">
        <v>0.19564396620173291</v>
      </c>
      <c r="DV17" s="3">
        <v>2.9012843398603459E-2</v>
      </c>
      <c r="DW17" s="3">
        <v>3.9271864742645463E-2</v>
      </c>
      <c r="DX17" s="3">
        <v>2.1171876425109509E-2</v>
      </c>
      <c r="DY17" s="3">
        <v>0.14093027568997349</v>
      </c>
      <c r="DZ17" s="3">
        <v>3.183445410941981E-3</v>
      </c>
      <c r="EA17" s="3">
        <v>0.1051514099583504</v>
      </c>
      <c r="EB17" s="3">
        <v>-7.6530001002924619E-2</v>
      </c>
      <c r="EC17" s="3">
        <v>-0.120671676430002</v>
      </c>
      <c r="ED17" s="3">
        <v>-0.16432986689100751</v>
      </c>
      <c r="EE17" s="3">
        <v>2.6414141937767501E-2</v>
      </c>
      <c r="EF17" s="3">
        <v>-1.447501637623212E-2</v>
      </c>
      <c r="EG17" s="3">
        <v>0.44216671310880312</v>
      </c>
      <c r="EH17" s="3">
        <v>1.5751083219620252E-2</v>
      </c>
      <c r="EI17" s="3">
        <v>-2.282926836822334E-2</v>
      </c>
      <c r="EJ17" s="3">
        <v>-4.4788383857553203E-2</v>
      </c>
      <c r="EK17" s="3">
        <v>4.4324994732956882E-2</v>
      </c>
      <c r="EL17" s="3">
        <v>1.9339646930291419E-2</v>
      </c>
      <c r="EM17">
        <f t="shared" si="11"/>
        <v>2.0180392018170495E-2</v>
      </c>
      <c r="EN17">
        <f t="shared" si="12"/>
        <v>9.9058538189985029E-2</v>
      </c>
      <c r="EO17">
        <f t="shared" si="13"/>
        <v>0.2037218839174306</v>
      </c>
    </row>
    <row r="18" spans="1:145" x14ac:dyDescent="0.3">
      <c r="A18" s="18">
        <v>150</v>
      </c>
      <c r="B18" s="18">
        <f t="shared" si="10"/>
        <v>7</v>
      </c>
      <c r="C18" s="3">
        <v>5.264358642546442E-2</v>
      </c>
      <c r="D18" s="3">
        <v>0.19928275284188771</v>
      </c>
      <c r="E18" s="3">
        <v>0.1001849868838494</v>
      </c>
      <c r="F18" s="3">
        <v>-2.9665957214543359E-2</v>
      </c>
      <c r="G18" s="3">
        <v>0.19210418888863839</v>
      </c>
      <c r="H18" s="3">
        <v>6.2052684049543103E-2</v>
      </c>
      <c r="I18" s="3">
        <v>5.2263615120235127E-2</v>
      </c>
      <c r="J18" s="3">
        <v>3.8729016937960679E-2</v>
      </c>
      <c r="K18" s="3">
        <v>4.5576885674027991E-2</v>
      </c>
      <c r="L18" s="3">
        <v>-7.9542387863260969E-3</v>
      </c>
      <c r="M18" s="3">
        <v>-0.1872515498287286</v>
      </c>
      <c r="N18" s="3">
        <v>0.1214089582381661</v>
      </c>
      <c r="O18" s="3">
        <v>-5.1258915333106045E-4</v>
      </c>
      <c r="P18" s="3">
        <v>0.1070047671871618</v>
      </c>
      <c r="Q18" s="3">
        <v>5.6066275128662739E-2</v>
      </c>
      <c r="R18" s="3">
        <v>-7.6537480253127566E-2</v>
      </c>
      <c r="S18" s="3">
        <v>0.28114321822492511</v>
      </c>
      <c r="T18" s="3">
        <v>-3.4061670835758347E-2</v>
      </c>
      <c r="U18" s="3">
        <v>-0.13647668496472129</v>
      </c>
      <c r="V18" s="3">
        <v>-6.8181928002782111E-2</v>
      </c>
      <c r="W18" s="3">
        <v>-8.9030265334534606E-2</v>
      </c>
      <c r="X18" s="3">
        <v>0.12683028097326729</v>
      </c>
      <c r="Y18" s="3">
        <v>-4.1263726337171347E-2</v>
      </c>
      <c r="Z18" s="3">
        <v>6.7105426807382601E-2</v>
      </c>
      <c r="AA18" s="3">
        <v>0.14275686813834179</v>
      </c>
      <c r="AB18" s="3">
        <v>5.3535794206202858E-3</v>
      </c>
      <c r="AC18" s="3">
        <v>1.7944234425234039E-2</v>
      </c>
      <c r="AD18" s="3">
        <v>4.9341194583544488E-2</v>
      </c>
      <c r="AE18" s="3">
        <v>-0.14388359760565739</v>
      </c>
      <c r="AF18" s="3">
        <v>7.7698561671110986E-2</v>
      </c>
      <c r="AG18" s="3">
        <v>-7.9201247878502787E-3</v>
      </c>
      <c r="AH18" s="3">
        <v>7.6207714340203302E-3</v>
      </c>
      <c r="AI18" s="3">
        <v>4.5546369815387407E-2</v>
      </c>
      <c r="AJ18" s="3">
        <v>-4.2673162795915688E-2</v>
      </c>
      <c r="AK18" s="3">
        <v>-2.1874809686740931E-3</v>
      </c>
      <c r="AL18" s="3">
        <v>2.6245818566959529E-2</v>
      </c>
      <c r="AM18" s="3">
        <v>3.2364637877036827E-2</v>
      </c>
      <c r="AN18" s="3">
        <v>0.12728849630120859</v>
      </c>
      <c r="AO18" s="3">
        <v>3.2357983974054212E-2</v>
      </c>
      <c r="AP18" s="3">
        <v>-8.6893121332880269E-2</v>
      </c>
      <c r="AQ18" s="3">
        <v>-4.2830181032528787E-2</v>
      </c>
      <c r="AR18" s="3">
        <v>2.750994645123778E-2</v>
      </c>
      <c r="AS18" s="3">
        <v>-3.4980856502051363E-2</v>
      </c>
      <c r="AT18" s="3">
        <v>0.29755359591416419</v>
      </c>
      <c r="AU18" s="3">
        <v>0.13825373607297631</v>
      </c>
      <c r="AV18" s="3">
        <v>1.431530618647409E-2</v>
      </c>
      <c r="AW18" s="3">
        <v>0.1159983480527748</v>
      </c>
      <c r="AX18" s="3">
        <v>-0.1384838600667897</v>
      </c>
      <c r="AY18" s="3">
        <v>6.8985503348623745E-2</v>
      </c>
      <c r="AZ18" s="3">
        <v>-9.1343895537068329E-2</v>
      </c>
      <c r="BA18" s="3">
        <v>-1.7861028417374091E-2</v>
      </c>
      <c r="BB18" s="3">
        <v>0.1502839869469775</v>
      </c>
      <c r="BC18" s="3">
        <v>8.2288825297534743E-2</v>
      </c>
      <c r="BD18" s="3">
        <v>-9.4538184979046022E-3</v>
      </c>
      <c r="BE18" s="3">
        <v>-4.4777878899004038E-2</v>
      </c>
      <c r="BF18" s="3">
        <v>-4.3881157048926409E-2</v>
      </c>
      <c r="BG18" s="3">
        <v>-2.9371260944640459E-4</v>
      </c>
      <c r="BH18" s="3">
        <v>0.1243867568694338</v>
      </c>
      <c r="BI18" s="3">
        <v>3.8239825099776331E-2</v>
      </c>
      <c r="BJ18" s="3">
        <v>4.0631798996460383E-2</v>
      </c>
      <c r="BK18" s="3">
        <v>-4.7074531377753283E-2</v>
      </c>
      <c r="BL18" s="3">
        <v>-2.099462356949446E-3</v>
      </c>
      <c r="BM18" s="3">
        <v>-4.7064733084606243E-2</v>
      </c>
      <c r="BN18" s="3">
        <v>6.3483157425145709E-2</v>
      </c>
      <c r="BO18" s="3">
        <v>-9.4898367043462772E-3</v>
      </c>
      <c r="BP18" s="3">
        <v>-5.8439021041209308E-2</v>
      </c>
      <c r="BQ18" s="3">
        <v>1.6229383412170121E-2</v>
      </c>
      <c r="BR18" s="3">
        <v>-9.0339620569328496E-2</v>
      </c>
      <c r="BS18" s="3">
        <v>-2.058139974292459E-2</v>
      </c>
      <c r="BT18" s="3">
        <v>-2.9464169134161639E-2</v>
      </c>
      <c r="BU18" s="3">
        <v>-8.9383805301203045E-2</v>
      </c>
      <c r="BV18" s="3">
        <v>2.7819769292191369E-2</v>
      </c>
      <c r="BW18" s="3">
        <v>-0.2397913125340442</v>
      </c>
      <c r="BX18" s="3">
        <v>3.100890105256008E-2</v>
      </c>
      <c r="BY18" s="3">
        <v>0.1399042853145219</v>
      </c>
      <c r="BZ18" s="3">
        <v>0.1098145711266066</v>
      </c>
      <c r="CA18" s="3">
        <v>0.1598689439725248</v>
      </c>
      <c r="CB18" s="3">
        <v>-7.3205215785662275E-2</v>
      </c>
      <c r="CC18" s="3">
        <v>6.981572073779338E-2</v>
      </c>
      <c r="CD18" s="3">
        <v>0.12298068703166989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4.8081429226966912E-2</v>
      </c>
      <c r="CJ18" s="3">
        <v>-9.8939506341008163E-2</v>
      </c>
      <c r="CK18" s="3">
        <v>-0.14910621729999041</v>
      </c>
      <c r="CL18" s="3">
        <v>-0.11695580155794839</v>
      </c>
      <c r="CM18" s="3">
        <v>-6.0575314674555653E-3</v>
      </c>
      <c r="CN18" s="3">
        <v>-8.3229964807617754E-2</v>
      </c>
      <c r="CO18" s="3">
        <v>-0.14374365767054409</v>
      </c>
      <c r="CP18" s="3">
        <v>0.11259506557389271</v>
      </c>
      <c r="CQ18" s="3">
        <v>-4.7890904898578807E-2</v>
      </c>
      <c r="CR18" s="3">
        <v>-5.1543998213163737E-2</v>
      </c>
      <c r="CS18" s="3">
        <v>5.1364902289587518E-3</v>
      </c>
      <c r="CT18" s="3">
        <v>0.1171681594152225</v>
      </c>
      <c r="CU18" s="3">
        <v>0.14258984759129689</v>
      </c>
      <c r="CV18" s="3">
        <v>4.5968170728612687E-2</v>
      </c>
      <c r="CW18" s="3">
        <v>-8.1713485742130165E-2</v>
      </c>
      <c r="CX18" s="3">
        <v>5.2648091262143253E-2</v>
      </c>
      <c r="CY18" s="3">
        <v>-5.9585487656366468E-2</v>
      </c>
      <c r="CZ18" s="3">
        <v>0.2000288012371472</v>
      </c>
      <c r="DA18" s="3">
        <v>7.6047417049891319E-2</v>
      </c>
      <c r="DB18" s="3">
        <v>5.5546530457130143E-2</v>
      </c>
      <c r="DC18" s="3">
        <v>6.549946201388579E-2</v>
      </c>
      <c r="DD18" s="3">
        <v>-7.1532874276341293E-2</v>
      </c>
      <c r="DE18" s="3">
        <v>-3.3866290413535838E-2</v>
      </c>
      <c r="DF18" s="3">
        <v>0.36199940864890767</v>
      </c>
      <c r="DG18" s="3">
        <v>-6.1064662602275298E-2</v>
      </c>
      <c r="DH18" s="3">
        <v>0.2058658826236627</v>
      </c>
      <c r="DI18" s="3">
        <v>3.7886954592806457E-2</v>
      </c>
      <c r="DJ18" s="3">
        <v>4.7666266763567992E-2</v>
      </c>
      <c r="DK18" s="3">
        <v>-6.7768732599097686E-2</v>
      </c>
      <c r="DL18" s="3">
        <v>-1.8669971400773019E-2</v>
      </c>
      <c r="DM18" s="3">
        <v>-3.8027462014773541E-2</v>
      </c>
      <c r="DN18" s="3">
        <v>0.15346599235654229</v>
      </c>
      <c r="DO18" s="3">
        <v>-4.1529469731542583E-2</v>
      </c>
      <c r="DP18" s="3">
        <v>1.7868131614328361E-2</v>
      </c>
      <c r="DQ18" s="3">
        <v>-0.17417910656600669</v>
      </c>
      <c r="DR18" s="3">
        <v>-4.7360645077707972E-2</v>
      </c>
      <c r="DS18" s="3">
        <v>-0.17690064588330481</v>
      </c>
      <c r="DT18" s="3">
        <v>-1.511542555197469E-3</v>
      </c>
      <c r="DU18" s="3">
        <v>0.16699397878894101</v>
      </c>
      <c r="DV18" s="3">
        <v>4.6161207687141277E-2</v>
      </c>
      <c r="DW18" s="3">
        <v>3.3839095594252563E-2</v>
      </c>
      <c r="DX18" s="3">
        <v>-4.6077918815081657E-2</v>
      </c>
      <c r="DY18" s="3">
        <v>0.17083083897310719</v>
      </c>
      <c r="DZ18" s="3">
        <v>1.0184364116436421E-2</v>
      </c>
      <c r="EA18" s="3">
        <v>0.13955198459728951</v>
      </c>
      <c r="EB18" s="3">
        <v>-0.1001844395825895</v>
      </c>
      <c r="EC18" s="3">
        <v>-0.1199177637201453</v>
      </c>
      <c r="ED18" s="3">
        <v>-0.16122648709016321</v>
      </c>
      <c r="EE18" s="3">
        <v>1.7962131096686949E-2</v>
      </c>
      <c r="EF18" s="3">
        <v>-2.0799080934146529E-2</v>
      </c>
      <c r="EG18" s="3">
        <v>0.49174202107459353</v>
      </c>
      <c r="EH18" s="3">
        <v>1.6992386962088581E-2</v>
      </c>
      <c r="EI18" s="3">
        <v>-1.4951567267490929E-2</v>
      </c>
      <c r="EJ18" s="3">
        <v>-6.2676685123802006E-2</v>
      </c>
      <c r="EK18" s="3">
        <v>4.5567284942549142E-2</v>
      </c>
      <c r="EL18" s="3">
        <v>-8.5219986279376769E-3</v>
      </c>
      <c r="EM18">
        <f t="shared" si="11"/>
        <v>2.172775599660386E-2</v>
      </c>
      <c r="EN18">
        <f t="shared" si="12"/>
        <v>0.10777007735290207</v>
      </c>
      <c r="EO18">
        <f t="shared" si="13"/>
        <v>0.20161214068219063</v>
      </c>
    </row>
    <row r="19" spans="1:145" x14ac:dyDescent="0.3">
      <c r="A19" s="18">
        <v>180</v>
      </c>
      <c r="B19" s="18">
        <f t="shared" si="10"/>
        <v>6</v>
      </c>
      <c r="C19" s="3">
        <v>6.3862070951592978E-2</v>
      </c>
      <c r="D19" s="3">
        <v>0.20816772247219481</v>
      </c>
      <c r="E19" s="3">
        <v>7.3818854031292583E-2</v>
      </c>
      <c r="F19" s="3">
        <v>-1.8539269393909971E-2</v>
      </c>
      <c r="G19" s="3">
        <v>0.2217514953841713</v>
      </c>
      <c r="H19" s="3">
        <v>8.6533790412176764E-2</v>
      </c>
      <c r="I19" s="3">
        <v>5.703960583927592E-2</v>
      </c>
      <c r="J19" s="3">
        <v>3.9615646982964582E-2</v>
      </c>
      <c r="K19" s="3">
        <v>4.2881240495088048E-2</v>
      </c>
      <c r="L19" s="3">
        <v>-7.0815632734459039E-3</v>
      </c>
      <c r="M19" s="3">
        <v>-0.23290702175527889</v>
      </c>
      <c r="N19" s="3">
        <v>7.0167171802275011E-2</v>
      </c>
      <c r="O19" s="3">
        <v>5.1189915141745167E-2</v>
      </c>
      <c r="P19" s="3">
        <v>9.1939631457083199E-2</v>
      </c>
      <c r="Q19" s="3">
        <v>6.7562475747228831E-2</v>
      </c>
      <c r="R19" s="3">
        <v>-9.0299090630856282E-2</v>
      </c>
      <c r="S19" s="3">
        <v>0.32455080850195822</v>
      </c>
      <c r="T19" s="3">
        <v>-2.203397488641175E-3</v>
      </c>
      <c r="U19" s="3">
        <v>-0.14674874092350251</v>
      </c>
      <c r="V19" s="3">
        <v>-7.6793573733846959E-2</v>
      </c>
      <c r="W19" s="3">
        <v>-0.1122630936464145</v>
      </c>
      <c r="X19" s="3">
        <v>9.7247602492257806E-2</v>
      </c>
      <c r="Y19" s="3">
        <v>-4.1111501930840899E-2</v>
      </c>
      <c r="Z19" s="3">
        <v>7.2871079141072187E-2</v>
      </c>
      <c r="AA19" s="3">
        <v>0.102419772147367</v>
      </c>
      <c r="AB19" s="3">
        <v>1.189316844714922E-2</v>
      </c>
      <c r="AC19" s="3">
        <v>9.4951403046225485E-3</v>
      </c>
      <c r="AD19" s="3">
        <v>4.0510219406434123E-2</v>
      </c>
      <c r="AE19" s="3">
        <v>-0.1572519122050417</v>
      </c>
      <c r="AF19" s="3">
        <v>8.8226763188740967E-2</v>
      </c>
      <c r="AG19" s="3">
        <v>-2.962899401710074E-2</v>
      </c>
      <c r="AH19" s="3">
        <v>-2.9547768045408051E-2</v>
      </c>
      <c r="AI19" s="3">
        <v>7.7183847179742734E-2</v>
      </c>
      <c r="AJ19" s="3">
        <v>-4.6836086426977799E-2</v>
      </c>
      <c r="AK19" s="3">
        <v>7.5520425059527104E-3</v>
      </c>
      <c r="AL19" s="3">
        <v>2.4597503939923372E-2</v>
      </c>
      <c r="AM19" s="3">
        <v>3.258501675727029E-2</v>
      </c>
      <c r="AN19" s="3">
        <v>0.11732233838426109</v>
      </c>
      <c r="AO19" s="3">
        <v>1.7986576978538438E-2</v>
      </c>
      <c r="AP19" s="3">
        <v>-9.5720650647838565E-2</v>
      </c>
      <c r="AQ19" s="3">
        <v>-7.8588045128809875E-2</v>
      </c>
      <c r="AR19" s="3">
        <v>2.9545089678382881E-2</v>
      </c>
      <c r="AS19" s="3">
        <v>-5.7025232144876439E-2</v>
      </c>
      <c r="AT19" s="3">
        <v>0.33000222487138942</v>
      </c>
      <c r="AU19" s="3">
        <v>0.15211368170021031</v>
      </c>
      <c r="AV19" s="3">
        <v>1.964286397266788E-2</v>
      </c>
      <c r="AW19" s="3">
        <v>0.12882150008880619</v>
      </c>
      <c r="AX19" s="3">
        <v>-0.18062020604609161</v>
      </c>
      <c r="AY19" s="3">
        <v>-5.0755236648175051E-2</v>
      </c>
      <c r="AZ19" s="3">
        <v>-0.12030356684103841</v>
      </c>
      <c r="BA19" s="3">
        <v>-2.9599194625857899E-2</v>
      </c>
      <c r="BB19" s="3">
        <v>0.1797702510461088</v>
      </c>
      <c r="BC19" s="3">
        <v>8.2725621214935138E-2</v>
      </c>
      <c r="BD19" s="3">
        <v>-4.4108674611468647E-2</v>
      </c>
      <c r="BE19" s="3">
        <v>-5.698350264302169E-2</v>
      </c>
      <c r="BF19" s="3">
        <v>-5.6130857506398013E-2</v>
      </c>
      <c r="BG19" s="3">
        <v>-3.9988278571183589E-3</v>
      </c>
      <c r="BH19" s="3">
        <v>0.12966872753031139</v>
      </c>
      <c r="BI19" s="3">
        <v>6.2583964077389878E-2</v>
      </c>
      <c r="BJ19" s="3">
        <v>2.9441368166143039E-2</v>
      </c>
      <c r="BK19" s="3">
        <v>-6.2460613959601292E-2</v>
      </c>
      <c r="BL19" s="3">
        <v>-2.2156981012915571E-3</v>
      </c>
      <c r="BM19" s="3">
        <v>-4.9110781341881633E-2</v>
      </c>
      <c r="BN19" s="3">
        <v>4.8268498934994991E-2</v>
      </c>
      <c r="BO19" s="3">
        <v>1.6563016438521531E-2</v>
      </c>
      <c r="BP19" s="3">
        <v>-6.8391036989210563E-2</v>
      </c>
      <c r="BQ19" s="3">
        <v>3.3457614969847158E-2</v>
      </c>
      <c r="BR19" s="3">
        <v>-5.6897349759267683E-2</v>
      </c>
      <c r="BS19" s="3">
        <v>-7.9851875243131046E-3</v>
      </c>
      <c r="BT19" s="3">
        <v>-2.2485274248821002E-2</v>
      </c>
      <c r="BU19" s="3">
        <v>-9.8343719672102842E-2</v>
      </c>
      <c r="BV19" s="3">
        <v>4.9504513394679588E-2</v>
      </c>
      <c r="BW19" s="3">
        <v>-0.27753079185167168</v>
      </c>
      <c r="BX19" s="3">
        <v>3.7240914294484777E-2</v>
      </c>
      <c r="BY19" s="3">
        <v>0.15237403588804629</v>
      </c>
      <c r="BZ19" s="3">
        <v>0.14474202182844201</v>
      </c>
      <c r="CA19" s="3">
        <v>7.2708877660603174E-2</v>
      </c>
      <c r="CB19" s="3">
        <v>-5.8660810862125427E-2</v>
      </c>
      <c r="CC19" s="3">
        <v>4.9243603919266868E-2</v>
      </c>
      <c r="CD19" s="3">
        <v>8.8535197450444414E-2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4.5644222280679936E-3</v>
      </c>
      <c r="CJ19" s="3">
        <v>-9.4477767867255952E-2</v>
      </c>
      <c r="CK19" s="3">
        <v>-0.15223796993137539</v>
      </c>
      <c r="CL19" s="3">
        <v>-0.1631931466549168</v>
      </c>
      <c r="CM19" s="3">
        <v>2.3024783015160588E-3</v>
      </c>
      <c r="CN19" s="3">
        <v>-7.6655302389225299E-2</v>
      </c>
      <c r="CO19" s="3">
        <v>-0.16998581360314041</v>
      </c>
      <c r="CP19" s="3">
        <v>0.11837555431378879</v>
      </c>
      <c r="CQ19" s="3">
        <v>-4.6129026068822333E-2</v>
      </c>
      <c r="CR19" s="3">
        <v>-7.5145815377914177E-2</v>
      </c>
      <c r="CS19" s="3">
        <v>-1.6540669687084762E-2</v>
      </c>
      <c r="CT19" s="3">
        <v>0.12217351409775069</v>
      </c>
      <c r="CU19" s="3">
        <v>4.4209008269060823E-2</v>
      </c>
      <c r="CV19" s="3">
        <v>4.8049259864423127E-2</v>
      </c>
      <c r="CW19" s="3">
        <v>-6.773106645809171E-2</v>
      </c>
      <c r="CX19" s="3">
        <v>0.11887979724664451</v>
      </c>
      <c r="CY19" s="3">
        <v>-6.3588986714886775E-2</v>
      </c>
      <c r="CZ19" s="3">
        <v>0.2226851581652444</v>
      </c>
      <c r="DA19" s="3">
        <v>4.4898319176260248E-2</v>
      </c>
      <c r="DB19" s="3">
        <v>5.8652618130978502E-2</v>
      </c>
      <c r="DC19" s="3">
        <v>4.928215086622216E-2</v>
      </c>
      <c r="DD19" s="3">
        <v>-6.4085967582743569E-2</v>
      </c>
      <c r="DE19" s="3">
        <v>1.961177400071876E-2</v>
      </c>
      <c r="DF19" s="3">
        <v>0.20002704446833819</v>
      </c>
      <c r="DG19" s="3">
        <v>-6.6791453364122733E-2</v>
      </c>
      <c r="DH19" s="3">
        <v>0.24633454790181741</v>
      </c>
      <c r="DI19" s="3">
        <v>6.0907595470325121E-2</v>
      </c>
      <c r="DJ19" s="3">
        <v>5.061265825496794E-2</v>
      </c>
      <c r="DK19" s="3">
        <v>-6.2506167109315031E-2</v>
      </c>
      <c r="DL19" s="3">
        <v>1.373577108007836E-2</v>
      </c>
      <c r="DM19" s="3">
        <v>-6.5564813975573816E-2</v>
      </c>
      <c r="DN19" s="3">
        <v>0.19574439148311651</v>
      </c>
      <c r="DO19" s="3">
        <v>-3.9010651523882188E-2</v>
      </c>
      <c r="DP19" s="3">
        <v>2.7711231149184119E-2</v>
      </c>
      <c r="DQ19" s="3">
        <v>-0.2335224693002409</v>
      </c>
      <c r="DR19" s="3">
        <v>-8.3879474456789352E-2</v>
      </c>
      <c r="DS19" s="3">
        <v>-0.2120373022908045</v>
      </c>
      <c r="DT19" s="3">
        <v>2.988282552872396E-3</v>
      </c>
      <c r="DU19" s="3">
        <v>0.1945563373493151</v>
      </c>
      <c r="DV19" s="3">
        <v>5.3911897243555398E-2</v>
      </c>
      <c r="DW19" s="3">
        <v>4.0067548642833281E-2</v>
      </c>
      <c r="DX19" s="3">
        <v>-7.2873220173252665E-2</v>
      </c>
      <c r="DY19" s="3">
        <v>0.20371081284057471</v>
      </c>
      <c r="DZ19" s="3">
        <v>6.624998672911794E-3</v>
      </c>
      <c r="EA19" s="3">
        <v>0.16979568244635121</v>
      </c>
      <c r="EB19" s="3">
        <v>-0.1099112330724737</v>
      </c>
      <c r="EC19" s="3">
        <v>-0.13329982811593349</v>
      </c>
      <c r="ED19" s="3">
        <v>-0.19894254760628341</v>
      </c>
      <c r="EE19" s="3">
        <v>1.5908472158343859E-2</v>
      </c>
      <c r="EF19" s="3">
        <v>2.195419132811794E-2</v>
      </c>
      <c r="EG19" s="3">
        <v>0.58220861601410923</v>
      </c>
      <c r="EH19" s="3">
        <v>-1.2381003743444649E-2</v>
      </c>
      <c r="EI19" s="3">
        <v>2.0693682020204301E-2</v>
      </c>
      <c r="EJ19" s="3">
        <v>-4.8870154774312453E-2</v>
      </c>
      <c r="EK19" s="3">
        <v>4.1623587597981772E-2</v>
      </c>
      <c r="EL19" s="3">
        <v>2.37681856516841E-2</v>
      </c>
      <c r="EM19">
        <f t="shared" si="11"/>
        <v>1.80659370051049E-2</v>
      </c>
      <c r="EN19">
        <f t="shared" si="12"/>
        <v>0.11712898668279904</v>
      </c>
      <c r="EO19">
        <f t="shared" si="13"/>
        <v>0.15423967641784414</v>
      </c>
    </row>
    <row r="20" spans="1:145" x14ac:dyDescent="0.3">
      <c r="A20" s="18">
        <v>200</v>
      </c>
      <c r="B20" s="18">
        <f t="shared" si="10"/>
        <v>5</v>
      </c>
      <c r="C20" s="3">
        <v>7.7247532291167223E-2</v>
      </c>
      <c r="D20" s="3">
        <v>0.22395275743740001</v>
      </c>
      <c r="E20" s="3">
        <v>4.8815066363599169E-2</v>
      </c>
      <c r="F20" s="3">
        <v>2.7411848517627971E-2</v>
      </c>
      <c r="G20" s="3">
        <v>0.2406919477687223</v>
      </c>
      <c r="H20" s="3">
        <v>0.12733285728101729</v>
      </c>
      <c r="I20" s="3">
        <v>2.7935541644402932E-2</v>
      </c>
      <c r="J20" s="3">
        <v>7.7139820050710142E-2</v>
      </c>
      <c r="K20" s="3">
        <v>8.0698573697414899E-2</v>
      </c>
      <c r="L20" s="3">
        <v>3.7006176462230977E-2</v>
      </c>
      <c r="M20" s="3">
        <v>-0.27765416652084418</v>
      </c>
      <c r="N20" s="3">
        <v>7.170807238039284E-2</v>
      </c>
      <c r="O20" s="3">
        <v>4.2734024757790479E-2</v>
      </c>
      <c r="P20" s="3">
        <v>4.9665695109844102E-2</v>
      </c>
      <c r="Q20" s="3">
        <v>8.6440521610681997E-2</v>
      </c>
      <c r="R20" s="3">
        <v>-0.1092530556374688</v>
      </c>
      <c r="S20" s="3">
        <v>0.27746770687171862</v>
      </c>
      <c r="T20" s="3">
        <v>1.2441504557736091E-2</v>
      </c>
      <c r="U20" s="3">
        <v>-0.13261317091120681</v>
      </c>
      <c r="V20" s="3">
        <v>-7.2880284363465539E-2</v>
      </c>
      <c r="W20" s="3">
        <v>-0.1666084892431455</v>
      </c>
      <c r="X20" s="3">
        <v>0.1254274699309309</v>
      </c>
      <c r="Y20" s="3">
        <v>-4.2626995433852399E-2</v>
      </c>
      <c r="Z20" s="3">
        <v>0.11695890130971</v>
      </c>
      <c r="AA20" s="3">
        <v>9.5415528913027556E-2</v>
      </c>
      <c r="AB20" s="3">
        <v>5.0494224558121747E-2</v>
      </c>
      <c r="AC20" s="3">
        <v>-5.0356165119691543E-2</v>
      </c>
      <c r="AD20" s="3">
        <v>5.6741339877733311E-2</v>
      </c>
      <c r="AE20" s="3">
        <v>-0.18177431870150151</v>
      </c>
      <c r="AF20" s="3">
        <v>0.1036374557068641</v>
      </c>
      <c r="AG20" s="3">
        <v>-0.1003996103364951</v>
      </c>
      <c r="AH20" s="3">
        <v>-4.4377375644109679E-2</v>
      </c>
      <c r="AI20" s="3">
        <v>9.0498963542606309E-2</v>
      </c>
      <c r="AJ20" s="3">
        <v>-6.1990034547547639E-2</v>
      </c>
      <c r="AK20" s="3">
        <v>-1.359511549600285E-2</v>
      </c>
      <c r="AL20" s="3">
        <v>6.373554095447824E-2</v>
      </c>
      <c r="AM20" s="3">
        <v>3.535123710176763E-2</v>
      </c>
      <c r="AN20" s="3">
        <v>0.1208414664731992</v>
      </c>
      <c r="AO20" s="3">
        <v>5.5399158383032908E-2</v>
      </c>
      <c r="AP20" s="3">
        <v>-8.6745238092895305E-2</v>
      </c>
      <c r="AQ20" s="3">
        <v>-9.2187322841269848E-2</v>
      </c>
      <c r="AR20" s="3">
        <v>-2.097792210223048E-3</v>
      </c>
      <c r="AS20" s="3">
        <v>-7.3246355688317957E-2</v>
      </c>
      <c r="AT20" s="3">
        <v>0.2030625906437723</v>
      </c>
      <c r="AU20" s="3">
        <v>0.1739743488425739</v>
      </c>
      <c r="AV20" s="3">
        <v>1.2852963376143891E-2</v>
      </c>
      <c r="AW20" s="3">
        <v>0.15438110343776351</v>
      </c>
      <c r="AX20" s="3">
        <v>-0.1790139480206687</v>
      </c>
      <c r="AY20" s="3">
        <v>-7.4627353203724864E-2</v>
      </c>
      <c r="AZ20" s="3">
        <v>-0.13391116958452559</v>
      </c>
      <c r="BA20" s="3">
        <v>-4.8327506816448547E-2</v>
      </c>
      <c r="BB20" s="3">
        <v>0.19168428574498189</v>
      </c>
      <c r="BC20" s="3">
        <v>3.9522400124645321E-2</v>
      </c>
      <c r="BD20" s="3">
        <v>-5.7248536052235913E-2</v>
      </c>
      <c r="BE20" s="3">
        <v>-7.4243786981171164E-2</v>
      </c>
      <c r="BF20" s="3">
        <v>-6.3250108519336073E-2</v>
      </c>
      <c r="BG20" s="3">
        <v>4.8084464019606227E-2</v>
      </c>
      <c r="BH20" s="3">
        <v>9.1018860182863454E-2</v>
      </c>
      <c r="BI20" s="3">
        <v>8.9047957829847313E-2</v>
      </c>
      <c r="BJ20" s="3">
        <v>2.9139871065308031E-2</v>
      </c>
      <c r="BK20" s="3">
        <v>-6.4862550526313664E-2</v>
      </c>
      <c r="BL20" s="3">
        <v>-1.1810365339728649E-2</v>
      </c>
      <c r="BM20" s="3">
        <v>-5.6480862732913917E-2</v>
      </c>
      <c r="BN20" s="3">
        <v>5.9194865252573579E-2</v>
      </c>
      <c r="BO20" s="3">
        <v>-4.7709954030606466E-3</v>
      </c>
      <c r="BP20" s="3">
        <v>-7.0586227216531267E-4</v>
      </c>
      <c r="BQ20" s="3">
        <v>4.2904946585499093E-2</v>
      </c>
      <c r="BR20" s="3">
        <v>-4.9783818681341539E-2</v>
      </c>
      <c r="BS20" s="3">
        <v>-2.4940862127493382E-2</v>
      </c>
      <c r="BT20" s="3">
        <v>-3.6055404801430851E-2</v>
      </c>
      <c r="BU20" s="3">
        <v>-0.106656787346347</v>
      </c>
      <c r="BV20" s="3">
        <v>5.2158667327559798E-2</v>
      </c>
      <c r="BW20" s="3">
        <v>-0.32805179641782201</v>
      </c>
      <c r="BX20" s="3">
        <v>2.22574151216192E-2</v>
      </c>
      <c r="BY20" s="3">
        <v>0.166833858171889</v>
      </c>
      <c r="BZ20" s="3">
        <v>0.18472508748935221</v>
      </c>
      <c r="CA20" s="3">
        <v>8.7851899082509066E-2</v>
      </c>
      <c r="CB20" s="3">
        <v>-3.3946755855979921E-2</v>
      </c>
      <c r="CC20" s="3">
        <v>3.4305445530883383E-2</v>
      </c>
      <c r="CD20" s="3">
        <v>9.9996406471073218E-2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5.137750414440645E-4</v>
      </c>
      <c r="CJ20" s="3">
        <v>-0.14212644503577981</v>
      </c>
      <c r="CK20" s="3">
        <v>-0.1133929332981321</v>
      </c>
      <c r="CL20" s="3">
        <v>-0.28878006600435452</v>
      </c>
      <c r="CM20" s="3">
        <v>4.458767901317065E-2</v>
      </c>
      <c r="CN20" s="3">
        <v>-7.8693195965172158E-2</v>
      </c>
      <c r="CO20" s="3">
        <v>-0.29300902593857298</v>
      </c>
      <c r="CP20" s="3">
        <v>0.1645116595679032</v>
      </c>
      <c r="CQ20" s="3">
        <v>-4.5176644179017067E-2</v>
      </c>
      <c r="CR20" s="3">
        <v>-7.6263933195807695E-2</v>
      </c>
      <c r="CS20" s="3">
        <v>-4.3255476904860007E-3</v>
      </c>
      <c r="CT20" s="3">
        <v>6.9488096493918697E-2</v>
      </c>
      <c r="CU20" s="3">
        <v>1.2896643061345271E-3</v>
      </c>
      <c r="CV20" s="3">
        <v>4.2366878618412318E-2</v>
      </c>
      <c r="CW20" s="3">
        <v>-5.3587191859861633E-2</v>
      </c>
      <c r="CX20" s="3">
        <v>0.1206946456524317</v>
      </c>
      <c r="CY20" s="3">
        <v>-8.9512648250412427E-2</v>
      </c>
      <c r="CZ20" s="3">
        <v>0.2017998631464254</v>
      </c>
      <c r="DA20" s="3">
        <v>2.204197736506024E-2</v>
      </c>
      <c r="DB20" s="3">
        <v>7.696806977078402E-2</v>
      </c>
      <c r="DC20" s="3">
        <v>5.1707993128286028E-2</v>
      </c>
      <c r="DD20" s="3">
        <v>-6.8809216430073622E-2</v>
      </c>
      <c r="DE20" s="3">
        <v>-4.342618570873874E-2</v>
      </c>
      <c r="DF20" s="3">
        <v>0.22982781298180299</v>
      </c>
      <c r="DG20" s="3">
        <v>-7.4371572181915813E-2</v>
      </c>
      <c r="DH20" s="3">
        <v>0.30439257378773771</v>
      </c>
      <c r="DI20" s="3">
        <v>2.749454079454907E-2</v>
      </c>
      <c r="DJ20" s="3">
        <v>0.1177196504705845</v>
      </c>
      <c r="DK20" s="3">
        <v>-7.3309779933760713E-2</v>
      </c>
      <c r="DL20" s="3">
        <v>1.065068690617408E-2</v>
      </c>
      <c r="DM20" s="3">
        <v>-7.5266042749959619E-3</v>
      </c>
      <c r="DN20" s="3">
        <v>0.22684224168146461</v>
      </c>
      <c r="DO20" s="3">
        <v>1.7855120094467311E-2</v>
      </c>
      <c r="DP20" s="3">
        <v>3.6573078694257292E-2</v>
      </c>
      <c r="DQ20" s="3">
        <v>-0.25664285097303108</v>
      </c>
      <c r="DR20" s="3">
        <v>-7.4508531747454976E-2</v>
      </c>
      <c r="DS20" s="3">
        <v>-0.24693120398255569</v>
      </c>
      <c r="DT20" s="3">
        <v>-2.219910337847816E-2</v>
      </c>
      <c r="DU20" s="3">
        <v>0.24265585275046769</v>
      </c>
      <c r="DV20" s="3">
        <v>9.3474835834196912E-3</v>
      </c>
      <c r="DW20" s="3">
        <v>4.9423471656750532E-2</v>
      </c>
      <c r="DX20" s="3">
        <v>-0.1188989417226772</v>
      </c>
      <c r="DY20" s="3">
        <v>0.15785680703120589</v>
      </c>
      <c r="DZ20" s="3">
        <v>-1.132937268125333E-3</v>
      </c>
      <c r="EA20" s="3">
        <v>0.1994733538056174</v>
      </c>
      <c r="EB20" s="3">
        <v>-0.11071071690672191</v>
      </c>
      <c r="EC20" s="3">
        <v>-0.14187264579522241</v>
      </c>
      <c r="ED20" s="3">
        <v>-0.20700659420393019</v>
      </c>
      <c r="EE20" s="3">
        <v>2.52604262925443E-2</v>
      </c>
      <c r="EF20" s="3">
        <v>2.6928214844152591E-2</v>
      </c>
      <c r="EG20" s="3">
        <v>0.64286650137419754</v>
      </c>
      <c r="EH20" s="3">
        <v>-8.7684410243298316E-3</v>
      </c>
      <c r="EI20" s="3">
        <v>1.632278486099659E-2</v>
      </c>
      <c r="EJ20" s="3">
        <v>-6.2018697969400342E-2</v>
      </c>
      <c r="EK20" s="3">
        <v>4.9176621685310423E-2</v>
      </c>
      <c r="EL20" s="3">
        <v>4.4597852711278162E-2</v>
      </c>
      <c r="EM20">
        <f t="shared" si="11"/>
        <v>1.6049869832833675E-2</v>
      </c>
      <c r="EN20">
        <f t="shared" si="12"/>
        <v>0.12930601456398741</v>
      </c>
      <c r="EO20">
        <f t="shared" si="13"/>
        <v>0.12412314993198832</v>
      </c>
    </row>
    <row r="21" spans="1:145" x14ac:dyDescent="0.3">
      <c r="A21" s="18">
        <v>256</v>
      </c>
      <c r="B21" s="18">
        <f t="shared" si="10"/>
        <v>4</v>
      </c>
      <c r="C21" s="3">
        <v>-1.190207271587417E-2</v>
      </c>
      <c r="D21" s="3">
        <v>0.1872483238738703</v>
      </c>
      <c r="E21" s="3">
        <v>7.0282273894446745E-2</v>
      </c>
      <c r="F21" s="3">
        <v>-6.9409277090956498E-2</v>
      </c>
      <c r="G21" s="3">
        <v>0.21346539275597179</v>
      </c>
      <c r="H21" s="3">
        <v>8.3509199203109702E-2</v>
      </c>
      <c r="I21" s="3">
        <v>1.4111278480981961E-2</v>
      </c>
      <c r="J21" s="3">
        <v>9.0566639244446828E-2</v>
      </c>
      <c r="K21" s="3">
        <v>6.433498066950441E-2</v>
      </c>
      <c r="L21" s="3">
        <v>8.7433830528682366E-2</v>
      </c>
      <c r="M21" s="3">
        <v>-0.29690458797810682</v>
      </c>
      <c r="N21" s="3">
        <v>8.5989912658066769E-2</v>
      </c>
      <c r="O21" s="3">
        <v>5.8855140112437657E-2</v>
      </c>
      <c r="P21" s="3">
        <v>7.1494213626299832E-2</v>
      </c>
      <c r="Q21" s="3">
        <v>0.1210463862333558</v>
      </c>
      <c r="R21" s="3">
        <v>-9.5575311106630215E-2</v>
      </c>
      <c r="S21" s="3">
        <v>0.25468280250588032</v>
      </c>
      <c r="T21" s="3">
        <v>4.9861750656715373E-2</v>
      </c>
      <c r="U21" s="3">
        <v>-0.1209768651543163</v>
      </c>
      <c r="V21" s="3">
        <v>-2.8497686040694591E-2</v>
      </c>
      <c r="W21" s="3">
        <v>-0.1630558798265769</v>
      </c>
      <c r="X21" s="3">
        <v>0.13383003673111221</v>
      </c>
      <c r="Y21" s="3">
        <v>-9.4011995810175553E-2</v>
      </c>
      <c r="Z21" s="3">
        <v>0.13186385509314039</v>
      </c>
      <c r="AA21" s="3">
        <v>9.2108181599923677E-2</v>
      </c>
      <c r="AB21" s="3">
        <v>9.1675376774355166E-2</v>
      </c>
      <c r="AC21" s="3">
        <v>-6.1997929262369307E-2</v>
      </c>
      <c r="AD21" s="3">
        <v>3.5790187675324818E-2</v>
      </c>
      <c r="AE21" s="3">
        <v>-0.18367221734724989</v>
      </c>
      <c r="AF21" s="3">
        <v>0.10365040598722031</v>
      </c>
      <c r="AG21" s="3">
        <v>-8.6544990394223004E-2</v>
      </c>
      <c r="AH21" s="3">
        <v>-1.5982702070234001E-2</v>
      </c>
      <c r="AI21" s="3">
        <v>7.9594209333291061E-2</v>
      </c>
      <c r="AJ21" s="3">
        <v>-7.0405341946468691E-2</v>
      </c>
      <c r="AK21" s="3">
        <v>-3.064343373743127E-2</v>
      </c>
      <c r="AL21" s="3">
        <v>6.5379822733110632E-2</v>
      </c>
      <c r="AM21" s="3">
        <v>5.1301939115901897E-2</v>
      </c>
      <c r="AN21" s="3">
        <v>0.1064311379698018</v>
      </c>
      <c r="AO21" s="3">
        <v>7.473492915334369E-2</v>
      </c>
      <c r="AP21" s="3">
        <v>-0.1048081729015958</v>
      </c>
      <c r="AQ21" s="3">
        <v>-7.4443845579531084E-2</v>
      </c>
      <c r="AR21" s="3">
        <v>-3.8219096310563187E-2</v>
      </c>
      <c r="AS21" s="3">
        <v>-0.1174173206585938</v>
      </c>
      <c r="AT21" s="3">
        <v>0.21118406973015361</v>
      </c>
      <c r="AU21" s="3">
        <v>0.1963968992369145</v>
      </c>
      <c r="AV21" s="3">
        <v>-4.8190380753440752E-2</v>
      </c>
      <c r="AW21" s="3">
        <v>0.18303435658972411</v>
      </c>
      <c r="AX21" s="3">
        <v>-0.15731136441856319</v>
      </c>
      <c r="AY21" s="3">
        <v>-6.8643769529244045E-2</v>
      </c>
      <c r="AZ21" s="3">
        <v>-0.15504719290643251</v>
      </c>
      <c r="BA21" s="3">
        <v>-4.8067558401640578E-2</v>
      </c>
      <c r="BB21" s="3">
        <v>0.255382212998854</v>
      </c>
      <c r="BC21" s="3">
        <v>5.9896200794398398E-2</v>
      </c>
      <c r="BD21" s="3">
        <v>-0.1079904145193968</v>
      </c>
      <c r="BE21" s="3">
        <v>-8.5309525673480019E-2</v>
      </c>
      <c r="BF21" s="3">
        <v>-7.2331459806521906E-2</v>
      </c>
      <c r="BG21" s="3">
        <v>4.7185488475957139E-2</v>
      </c>
      <c r="BH21" s="3">
        <v>0.1747791950102007</v>
      </c>
      <c r="BI21" s="3">
        <v>5.9055113397490817E-2</v>
      </c>
      <c r="BJ21" s="3">
        <v>2.3095902254964521E-3</v>
      </c>
      <c r="BK21" s="3">
        <v>-7.7140313899002971E-2</v>
      </c>
      <c r="BL21" s="3">
        <v>-3.8953472584471252E-3</v>
      </c>
      <c r="BM21" s="3">
        <v>-4.0795286028720637E-2</v>
      </c>
      <c r="BN21" s="3">
        <v>0.13458789516375211</v>
      </c>
      <c r="BO21" s="3">
        <v>-3.2798342177941468E-2</v>
      </c>
      <c r="BP21" s="3">
        <v>7.2557031154580976E-3</v>
      </c>
      <c r="BQ21" s="3">
        <v>5.8010344931967828E-2</v>
      </c>
      <c r="BR21" s="3">
        <v>-1.362550866920441E-2</v>
      </c>
      <c r="BS21" s="3">
        <v>-6.5336425907419268E-2</v>
      </c>
      <c r="BT21" s="3">
        <v>-1.176408289349291E-2</v>
      </c>
      <c r="BU21" s="3">
        <v>-0.12746595431431471</v>
      </c>
      <c r="BV21" s="3">
        <v>-4.0664933064631301E-3</v>
      </c>
      <c r="BW21" s="3">
        <v>-0.37017575234320749</v>
      </c>
      <c r="BX21" s="3">
        <v>4.8237903724040992E-2</v>
      </c>
      <c r="BY21" s="3">
        <v>0.1035570675713471</v>
      </c>
      <c r="BZ21" s="3">
        <v>0.25140177788258627</v>
      </c>
      <c r="CA21" s="3">
        <v>0.1496738934245482</v>
      </c>
      <c r="CB21" s="3">
        <v>-1.6670547569812351E-2</v>
      </c>
      <c r="CC21" s="3">
        <v>-8.0189542709663136E-3</v>
      </c>
      <c r="CD21" s="3">
        <v>0.1135346301105227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7.5619131398056982E-3</v>
      </c>
      <c r="CJ21" s="3">
        <v>-0.23904770620485921</v>
      </c>
      <c r="CK21" s="3">
        <v>-0.23663133235579659</v>
      </c>
      <c r="CL21" s="3">
        <v>-0.35019811193364497</v>
      </c>
      <c r="CM21" s="3">
        <v>0.1067399960032285</v>
      </c>
      <c r="CN21" s="3">
        <v>-0.10649522043646879</v>
      </c>
      <c r="CO21" s="3">
        <v>-0.36866154749200059</v>
      </c>
      <c r="CP21" s="3">
        <v>0.12221034556460759</v>
      </c>
      <c r="CQ21" s="3">
        <v>-4.7072420475831933E-2</v>
      </c>
      <c r="CR21" s="3">
        <v>-9.5900944147392891E-2</v>
      </c>
      <c r="CS21" s="3">
        <v>-4.621588473166259E-2</v>
      </c>
      <c r="CT21" s="3">
        <v>4.6623337496801628E-2</v>
      </c>
      <c r="CU21" s="3">
        <v>8.0967812052500521E-3</v>
      </c>
      <c r="CV21" s="3">
        <v>3.554538567511966E-2</v>
      </c>
      <c r="CW21" s="3">
        <v>-4.3841589312089903E-2</v>
      </c>
      <c r="CX21" s="3">
        <v>0.14011729413824109</v>
      </c>
      <c r="CY21" s="3">
        <v>-3.9342909008623868E-2</v>
      </c>
      <c r="CZ21" s="3">
        <v>0.29550478290626442</v>
      </c>
      <c r="DA21" s="3">
        <v>1.83356518444442E-2</v>
      </c>
      <c r="DB21" s="3">
        <v>7.1461213773998111E-2</v>
      </c>
      <c r="DC21" s="3">
        <v>6.3142265260739516E-2</v>
      </c>
      <c r="DD21" s="3">
        <v>-7.7512678418007158E-2</v>
      </c>
      <c r="DE21" s="3">
        <v>-5.3096691280428918E-2</v>
      </c>
      <c r="DF21" s="3">
        <v>0.28613086332294307</v>
      </c>
      <c r="DG21" s="3">
        <v>-5.0042124219812377E-2</v>
      </c>
      <c r="DH21" s="3">
        <v>0.3582116692542075</v>
      </c>
      <c r="DI21" s="3">
        <v>5.3926294667070072E-2</v>
      </c>
      <c r="DJ21" s="3">
        <v>0.1188560793905528</v>
      </c>
      <c r="DK21" s="3">
        <v>-7.6846385490234217E-2</v>
      </c>
      <c r="DL21" s="3">
        <v>3.8155770705376423E-2</v>
      </c>
      <c r="DM21" s="3">
        <v>-2.420130252777496E-2</v>
      </c>
      <c r="DN21" s="3">
        <v>0.32191567956678868</v>
      </c>
      <c r="DO21" s="3">
        <v>-1.4066410155289951E-2</v>
      </c>
      <c r="DP21" s="3">
        <v>-3.7646763032475619E-2</v>
      </c>
      <c r="DQ21" s="3">
        <v>-0.10955315168457561</v>
      </c>
      <c r="DR21" s="3">
        <v>-0.1053864577621043</v>
      </c>
      <c r="DS21" s="3">
        <v>-0.25196661464834907</v>
      </c>
      <c r="DT21" s="3">
        <v>-2.88909226081277E-2</v>
      </c>
      <c r="DU21" s="3">
        <v>0.32089058419434002</v>
      </c>
      <c r="DV21" s="3">
        <v>3.7688687507114273E-2</v>
      </c>
      <c r="DW21" s="3">
        <v>0.1201976564496203</v>
      </c>
      <c r="DX21" s="3">
        <v>-0.1168288898747825</v>
      </c>
      <c r="DY21" s="3">
        <v>0.23479841945281529</v>
      </c>
      <c r="DZ21" s="3">
        <v>6.4809670262609394E-3</v>
      </c>
      <c r="EA21" s="3">
        <v>0.1482860445811536</v>
      </c>
      <c r="EB21" s="3">
        <v>-0.10879362159455119</v>
      </c>
      <c r="EC21" s="3">
        <v>-0.14009401795222581</v>
      </c>
      <c r="ED21" s="3">
        <v>-9.2108522769330708E-2</v>
      </c>
      <c r="EE21" s="3">
        <v>3.8837359853191901E-2</v>
      </c>
      <c r="EF21" s="3">
        <v>5.176135047828808E-2</v>
      </c>
      <c r="EG21" s="3">
        <v>0.76549825427919849</v>
      </c>
      <c r="EH21" s="3">
        <v>-2.6426669615196342E-2</v>
      </c>
      <c r="EI21" s="3">
        <v>2.2718700591800949E-3</v>
      </c>
      <c r="EJ21" s="3">
        <v>-5.13599730941929E-2</v>
      </c>
      <c r="EK21" s="3">
        <v>6.8496100462680579E-2</v>
      </c>
      <c r="EL21" s="3">
        <v>4.4194552507990002E-2</v>
      </c>
      <c r="EM21">
        <f t="shared" si="11"/>
        <v>1.8055719554543621E-2</v>
      </c>
      <c r="EN21">
        <f t="shared" si="12"/>
        <v>0.14598041944333651</v>
      </c>
      <c r="EO21">
        <f t="shared" si="13"/>
        <v>0.1236858999542202</v>
      </c>
    </row>
    <row r="22" spans="1:145" x14ac:dyDescent="0.3">
      <c r="A22" s="18">
        <v>400</v>
      </c>
      <c r="B22" s="18">
        <f t="shared" si="10"/>
        <v>3</v>
      </c>
      <c r="C22" s="3">
        <v>-1.083089340061978E-2</v>
      </c>
      <c r="D22" s="3">
        <v>3.657372240832911E-2</v>
      </c>
      <c r="E22" s="3">
        <v>-1.7355098916458981E-2</v>
      </c>
      <c r="F22" s="3">
        <v>-0.13986745030938699</v>
      </c>
      <c r="G22" s="3">
        <v>0.23294542459532269</v>
      </c>
      <c r="H22" s="3">
        <v>6.8510693540499268E-2</v>
      </c>
      <c r="I22" s="3">
        <v>1.743734320629017E-2</v>
      </c>
      <c r="J22" s="3">
        <v>0.1183782811822881</v>
      </c>
      <c r="K22" s="3">
        <v>2.8656780116393998E-2</v>
      </c>
      <c r="L22" s="3">
        <v>6.8446939077612026E-2</v>
      </c>
      <c r="M22" s="3">
        <v>-0.18466278734295011</v>
      </c>
      <c r="N22" s="3">
        <v>0.11515041973674681</v>
      </c>
      <c r="O22" s="3">
        <v>8.4166448593656545E-2</v>
      </c>
      <c r="P22" s="3">
        <v>9.0630874426634297E-2</v>
      </c>
      <c r="Q22" s="3">
        <v>0.1167411321085003</v>
      </c>
      <c r="R22" s="3">
        <v>-3.6628434271588052E-2</v>
      </c>
      <c r="S22" s="3">
        <v>7.2840826515003912E-2</v>
      </c>
      <c r="T22" s="3">
        <v>-0.1134869931086034</v>
      </c>
      <c r="U22" s="3">
        <v>-0.22831526020545559</v>
      </c>
      <c r="V22" s="3">
        <v>6.1265227232740922E-2</v>
      </c>
      <c r="W22" s="3">
        <v>-0.15624265358615441</v>
      </c>
      <c r="X22" s="3">
        <v>0.13022385859285221</v>
      </c>
      <c r="Y22" s="3">
        <v>-0.14950844665838381</v>
      </c>
      <c r="Z22" s="3">
        <v>0.1264880361063952</v>
      </c>
      <c r="AA22" s="3">
        <v>5.2507971845559408E-2</v>
      </c>
      <c r="AB22" s="3">
        <v>0.172381252532154</v>
      </c>
      <c r="AC22" s="3">
        <v>-6.1227953935459191E-2</v>
      </c>
      <c r="AD22" s="3">
        <v>6.9680818461779356E-2</v>
      </c>
      <c r="AE22" s="3">
        <v>-0.23783801059830931</v>
      </c>
      <c r="AF22" s="3">
        <v>0.1356223985514371</v>
      </c>
      <c r="AG22" s="3">
        <v>-0.1084651465802003</v>
      </c>
      <c r="AH22" s="3">
        <v>-2.771388151553791E-2</v>
      </c>
      <c r="AI22" s="3">
        <v>9.4141260657386039E-2</v>
      </c>
      <c r="AJ22" s="3">
        <v>-3.1699849326408271E-2</v>
      </c>
      <c r="AK22" s="3">
        <v>0.1012885607403957</v>
      </c>
      <c r="AL22" s="3">
        <v>4.0340966806900407E-2</v>
      </c>
      <c r="AM22" s="3">
        <v>8.4088903467703563E-2</v>
      </c>
      <c r="AN22" s="3">
        <v>0.17720720373425369</v>
      </c>
      <c r="AO22" s="3">
        <v>9.0513580808420133E-2</v>
      </c>
      <c r="AP22" s="3">
        <v>-0.18456058935382719</v>
      </c>
      <c r="AQ22" s="3">
        <v>8.2677886708544118E-2</v>
      </c>
      <c r="AR22" s="3">
        <v>-0.1247636093395899</v>
      </c>
      <c r="AS22" s="3">
        <v>-2.2170482112280659E-2</v>
      </c>
      <c r="AT22" s="3">
        <v>0.1136043448595091</v>
      </c>
      <c r="AU22" s="3">
        <v>0.27983614582712568</v>
      </c>
      <c r="AV22" s="3">
        <v>-5.0039310930955989E-2</v>
      </c>
      <c r="AW22" s="3">
        <v>0.2294932332459502</v>
      </c>
      <c r="AX22" s="3">
        <v>4.7737840971480427E-2</v>
      </c>
      <c r="AY22" s="3">
        <v>-4.1015182660395492E-2</v>
      </c>
      <c r="AZ22" s="3">
        <v>-2.1751675666880251E-2</v>
      </c>
      <c r="BA22" s="3">
        <v>-7.7254544464199326E-2</v>
      </c>
      <c r="BB22" s="3">
        <v>0.30192994454042299</v>
      </c>
      <c r="BC22" s="3">
        <v>-0.1155417258126869</v>
      </c>
      <c r="BD22" s="3">
        <v>-8.6362317283569245E-2</v>
      </c>
      <c r="BE22" s="3">
        <v>-0.1281112944276584</v>
      </c>
      <c r="BF22" s="3">
        <v>-6.8274694329917812E-2</v>
      </c>
      <c r="BG22" s="3">
        <v>4.5741296634727709E-2</v>
      </c>
      <c r="BH22" s="3">
        <v>0.12770700939641619</v>
      </c>
      <c r="BI22" s="3">
        <v>-1.7540795032593311E-2</v>
      </c>
      <c r="BJ22" s="3">
        <v>7.0714564721851059E-2</v>
      </c>
      <c r="BK22" s="3">
        <v>-0.1098960774572762</v>
      </c>
      <c r="BL22" s="3">
        <v>-7.1294539272031027E-2</v>
      </c>
      <c r="BM22" s="3">
        <v>-2.4304832455331882E-3</v>
      </c>
      <c r="BN22" s="3">
        <v>-2.851880646397522E-2</v>
      </c>
      <c r="BO22" s="3">
        <v>-1.4557996898403079E-2</v>
      </c>
      <c r="BP22" s="3">
        <v>2.337690190819672E-3</v>
      </c>
      <c r="BQ22" s="3">
        <v>7.7351978271746183E-2</v>
      </c>
      <c r="BR22" s="3">
        <v>-3.2936669864337277E-2</v>
      </c>
      <c r="BS22" s="3">
        <v>-3.1606202279239173E-2</v>
      </c>
      <c r="BT22" s="3">
        <v>7.5653419255075294E-2</v>
      </c>
      <c r="BU22" s="3">
        <v>-0.1526674050479728</v>
      </c>
      <c r="BV22" s="3">
        <v>-5.1095636715343257E-4</v>
      </c>
      <c r="BW22" s="3">
        <v>-0.51753358285080375</v>
      </c>
      <c r="BX22" s="3">
        <v>7.1978018305067684E-2</v>
      </c>
      <c r="BY22" s="3">
        <v>0.21014167875881959</v>
      </c>
      <c r="BZ22" s="3">
        <v>0.27962933884715457</v>
      </c>
      <c r="CA22" s="3">
        <v>0.25297467918802918</v>
      </c>
      <c r="CB22" s="3">
        <v>1.105789738556723E-2</v>
      </c>
      <c r="CC22" s="3">
        <v>-0.12510399532003291</v>
      </c>
      <c r="CD22" s="3">
        <v>9.8739627635233085E-2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3.5613359143686137E-2</v>
      </c>
      <c r="CJ22" s="3">
        <v>-0.2086692910689549</v>
      </c>
      <c r="CK22" s="3">
        <v>-0.17643920814984551</v>
      </c>
      <c r="CL22" s="3">
        <v>-0.45805725945091968</v>
      </c>
      <c r="CM22" s="3">
        <v>0.1320738212384748</v>
      </c>
      <c r="CN22" s="3">
        <v>3.078058338277545E-2</v>
      </c>
      <c r="CO22" s="3">
        <v>-0.45501820010836641</v>
      </c>
      <c r="CP22" s="3">
        <v>0.21852930022888059</v>
      </c>
      <c r="CQ22" s="3">
        <v>-9.2165908408294861E-2</v>
      </c>
      <c r="CR22" s="3">
        <v>-8.7116541534704744E-2</v>
      </c>
      <c r="CS22" s="3">
        <v>-5.9944404391691949E-2</v>
      </c>
      <c r="CT22" s="3">
        <v>4.7766099224589673E-2</v>
      </c>
      <c r="CU22" s="3">
        <v>-5.7338505454889374E-3</v>
      </c>
      <c r="CV22" s="3">
        <v>3.4816937353695621E-2</v>
      </c>
      <c r="CW22" s="3">
        <v>1.0226546296446719E-2</v>
      </c>
      <c r="CX22" s="3">
        <v>0.12678552669060811</v>
      </c>
      <c r="CY22" s="3">
        <v>-4.2966879436222988E-2</v>
      </c>
      <c r="CZ22" s="3">
        <v>0.35215156996889291</v>
      </c>
      <c r="DA22" s="3">
        <v>2.2473098166241889E-2</v>
      </c>
      <c r="DB22" s="3">
        <v>5.4041621710522049E-2</v>
      </c>
      <c r="DC22" s="3">
        <v>8.4168565045503352E-2</v>
      </c>
      <c r="DD22" s="3">
        <v>-5.6721151604857169E-2</v>
      </c>
      <c r="DE22" s="3">
        <v>3.5633519478019952E-2</v>
      </c>
      <c r="DF22" s="3">
        <v>0.38966763369412349</v>
      </c>
      <c r="DG22" s="3">
        <v>-7.4791031782706352E-2</v>
      </c>
      <c r="DH22" s="3">
        <v>0.12640435016781121</v>
      </c>
      <c r="DI22" s="3">
        <v>-1.683437269848209E-3</v>
      </c>
      <c r="DJ22" s="3">
        <v>0.1035146393093154</v>
      </c>
      <c r="DK22" s="3">
        <v>-7.269613117056245E-2</v>
      </c>
      <c r="DL22" s="3">
        <v>4.953228805488176E-2</v>
      </c>
      <c r="DM22" s="3">
        <v>-2.314433577013247E-2</v>
      </c>
      <c r="DN22" s="3">
        <v>0.3004957821395095</v>
      </c>
      <c r="DO22" s="3">
        <v>6.1460673285183669E-2</v>
      </c>
      <c r="DP22" s="3">
        <v>-2.744743885582383E-3</v>
      </c>
      <c r="DQ22" s="3">
        <v>-0.15526187179842441</v>
      </c>
      <c r="DR22" s="3">
        <v>-0.12904397587674049</v>
      </c>
      <c r="DS22" s="3">
        <v>-0.26513443223602767</v>
      </c>
      <c r="DT22" s="3">
        <v>-4.3681446324088213E-2</v>
      </c>
      <c r="DU22" s="3">
        <v>0.39947641885448221</v>
      </c>
      <c r="DV22" s="3">
        <v>-9.2506420341175538E-2</v>
      </c>
      <c r="DW22" s="3">
        <v>-2.487769030156459E-2</v>
      </c>
      <c r="DX22" s="3">
        <v>-0.1643521240415392</v>
      </c>
      <c r="DY22" s="3">
        <v>0.23796028914737949</v>
      </c>
      <c r="DZ22" s="3">
        <v>2.114670436868513E-2</v>
      </c>
      <c r="EA22" s="3">
        <v>-1.6671554930229589E-2</v>
      </c>
      <c r="EB22" s="3">
        <v>-0.1239344336786561</v>
      </c>
      <c r="EC22" s="3">
        <v>2.8428811778050931E-2</v>
      </c>
      <c r="ED22" s="3">
        <v>-0.12755978895247419</v>
      </c>
      <c r="EE22" s="3">
        <v>4.3560049994446903E-2</v>
      </c>
      <c r="EF22" s="3">
        <v>5.918581849149978E-2</v>
      </c>
      <c r="EG22" s="3">
        <v>0.94008943856192095</v>
      </c>
      <c r="EH22" s="3">
        <v>-1.2167207592622331E-2</v>
      </c>
      <c r="EI22" s="3">
        <v>-9.8367297462538701E-3</v>
      </c>
      <c r="EJ22" s="3">
        <v>-4.3268457333161307E-2</v>
      </c>
      <c r="EK22" s="3">
        <v>0.1079890957795992</v>
      </c>
      <c r="EL22" s="3">
        <v>-2.5307223738907911E-2</v>
      </c>
      <c r="EM22">
        <f t="shared" si="11"/>
        <v>1.8951671477575188E-2</v>
      </c>
      <c r="EN22">
        <f t="shared" si="12"/>
        <v>0.16605890023049219</v>
      </c>
      <c r="EO22">
        <f t="shared" si="13"/>
        <v>0.11412620131332912</v>
      </c>
    </row>
    <row r="23" spans="1:145" x14ac:dyDescent="0.3">
      <c r="A23" s="18">
        <v>512</v>
      </c>
      <c r="B23" s="18">
        <f t="shared" si="10"/>
        <v>2</v>
      </c>
      <c r="C23" s="3">
        <v>-3.1325684581971477E-2</v>
      </c>
      <c r="D23" s="3">
        <v>2.5572738597117312E-2</v>
      </c>
      <c r="E23" s="3">
        <v>0.13300519405617101</v>
      </c>
      <c r="F23" s="3">
        <v>-3.740232941910691E-3</v>
      </c>
      <c r="G23" s="3">
        <v>0.36163212077843282</v>
      </c>
      <c r="H23" s="3">
        <v>-1.8188470841484668E-2</v>
      </c>
      <c r="I23" s="3">
        <v>-3.6386488866407093E-2</v>
      </c>
      <c r="J23" s="3">
        <v>0.15529381690298319</v>
      </c>
      <c r="K23" s="3">
        <v>-5.9917884508062888E-2</v>
      </c>
      <c r="L23" s="3">
        <v>0.164212024118331</v>
      </c>
      <c r="M23" s="3">
        <v>-0.14728696802749691</v>
      </c>
      <c r="N23" s="3">
        <v>0.1473430061236311</v>
      </c>
      <c r="O23" s="3">
        <v>-2.3021517522107062E-3</v>
      </c>
      <c r="P23" s="3">
        <v>5.46815260345479E-2</v>
      </c>
      <c r="Q23" s="3">
        <v>-0.12030220542956831</v>
      </c>
      <c r="R23" s="3">
        <v>-5.6211143313255052E-2</v>
      </c>
      <c r="S23" s="3">
        <v>8.401148311947354E-2</v>
      </c>
      <c r="T23" s="3">
        <v>-8.4676175768728656E-2</v>
      </c>
      <c r="U23" s="3">
        <v>-0.22186949203641559</v>
      </c>
      <c r="V23" s="3">
        <v>0.16529276572388771</v>
      </c>
      <c r="W23" s="3">
        <v>-0.13653490355992831</v>
      </c>
      <c r="X23" s="3">
        <v>0.13707141125822819</v>
      </c>
      <c r="Y23" s="3">
        <v>-0.23418396405485739</v>
      </c>
      <c r="Z23" s="3">
        <v>0.112147298723505</v>
      </c>
      <c r="AA23" s="3">
        <v>0.1301052442445611</v>
      </c>
      <c r="AB23" s="3">
        <v>0.21023529018375359</v>
      </c>
      <c r="AC23" s="3">
        <v>-0.1726681468782954</v>
      </c>
      <c r="AD23" s="3">
        <v>8.3612829908906616E-2</v>
      </c>
      <c r="AE23" s="3">
        <v>-0.29504182790807898</v>
      </c>
      <c r="AF23" s="3">
        <v>6.6906260089751285E-2</v>
      </c>
      <c r="AG23" s="3">
        <v>-0.21060555382725649</v>
      </c>
      <c r="AH23" s="3">
        <v>3.7279490370669702E-2</v>
      </c>
      <c r="AI23" s="3">
        <v>2.3228266622481949E-2</v>
      </c>
      <c r="AJ23" s="3">
        <v>4.8195600190128897E-2</v>
      </c>
      <c r="AK23" s="3">
        <v>0.11411109934719101</v>
      </c>
      <c r="AL23" s="3">
        <v>0.1314317131925356</v>
      </c>
      <c r="AM23" s="3">
        <v>7.769489004865255E-3</v>
      </c>
      <c r="AN23" s="3">
        <v>0.24231469935730071</v>
      </c>
      <c r="AO23" s="3">
        <v>0.1203806447762263</v>
      </c>
      <c r="AP23" s="3">
        <v>-9.2917766517353895E-2</v>
      </c>
      <c r="AQ23" s="3">
        <v>8.9424992259610633E-2</v>
      </c>
      <c r="AR23" s="3">
        <v>-0.24679311649072941</v>
      </c>
      <c r="AS23" s="3">
        <v>-6.2783843657924859E-2</v>
      </c>
      <c r="AT23" s="3">
        <v>0.1095059029649002</v>
      </c>
      <c r="AU23" s="3">
        <v>0.31867753043169111</v>
      </c>
      <c r="AV23" s="3">
        <v>-1.2978195579988101E-2</v>
      </c>
      <c r="AW23" s="3">
        <v>0.32642827270511449</v>
      </c>
      <c r="AX23" s="3">
        <v>1.4812779008540821E-2</v>
      </c>
      <c r="AY23" s="3">
        <v>-0.1261286397305964</v>
      </c>
      <c r="AZ23" s="3">
        <v>-6.3753617401060211E-2</v>
      </c>
      <c r="BA23" s="3">
        <v>9.6467800801007808E-3</v>
      </c>
      <c r="BB23" s="3">
        <v>-5.1049484102885123E-2</v>
      </c>
      <c r="BC23" s="3">
        <v>-0.30082824917306578</v>
      </c>
      <c r="BD23" s="3">
        <v>-1.535066922443418E-2</v>
      </c>
      <c r="BE23" s="3">
        <v>-0.17597478112933951</v>
      </c>
      <c r="BF23" s="3">
        <v>-5.0110962021610701E-2</v>
      </c>
      <c r="BG23" s="3">
        <v>2.3409411889096111E-2</v>
      </c>
      <c r="BH23" s="3">
        <v>6.3365195703238231E-2</v>
      </c>
      <c r="BI23" s="3">
        <v>8.1416879871558698E-2</v>
      </c>
      <c r="BJ23" s="3">
        <v>7.1437909162187813E-2</v>
      </c>
      <c r="BK23" s="3">
        <v>-6.278178878983208E-2</v>
      </c>
      <c r="BL23" s="3">
        <v>-9.0236036196922026E-2</v>
      </c>
      <c r="BM23" s="3">
        <v>6.9495462024450616E-2</v>
      </c>
      <c r="BN23" s="3">
        <v>-2.660347002197758E-2</v>
      </c>
      <c r="BO23" s="3">
        <v>0.11373613128935101</v>
      </c>
      <c r="BP23" s="3">
        <v>-9.8630380242120431E-3</v>
      </c>
      <c r="BQ23" s="3">
        <v>0.1042594606837233</v>
      </c>
      <c r="BR23" s="3">
        <v>-8.3521862528781465E-3</v>
      </c>
      <c r="BS23" s="3">
        <v>-4.9207723386484208E-2</v>
      </c>
      <c r="BT23" s="3">
        <v>0.3423536066165257</v>
      </c>
      <c r="BU23" s="3">
        <v>-0.23163287017673859</v>
      </c>
      <c r="BV23" s="3">
        <v>-1.7018950875927849E-2</v>
      </c>
      <c r="BW23" s="3">
        <v>-0.75172452155617908</v>
      </c>
      <c r="BX23" s="3">
        <v>-7.9802590591823735E-2</v>
      </c>
      <c r="BY23" s="3">
        <v>0.23762366729164511</v>
      </c>
      <c r="BZ23" s="3">
        <v>0.35239786706502269</v>
      </c>
      <c r="CA23" s="3">
        <v>0.49629383248942283</v>
      </c>
      <c r="CB23" s="3">
        <v>0.13804774635610739</v>
      </c>
      <c r="CC23" s="3">
        <v>-8.4544614715775346E-2</v>
      </c>
      <c r="CD23" s="3">
        <v>0.1174683164809516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6.4997663888891943E-2</v>
      </c>
      <c r="CJ23" s="3">
        <v>-0.24860911365428501</v>
      </c>
      <c r="CK23" s="3">
        <v>-0.31480429120780962</v>
      </c>
      <c r="CL23" s="3">
        <v>-0.69943909221720346</v>
      </c>
      <c r="CM23" s="3">
        <v>0.135842013295389</v>
      </c>
      <c r="CN23" s="3">
        <v>2.602429011749285E-3</v>
      </c>
      <c r="CO23" s="3">
        <v>-0.61651588515443578</v>
      </c>
      <c r="CP23" s="3">
        <v>0.21780803514148719</v>
      </c>
      <c r="CQ23" s="3">
        <v>-0.11133205484913621</v>
      </c>
      <c r="CR23" s="3">
        <v>-8.1060417505604693E-3</v>
      </c>
      <c r="CS23" s="3">
        <v>-0.1093656839031077</v>
      </c>
      <c r="CT23" s="3">
        <v>4.2651219839411121E-2</v>
      </c>
      <c r="CU23" s="3">
        <v>1.6525255682172519E-2</v>
      </c>
      <c r="CV23" s="3">
        <v>2.7125219961751389E-2</v>
      </c>
      <c r="CW23" s="3">
        <v>1.9053529099671781E-2</v>
      </c>
      <c r="CX23" s="3">
        <v>-4.2852381404584597E-2</v>
      </c>
      <c r="CY23" s="3">
        <v>-5.9469725006769253E-2</v>
      </c>
      <c r="CZ23" s="3">
        <v>0.44770534020053748</v>
      </c>
      <c r="DA23" s="3">
        <v>2.5018510994155991E-2</v>
      </c>
      <c r="DB23" s="3">
        <v>1.8747066443219641E-2</v>
      </c>
      <c r="DC23" s="3">
        <v>7.2416033656425932E-2</v>
      </c>
      <c r="DD23" s="3">
        <v>-2.249858914365245E-2</v>
      </c>
      <c r="DE23" s="3">
        <v>-9.3952259516448811E-3</v>
      </c>
      <c r="DF23" s="3">
        <v>0.40879492056092032</v>
      </c>
      <c r="DG23" s="3">
        <v>-2.962550091989281E-2</v>
      </c>
      <c r="DH23" s="3">
        <v>0.1392268935121084</v>
      </c>
      <c r="DI23" s="3">
        <v>-2.9161842220836579E-2</v>
      </c>
      <c r="DJ23" s="3">
        <v>5.7281999481558703E-2</v>
      </c>
      <c r="DK23" s="3">
        <v>-6.3146577907403523E-2</v>
      </c>
      <c r="DL23" s="3">
        <v>-1.482939148558879E-2</v>
      </c>
      <c r="DM23" s="3">
        <v>-3.3366755709844542E-2</v>
      </c>
      <c r="DN23" s="3">
        <v>0.4441927862240389</v>
      </c>
      <c r="DO23" s="3">
        <v>4.9077326915596242E-2</v>
      </c>
      <c r="DP23" s="3">
        <v>7.1628473690507691E-2</v>
      </c>
      <c r="DQ23" s="3">
        <v>-0.1284444401968855</v>
      </c>
      <c r="DR23" s="3">
        <v>-0.11755548440255691</v>
      </c>
      <c r="DS23" s="3">
        <v>-0.2177358419514179</v>
      </c>
      <c r="DT23" s="3">
        <v>-5.4250460668612679E-2</v>
      </c>
      <c r="DU23" s="3">
        <v>0.53392168708434029</v>
      </c>
      <c r="DV23" s="3">
        <v>8.1332536152743107E-3</v>
      </c>
      <c r="DW23" s="3">
        <v>-0.27857637182341682</v>
      </c>
      <c r="DX23" s="3">
        <v>-0.1710027869684545</v>
      </c>
      <c r="DY23" s="3">
        <v>0.2022841265369463</v>
      </c>
      <c r="DZ23" s="3">
        <v>4.6410860970266463E-2</v>
      </c>
      <c r="EA23" s="3">
        <v>-2.875877977640498E-2</v>
      </c>
      <c r="EB23" s="3">
        <v>-0.11582658273038959</v>
      </c>
      <c r="EC23" s="3">
        <v>0.1232049429556647</v>
      </c>
      <c r="ED23" s="3">
        <v>-0.11627236735564089</v>
      </c>
      <c r="EE23" s="3">
        <v>6.9760970282400858E-2</v>
      </c>
      <c r="EF23" s="3">
        <v>2.9042852826891119E-2</v>
      </c>
      <c r="EG23" s="3">
        <v>1.286951019251068</v>
      </c>
      <c r="EH23" s="3">
        <v>9.9209371656780579E-2</v>
      </c>
      <c r="EI23" s="3">
        <v>-1.410284926605136E-2</v>
      </c>
      <c r="EJ23" s="3">
        <v>-3.8342924834411311E-2</v>
      </c>
      <c r="EK23" s="3">
        <v>0.12396270835802729</v>
      </c>
      <c r="EL23" s="3">
        <v>-4.9726084313458999E-2</v>
      </c>
      <c r="EM23">
        <f t="shared" si="11"/>
        <v>2.076665588585478E-2</v>
      </c>
      <c r="EN23">
        <f t="shared" si="12"/>
        <v>0.21867215185638972</v>
      </c>
      <c r="EO23">
        <f t="shared" si="13"/>
        <v>9.4967080671035931E-2</v>
      </c>
    </row>
    <row r="24" spans="1:145" x14ac:dyDescent="0.3">
      <c r="A24" s="18">
        <v>1051</v>
      </c>
      <c r="B24" s="18">
        <f t="shared" si="10"/>
        <v>1</v>
      </c>
      <c r="C24" s="3">
        <v>-2.776696731044102E-2</v>
      </c>
      <c r="D24" s="3">
        <v>0.1006099128992286</v>
      </c>
      <c r="E24" s="3">
        <v>0.28451249769050191</v>
      </c>
      <c r="F24" s="3">
        <v>7.5326493831706698E-2</v>
      </c>
      <c r="G24" s="3">
        <v>0.2296070518581638</v>
      </c>
      <c r="H24" s="3">
        <v>3.5855796654956661E-2</v>
      </c>
      <c r="I24" s="3">
        <v>1.692708918074378E-2</v>
      </c>
      <c r="J24" s="3">
        <v>4.0357249392596467E-3</v>
      </c>
      <c r="K24" s="3">
        <v>5.3732996668234008E-2</v>
      </c>
      <c r="L24" s="3">
        <v>2.829843612242763E-2</v>
      </c>
      <c r="M24" s="3">
        <v>-0.21778567303774149</v>
      </c>
      <c r="N24" s="3">
        <v>6.0578119921474508E-2</v>
      </c>
      <c r="O24" s="3">
        <v>3.6648790739543732E-2</v>
      </c>
      <c r="P24" s="3">
        <v>1.736288864347235E-3</v>
      </c>
      <c r="Q24" s="3">
        <v>-2.847135602397292E-3</v>
      </c>
      <c r="R24" s="3">
        <v>-0.24569737077925971</v>
      </c>
      <c r="S24" s="3">
        <v>0.1008087952876474</v>
      </c>
      <c r="T24" s="3">
        <v>-0.28781660351948779</v>
      </c>
      <c r="U24" s="3">
        <v>-0.41586120205767418</v>
      </c>
      <c r="V24" s="3">
        <v>0.11654031671685081</v>
      </c>
      <c r="W24" s="3">
        <v>-0.64293352860565944</v>
      </c>
      <c r="X24" s="3">
        <v>0.1180224325060039</v>
      </c>
      <c r="Y24" s="3">
        <v>9.4770149264170878E-3</v>
      </c>
      <c r="Z24" s="3">
        <v>7.9423704249252589E-2</v>
      </c>
      <c r="AA24" s="3">
        <v>0.28502016739769681</v>
      </c>
      <c r="AB24" s="3">
        <v>0.34893735620240041</v>
      </c>
      <c r="AC24" s="3">
        <v>-0.47418328353128952</v>
      </c>
      <c r="AD24" s="3">
        <v>0.11245167598329001</v>
      </c>
      <c r="AE24" s="3">
        <v>5.1620070258792117E-2</v>
      </c>
      <c r="AF24" s="3">
        <v>2.2522010034790499E-2</v>
      </c>
      <c r="AG24" s="3">
        <v>-0.48921646000461771</v>
      </c>
      <c r="AH24" s="3">
        <v>-6.8613799461397618E-2</v>
      </c>
      <c r="AI24" s="3">
        <v>-8.8083310984272967E-3</v>
      </c>
      <c r="AJ24" s="3">
        <v>-8.089124399937539E-2</v>
      </c>
      <c r="AK24" s="3">
        <v>8.4883953068192297E-2</v>
      </c>
      <c r="AL24" s="3">
        <v>-5.4676935490635382E-2</v>
      </c>
      <c r="AM24" s="3">
        <v>-1.89192814205267E-2</v>
      </c>
      <c r="AN24" s="3">
        <v>0.22118946514543131</v>
      </c>
      <c r="AO24" s="3">
        <v>6.6090111828990022E-2</v>
      </c>
      <c r="AP24" s="3">
        <v>-2.28517154890964E-2</v>
      </c>
      <c r="AQ24" s="3">
        <v>4.7076972834245667E-2</v>
      </c>
      <c r="AR24" s="3">
        <v>-0.22832049298777149</v>
      </c>
      <c r="AS24" s="3">
        <v>-5.9514127532407722E-2</v>
      </c>
      <c r="AT24" s="3">
        <v>0.15076897992568081</v>
      </c>
      <c r="AU24" s="3">
        <v>0.47705418724240228</v>
      </c>
      <c r="AV24" s="3">
        <v>-8.7151952186895892E-2</v>
      </c>
      <c r="AW24" s="3">
        <v>0.1203029234068482</v>
      </c>
      <c r="AX24" s="3">
        <v>-0.1114913369162155</v>
      </c>
      <c r="AY24" s="3">
        <v>-0.1180153788734402</v>
      </c>
      <c r="AZ24" s="3">
        <v>3.7867073599665187E-2</v>
      </c>
      <c r="BA24" s="3">
        <v>-5.3794732084633153E-2</v>
      </c>
      <c r="BB24" s="3">
        <v>-8.6159033395334803E-2</v>
      </c>
      <c r="BC24" s="3">
        <v>-0.8032160130443774</v>
      </c>
      <c r="BD24" s="3">
        <v>0.17257013871334029</v>
      </c>
      <c r="BE24" s="3">
        <v>-0.18948899555826529</v>
      </c>
      <c r="BF24" s="3">
        <v>-8.001195027253441E-2</v>
      </c>
      <c r="BG24" s="3">
        <v>0.17662353567931691</v>
      </c>
      <c r="BH24" s="3">
        <v>0.14767356525171971</v>
      </c>
      <c r="BI24" s="3">
        <v>0.14021392875864461</v>
      </c>
      <c r="BJ24" s="3">
        <v>-6.5154095179785917E-2</v>
      </c>
      <c r="BK24" s="3">
        <v>4.0235468942862278E-3</v>
      </c>
      <c r="BL24" s="3">
        <v>-3.089861151917388E-2</v>
      </c>
      <c r="BM24" s="3">
        <v>-8.4782939838988242E-2</v>
      </c>
      <c r="BN24" s="3">
        <v>-1.989015847921969E-2</v>
      </c>
      <c r="BO24" s="3">
        <v>0.20807633223112251</v>
      </c>
      <c r="BP24" s="3">
        <v>3.1794104329889807E-2</v>
      </c>
      <c r="BQ24" s="3">
        <v>-6.4169633330115036E-2</v>
      </c>
      <c r="BR24" s="3">
        <v>9.6993970887136131E-3</v>
      </c>
      <c r="BS24" s="3">
        <v>-1.284717484456964E-3</v>
      </c>
      <c r="BT24" s="3">
        <v>0.29946444334326322</v>
      </c>
      <c r="BU24" s="3">
        <v>-8.7484923148454363E-3</v>
      </c>
      <c r="BV24" s="3">
        <v>-0.20330415183045039</v>
      </c>
      <c r="BW24" s="3">
        <v>-1.109012070037362</v>
      </c>
      <c r="BX24" s="3">
        <v>-6.7434721383990356E-2</v>
      </c>
      <c r="BY24" s="3">
        <v>-2.5431774592197091E-2</v>
      </c>
      <c r="BZ24" s="3">
        <v>0.81395802674252182</v>
      </c>
      <c r="CA24" s="3">
        <v>8.5352138787233134E-2</v>
      </c>
      <c r="CB24" s="3">
        <v>-6.4127083156042083E-2</v>
      </c>
      <c r="CC24" s="3">
        <v>-0.18246987988756161</v>
      </c>
      <c r="CD24" s="3">
        <v>1.8443350750769021E-2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4.707262470500502E-2</v>
      </c>
      <c r="CJ24" s="3">
        <v>-0.40875838062707592</v>
      </c>
      <c r="CK24" s="3">
        <v>8.7873759970029004E-3</v>
      </c>
      <c r="CL24" s="3">
        <v>-0.78777200635211031</v>
      </c>
      <c r="CM24" s="3">
        <v>0.31637256491471011</v>
      </c>
      <c r="CN24" s="3">
        <v>-9.0548656975183314E-2</v>
      </c>
      <c r="CO24" s="3">
        <v>-0.19183841391386311</v>
      </c>
      <c r="CP24" s="3">
        <v>0.26545893566707068</v>
      </c>
      <c r="CQ24" s="3">
        <v>-0.13092719820022791</v>
      </c>
      <c r="CR24" s="3">
        <v>-0.23257802077480849</v>
      </c>
      <c r="CS24" s="3">
        <v>-0.230678162570464</v>
      </c>
      <c r="CT24" s="3">
        <v>9.039636440371035E-2</v>
      </c>
      <c r="CU24" s="3">
        <v>-0.14645564360545801</v>
      </c>
      <c r="CV24" s="3">
        <v>0.1138047624404894</v>
      </c>
      <c r="CW24" s="3">
        <v>0.29572306148039179</v>
      </c>
      <c r="CX24" s="3">
        <v>0.14693641909257049</v>
      </c>
      <c r="CY24" s="3">
        <v>3.8516131062231278E-2</v>
      </c>
      <c r="CZ24" s="3">
        <v>0.34631321415719057</v>
      </c>
      <c r="DA24" s="3">
        <v>3.3979585092453302E-2</v>
      </c>
      <c r="DB24" s="3">
        <v>-1.6501865848996312E-2</v>
      </c>
      <c r="DC24" s="3">
        <v>0.17955311523934811</v>
      </c>
      <c r="DD24" s="3">
        <v>-2.3668650102661591E-3</v>
      </c>
      <c r="DE24" s="3">
        <v>-0.17606275750953501</v>
      </c>
      <c r="DF24" s="3">
        <v>0.52558500614449799</v>
      </c>
      <c r="DG24" s="3">
        <v>-0.11954528640013271</v>
      </c>
      <c r="DH24" s="3">
        <v>0.26580267599251223</v>
      </c>
      <c r="DI24" s="3">
        <v>0.36477511528666579</v>
      </c>
      <c r="DJ24" s="3">
        <v>2.108147115785142E-2</v>
      </c>
      <c r="DK24" s="3">
        <v>-6.348335954134332E-2</v>
      </c>
      <c r="DL24" s="3">
        <v>5.1807187376393303E-2</v>
      </c>
      <c r="DM24" s="3">
        <v>2.5807675313727092E-2</v>
      </c>
      <c r="DN24" s="3">
        <v>0.66708867560199003</v>
      </c>
      <c r="DO24" s="3">
        <v>4.0894289457340617E-2</v>
      </c>
      <c r="DP24" s="3">
        <v>-0.1261097641133086</v>
      </c>
      <c r="DQ24" s="3">
        <v>-0.12982243233474189</v>
      </c>
      <c r="DR24" s="3">
        <v>-0.35387367634979477</v>
      </c>
      <c r="DS24" s="3">
        <v>-0.51982867985760917</v>
      </c>
      <c r="DT24" s="3">
        <v>-7.4733345266004753E-2</v>
      </c>
      <c r="DU24" s="3">
        <v>0.75093836081020182</v>
      </c>
      <c r="DV24" s="3">
        <v>9.8046834802625854E-2</v>
      </c>
      <c r="DW24" s="3">
        <v>-0.38336324094520591</v>
      </c>
      <c r="DX24" s="3">
        <v>-0.17373733044807921</v>
      </c>
      <c r="DY24" s="3">
        <v>-3.239876608542996E-3</v>
      </c>
      <c r="DZ24" s="3">
        <v>-8.2108691898803127E-2</v>
      </c>
      <c r="EA24" s="3">
        <v>-5.4920183841502608E-2</v>
      </c>
      <c r="EB24" s="3">
        <v>-0.1092287723728063</v>
      </c>
      <c r="EC24" s="3">
        <v>0.25665137996352638</v>
      </c>
      <c r="ED24" s="3">
        <v>-0.1147491015026024</v>
      </c>
      <c r="EE24" s="3">
        <v>0.1134294391912188</v>
      </c>
      <c r="EF24" s="3">
        <v>-6.7276677043968364E-2</v>
      </c>
      <c r="EG24" s="3">
        <v>2.3153612803686849</v>
      </c>
      <c r="EH24" s="3">
        <v>0.20538557869251389</v>
      </c>
      <c r="EI24" s="3">
        <v>-0.1117442810214329</v>
      </c>
      <c r="EJ24" s="3">
        <v>6.725982075677317E-3</v>
      </c>
      <c r="EK24" s="3">
        <v>0.1399126065533613</v>
      </c>
      <c r="EL24" s="3">
        <v>-0.25659148538174992</v>
      </c>
      <c r="EM24">
        <f t="shared" si="11"/>
        <v>1.3268292681505776E-2</v>
      </c>
      <c r="EN24">
        <f t="shared" si="12"/>
        <v>0.32482713353380521</v>
      </c>
      <c r="EO24">
        <f t="shared" si="13"/>
        <v>4.084724246142734E-2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 t="s">
        <v>157</v>
      </c>
      <c r="D27" s="4" t="s">
        <v>158</v>
      </c>
      <c r="E27" s="4" t="s">
        <v>158</v>
      </c>
      <c r="F27" s="4" t="s">
        <v>159</v>
      </c>
      <c r="G27" s="4" t="s">
        <v>158</v>
      </c>
      <c r="H27" s="4" t="s">
        <v>158</v>
      </c>
      <c r="I27" s="4" t="s">
        <v>160</v>
      </c>
      <c r="J27" s="4" t="s">
        <v>161</v>
      </c>
      <c r="K27" s="4" t="s">
        <v>160</v>
      </c>
      <c r="L27" s="4" t="s">
        <v>162</v>
      </c>
      <c r="M27" s="4" t="s">
        <v>158</v>
      </c>
      <c r="N27" s="4" t="s">
        <v>163</v>
      </c>
      <c r="O27" s="4" t="s">
        <v>164</v>
      </c>
      <c r="P27" s="4" t="s">
        <v>160</v>
      </c>
      <c r="Q27" s="4" t="s">
        <v>160</v>
      </c>
      <c r="R27" s="4" t="s">
        <v>158</v>
      </c>
      <c r="S27" s="4" t="s">
        <v>165</v>
      </c>
      <c r="T27" s="4" t="s">
        <v>160</v>
      </c>
      <c r="U27" s="4" t="s">
        <v>165</v>
      </c>
      <c r="V27" s="4" t="s">
        <v>166</v>
      </c>
      <c r="W27" s="4" t="s">
        <v>167</v>
      </c>
      <c r="X27" s="4" t="s">
        <v>168</v>
      </c>
      <c r="Y27" s="4" t="s">
        <v>169</v>
      </c>
      <c r="Z27" s="4" t="s">
        <v>170</v>
      </c>
      <c r="AA27" s="4" t="s">
        <v>170</v>
      </c>
      <c r="AB27" s="4" t="s">
        <v>171</v>
      </c>
      <c r="AC27" s="4" t="s">
        <v>161</v>
      </c>
      <c r="AD27" s="4" t="s">
        <v>172</v>
      </c>
      <c r="AE27" s="4" t="s">
        <v>172</v>
      </c>
      <c r="AF27" s="4" t="s">
        <v>168</v>
      </c>
      <c r="AG27" s="4" t="s">
        <v>173</v>
      </c>
      <c r="AH27" s="4" t="s">
        <v>160</v>
      </c>
      <c r="AI27" s="4" t="s">
        <v>168</v>
      </c>
      <c r="AJ27" s="4" t="s">
        <v>168</v>
      </c>
      <c r="AK27" s="4" t="s">
        <v>168</v>
      </c>
      <c r="AL27" s="4" t="s">
        <v>168</v>
      </c>
      <c r="AM27" s="4" t="s">
        <v>168</v>
      </c>
      <c r="AN27" s="4" t="s">
        <v>168</v>
      </c>
      <c r="AO27" s="4" t="s">
        <v>168</v>
      </c>
      <c r="AP27" s="4" t="s">
        <v>168</v>
      </c>
      <c r="AQ27" s="4" t="s">
        <v>168</v>
      </c>
      <c r="AR27" s="4" t="s">
        <v>172</v>
      </c>
      <c r="AS27" s="4" t="s">
        <v>172</v>
      </c>
      <c r="AT27" s="4" t="s">
        <v>174</v>
      </c>
      <c r="AU27" s="4" t="s">
        <v>160</v>
      </c>
      <c r="AV27" s="4" t="s">
        <v>168</v>
      </c>
      <c r="AW27" s="4" t="s">
        <v>160</v>
      </c>
      <c r="AX27" s="4" t="s">
        <v>174</v>
      </c>
      <c r="AY27" s="4" t="s">
        <v>165</v>
      </c>
      <c r="AZ27" s="4" t="s">
        <v>168</v>
      </c>
      <c r="BA27" s="4" t="s">
        <v>168</v>
      </c>
      <c r="BB27" s="4" t="s">
        <v>168</v>
      </c>
      <c r="BC27" s="4" t="s">
        <v>168</v>
      </c>
      <c r="BD27" s="4" t="s">
        <v>175</v>
      </c>
      <c r="BE27" s="4" t="s">
        <v>176</v>
      </c>
      <c r="BF27" s="4" t="s">
        <v>177</v>
      </c>
      <c r="BG27" s="4" t="s">
        <v>178</v>
      </c>
      <c r="BH27" s="4" t="s">
        <v>175</v>
      </c>
      <c r="BI27" s="4" t="s">
        <v>179</v>
      </c>
      <c r="BJ27" s="4" t="s">
        <v>178</v>
      </c>
      <c r="BK27" s="4" t="s">
        <v>168</v>
      </c>
      <c r="BL27" s="4" t="s">
        <v>178</v>
      </c>
      <c r="BM27" s="4" t="s">
        <v>179</v>
      </c>
      <c r="BN27" s="4" t="s">
        <v>179</v>
      </c>
      <c r="BO27" s="4" t="s">
        <v>179</v>
      </c>
      <c r="BP27" s="4" t="s">
        <v>178</v>
      </c>
      <c r="BQ27" s="4" t="s">
        <v>168</v>
      </c>
      <c r="BR27" s="4" t="s">
        <v>178</v>
      </c>
      <c r="BS27" s="4" t="s">
        <v>168</v>
      </c>
      <c r="BT27" s="4" t="s">
        <v>180</v>
      </c>
      <c r="BU27" s="4" t="s">
        <v>178</v>
      </c>
      <c r="BV27" s="4" t="s">
        <v>178</v>
      </c>
      <c r="BW27" s="4" t="s">
        <v>178</v>
      </c>
      <c r="BX27" s="4" t="s">
        <v>168</v>
      </c>
      <c r="BY27" s="4" t="s">
        <v>181</v>
      </c>
      <c r="BZ27" s="4" t="s">
        <v>178</v>
      </c>
      <c r="CA27" s="4" t="s">
        <v>182</v>
      </c>
      <c r="CB27" s="4" t="s">
        <v>181</v>
      </c>
      <c r="CC27" s="4" t="s">
        <v>183</v>
      </c>
      <c r="CD27" s="4" t="s">
        <v>184</v>
      </c>
      <c r="CE27" s="4" t="s">
        <v>184</v>
      </c>
      <c r="CF27" s="4" t="s">
        <v>168</v>
      </c>
      <c r="CG27" s="4" t="s">
        <v>185</v>
      </c>
      <c r="CH27" s="4" t="s">
        <v>186</v>
      </c>
      <c r="CI27" s="4" t="s">
        <v>185</v>
      </c>
      <c r="CJ27" s="4" t="s">
        <v>186</v>
      </c>
      <c r="CK27" s="4" t="s">
        <v>185</v>
      </c>
      <c r="CL27" s="4" t="s">
        <v>187</v>
      </c>
      <c r="CM27" s="4" t="s">
        <v>187</v>
      </c>
      <c r="CN27" s="4" t="s">
        <v>186</v>
      </c>
      <c r="CO27" s="4" t="s">
        <v>186</v>
      </c>
      <c r="CP27" s="4" t="s">
        <v>187</v>
      </c>
      <c r="CQ27" s="4" t="s">
        <v>187</v>
      </c>
      <c r="CR27" s="4" t="s">
        <v>186</v>
      </c>
      <c r="CS27" s="4" t="s">
        <v>186</v>
      </c>
      <c r="CT27" s="4" t="s">
        <v>186</v>
      </c>
      <c r="CU27" s="4" t="s">
        <v>188</v>
      </c>
      <c r="CV27" s="4" t="s">
        <v>186</v>
      </c>
      <c r="CW27" s="4" t="s">
        <v>189</v>
      </c>
      <c r="CX27" s="4" t="s">
        <v>186</v>
      </c>
      <c r="CY27" s="4" t="s">
        <v>168</v>
      </c>
      <c r="CZ27" s="4" t="s">
        <v>168</v>
      </c>
      <c r="DA27" s="4" t="s">
        <v>190</v>
      </c>
      <c r="DB27" s="4" t="s">
        <v>191</v>
      </c>
      <c r="DC27" s="4" t="s">
        <v>191</v>
      </c>
      <c r="DD27" s="4" t="s">
        <v>190</v>
      </c>
      <c r="DE27" s="4" t="s">
        <v>168</v>
      </c>
      <c r="DF27" s="4" t="s">
        <v>168</v>
      </c>
      <c r="DG27" s="4" t="s">
        <v>191</v>
      </c>
      <c r="DH27" s="4" t="s">
        <v>190</v>
      </c>
      <c r="DI27" s="4" t="s">
        <v>192</v>
      </c>
      <c r="DJ27" s="4" t="s">
        <v>176</v>
      </c>
      <c r="DK27" s="4" t="s">
        <v>173</v>
      </c>
      <c r="DL27" s="4" t="s">
        <v>173</v>
      </c>
      <c r="DM27" s="4" t="s">
        <v>173</v>
      </c>
      <c r="DN27" s="4" t="s">
        <v>192</v>
      </c>
      <c r="DO27" s="4" t="s">
        <v>192</v>
      </c>
      <c r="DP27" s="4" t="s">
        <v>193</v>
      </c>
      <c r="DQ27" s="4" t="s">
        <v>193</v>
      </c>
      <c r="DR27" s="4" t="s">
        <v>192</v>
      </c>
      <c r="DS27" s="4" t="s">
        <v>186</v>
      </c>
      <c r="DT27" s="4" t="s">
        <v>194</v>
      </c>
      <c r="DU27" s="4" t="s">
        <v>195</v>
      </c>
      <c r="DV27" s="4" t="s">
        <v>196</v>
      </c>
      <c r="DW27" s="4" t="s">
        <v>197</v>
      </c>
      <c r="DX27" s="4" t="s">
        <v>197</v>
      </c>
      <c r="DY27" s="4" t="s">
        <v>196</v>
      </c>
      <c r="DZ27" s="4" t="s">
        <v>196</v>
      </c>
      <c r="EA27" s="4" t="s">
        <v>196</v>
      </c>
      <c r="EB27" s="4" t="s">
        <v>196</v>
      </c>
      <c r="EC27" s="4" t="s">
        <v>198</v>
      </c>
      <c r="ED27" s="4" t="s">
        <v>199</v>
      </c>
      <c r="EE27" s="4" t="s">
        <v>191</v>
      </c>
      <c r="EF27" s="4" t="s">
        <v>191</v>
      </c>
      <c r="EG27" s="4" t="s">
        <v>191</v>
      </c>
      <c r="EH27" s="4" t="s">
        <v>200</v>
      </c>
      <c r="EI27" s="4" t="s">
        <v>196</v>
      </c>
      <c r="EJ27" s="4" t="s">
        <v>196</v>
      </c>
      <c r="EK27" s="4" t="s">
        <v>196</v>
      </c>
      <c r="EL27" s="4" t="s">
        <v>196</v>
      </c>
      <c r="EM27" t="s">
        <v>201</v>
      </c>
    </row>
    <row r="28" spans="1:145" x14ac:dyDescent="0.3">
      <c r="C28" s="4" t="s">
        <v>202</v>
      </c>
      <c r="D28" s="4" t="s">
        <v>203</v>
      </c>
      <c r="E28" s="4" t="s">
        <v>203</v>
      </c>
      <c r="F28" s="4" t="s">
        <v>204</v>
      </c>
      <c r="G28" s="4" t="s">
        <v>203</v>
      </c>
      <c r="H28" s="4" t="s">
        <v>203</v>
      </c>
      <c r="I28" s="4" t="s">
        <v>205</v>
      </c>
      <c r="J28" s="4" t="s">
        <v>206</v>
      </c>
      <c r="K28" s="4" t="s">
        <v>205</v>
      </c>
      <c r="L28" s="4" t="s">
        <v>207</v>
      </c>
      <c r="M28" s="4" t="s">
        <v>203</v>
      </c>
      <c r="N28" s="4" t="s">
        <v>208</v>
      </c>
      <c r="O28" s="4" t="s">
        <v>209</v>
      </c>
      <c r="P28" s="4" t="s">
        <v>205</v>
      </c>
      <c r="Q28" s="4" t="s">
        <v>205</v>
      </c>
      <c r="R28" s="4" t="s">
        <v>203</v>
      </c>
      <c r="S28" s="4" t="s">
        <v>210</v>
      </c>
      <c r="T28" s="4" t="s">
        <v>205</v>
      </c>
      <c r="U28" s="4" t="s">
        <v>210</v>
      </c>
      <c r="V28" s="4" t="s">
        <v>211</v>
      </c>
      <c r="W28" s="4" t="s">
        <v>212</v>
      </c>
      <c r="X28" s="4" t="s">
        <v>213</v>
      </c>
      <c r="Y28" s="4" t="s">
        <v>214</v>
      </c>
      <c r="Z28" s="4" t="s">
        <v>215</v>
      </c>
      <c r="AA28" s="4" t="s">
        <v>215</v>
      </c>
      <c r="AB28" s="4" t="s">
        <v>216</v>
      </c>
      <c r="AC28" s="4" t="s">
        <v>206</v>
      </c>
      <c r="AD28" s="4" t="s">
        <v>217</v>
      </c>
      <c r="AE28" s="4" t="s">
        <v>217</v>
      </c>
      <c r="AF28" s="4" t="s">
        <v>213</v>
      </c>
      <c r="AG28" s="4" t="s">
        <v>218</v>
      </c>
      <c r="AH28" s="4" t="s">
        <v>205</v>
      </c>
      <c r="AI28" s="4" t="s">
        <v>213</v>
      </c>
      <c r="AJ28" s="4" t="s">
        <v>213</v>
      </c>
      <c r="AK28" s="4" t="s">
        <v>213</v>
      </c>
      <c r="AL28" s="4" t="s">
        <v>213</v>
      </c>
      <c r="AM28" s="4" t="s">
        <v>213</v>
      </c>
      <c r="AN28" s="4" t="s">
        <v>213</v>
      </c>
      <c r="AO28" s="4" t="s">
        <v>213</v>
      </c>
      <c r="AP28" s="4" t="s">
        <v>213</v>
      </c>
      <c r="AQ28" s="4" t="s">
        <v>213</v>
      </c>
      <c r="AR28" s="4" t="s">
        <v>217</v>
      </c>
      <c r="AS28" s="4" t="s">
        <v>217</v>
      </c>
      <c r="AT28" s="4" t="s">
        <v>219</v>
      </c>
      <c r="AU28" s="4" t="s">
        <v>205</v>
      </c>
      <c r="AV28" s="4" t="s">
        <v>213</v>
      </c>
      <c r="AW28" s="4" t="s">
        <v>205</v>
      </c>
      <c r="AX28" s="4" t="s">
        <v>219</v>
      </c>
      <c r="AY28" s="4" t="s">
        <v>210</v>
      </c>
      <c r="AZ28" s="4" t="s">
        <v>213</v>
      </c>
      <c r="BA28" s="4" t="s">
        <v>213</v>
      </c>
      <c r="BB28" s="4" t="s">
        <v>213</v>
      </c>
      <c r="BC28" s="4" t="s">
        <v>213</v>
      </c>
      <c r="BD28" s="4" t="s">
        <v>220</v>
      </c>
      <c r="BE28" s="4" t="s">
        <v>221</v>
      </c>
      <c r="BF28" s="4" t="s">
        <v>222</v>
      </c>
      <c r="BG28" s="4" t="s">
        <v>223</v>
      </c>
      <c r="BH28" s="4" t="s">
        <v>220</v>
      </c>
      <c r="BI28" s="4" t="s">
        <v>224</v>
      </c>
      <c r="BJ28" s="4" t="s">
        <v>223</v>
      </c>
      <c r="BK28" s="4" t="s">
        <v>213</v>
      </c>
      <c r="BL28" s="4" t="s">
        <v>223</v>
      </c>
      <c r="BM28" s="4" t="s">
        <v>224</v>
      </c>
      <c r="BN28" s="4" t="s">
        <v>224</v>
      </c>
      <c r="BO28" s="4" t="s">
        <v>224</v>
      </c>
      <c r="BP28" s="4" t="s">
        <v>223</v>
      </c>
      <c r="BQ28" s="4" t="s">
        <v>213</v>
      </c>
      <c r="BR28" s="4" t="s">
        <v>223</v>
      </c>
      <c r="BS28" s="4" t="s">
        <v>213</v>
      </c>
      <c r="BT28" s="4" t="s">
        <v>225</v>
      </c>
      <c r="BU28" s="4" t="s">
        <v>223</v>
      </c>
      <c r="BV28" s="4" t="s">
        <v>223</v>
      </c>
      <c r="BW28" s="4" t="s">
        <v>223</v>
      </c>
      <c r="BX28" s="4" t="s">
        <v>213</v>
      </c>
      <c r="BY28" s="4" t="s">
        <v>226</v>
      </c>
      <c r="BZ28" s="4" t="s">
        <v>223</v>
      </c>
      <c r="CA28" s="4" t="s">
        <v>227</v>
      </c>
      <c r="CB28" s="4" t="s">
        <v>226</v>
      </c>
      <c r="CC28" s="4" t="s">
        <v>228</v>
      </c>
      <c r="CD28" s="4" t="s">
        <v>229</v>
      </c>
      <c r="CE28" s="4" t="s">
        <v>229</v>
      </c>
      <c r="CF28" s="4" t="s">
        <v>213</v>
      </c>
      <c r="CG28" s="4" t="s">
        <v>230</v>
      </c>
      <c r="CH28" s="4" t="s">
        <v>231</v>
      </c>
      <c r="CI28" s="4" t="s">
        <v>230</v>
      </c>
      <c r="CJ28" s="4" t="s">
        <v>231</v>
      </c>
      <c r="CK28" s="4" t="s">
        <v>230</v>
      </c>
      <c r="CL28" s="4" t="s">
        <v>232</v>
      </c>
      <c r="CM28" s="4" t="s">
        <v>232</v>
      </c>
      <c r="CN28" s="4" t="s">
        <v>231</v>
      </c>
      <c r="CO28" s="4" t="s">
        <v>231</v>
      </c>
      <c r="CP28" s="4" t="s">
        <v>232</v>
      </c>
      <c r="CQ28" s="4" t="s">
        <v>232</v>
      </c>
      <c r="CR28" s="4" t="s">
        <v>231</v>
      </c>
      <c r="CS28" s="4" t="s">
        <v>231</v>
      </c>
      <c r="CT28" s="4" t="s">
        <v>231</v>
      </c>
      <c r="CU28" s="4" t="s">
        <v>233</v>
      </c>
      <c r="CV28" s="4" t="s">
        <v>231</v>
      </c>
      <c r="CW28" s="4" t="s">
        <v>234</v>
      </c>
      <c r="CX28" s="4" t="s">
        <v>231</v>
      </c>
      <c r="CY28" s="4" t="s">
        <v>213</v>
      </c>
      <c r="CZ28" s="4" t="s">
        <v>213</v>
      </c>
      <c r="DA28" s="4" t="s">
        <v>235</v>
      </c>
      <c r="DB28" s="4" t="s">
        <v>236</v>
      </c>
      <c r="DC28" s="4" t="s">
        <v>236</v>
      </c>
      <c r="DD28" s="4" t="s">
        <v>235</v>
      </c>
      <c r="DE28" s="4" t="s">
        <v>213</v>
      </c>
      <c r="DF28" s="4" t="s">
        <v>213</v>
      </c>
      <c r="DG28" s="4" t="s">
        <v>236</v>
      </c>
      <c r="DH28" s="4" t="s">
        <v>235</v>
      </c>
      <c r="DI28" s="4" t="s">
        <v>237</v>
      </c>
      <c r="DJ28" s="4" t="s">
        <v>221</v>
      </c>
      <c r="DK28" s="4" t="s">
        <v>218</v>
      </c>
      <c r="DL28" s="4" t="s">
        <v>218</v>
      </c>
      <c r="DM28" s="4" t="s">
        <v>218</v>
      </c>
      <c r="DN28" s="4" t="s">
        <v>237</v>
      </c>
      <c r="DO28" s="4" t="s">
        <v>237</v>
      </c>
      <c r="DP28" s="4" t="s">
        <v>238</v>
      </c>
      <c r="DQ28" s="4" t="s">
        <v>238</v>
      </c>
      <c r="DR28" s="4" t="s">
        <v>237</v>
      </c>
      <c r="DS28" s="4" t="s">
        <v>231</v>
      </c>
      <c r="DT28" s="4" t="s">
        <v>239</v>
      </c>
      <c r="DU28" s="4" t="s">
        <v>240</v>
      </c>
      <c r="DV28" s="4" t="s">
        <v>241</v>
      </c>
      <c r="DW28" s="4" t="s">
        <v>242</v>
      </c>
      <c r="DX28" s="4" t="s">
        <v>242</v>
      </c>
      <c r="DY28" s="4" t="s">
        <v>241</v>
      </c>
      <c r="DZ28" s="4" t="s">
        <v>241</v>
      </c>
      <c r="EA28" s="4" t="s">
        <v>241</v>
      </c>
      <c r="EB28" s="4" t="s">
        <v>241</v>
      </c>
      <c r="EC28" s="4" t="s">
        <v>243</v>
      </c>
      <c r="ED28" s="4" t="s">
        <v>244</v>
      </c>
      <c r="EE28" s="4" t="s">
        <v>236</v>
      </c>
      <c r="EF28" s="4" t="s">
        <v>236</v>
      </c>
      <c r="EG28" s="4" t="s">
        <v>236</v>
      </c>
      <c r="EH28" s="4" t="s">
        <v>245</v>
      </c>
      <c r="EI28" s="4" t="s">
        <v>241</v>
      </c>
      <c r="EJ28" s="4" t="s">
        <v>241</v>
      </c>
      <c r="EK28" s="4" t="s">
        <v>241</v>
      </c>
      <c r="EL28" s="4" t="s">
        <v>241</v>
      </c>
      <c r="EM28" t="s">
        <v>246</v>
      </c>
    </row>
    <row r="29" spans="1:145" x14ac:dyDescent="0.3">
      <c r="C29" s="4" t="s">
        <v>247</v>
      </c>
      <c r="D29" s="4" t="s">
        <v>248</v>
      </c>
      <c r="E29" s="4" t="s">
        <v>248</v>
      </c>
      <c r="F29" s="4" t="s">
        <v>248</v>
      </c>
      <c r="G29" s="4" t="s">
        <v>248</v>
      </c>
      <c r="H29" s="4" t="s">
        <v>248</v>
      </c>
      <c r="I29" s="4" t="s">
        <v>248</v>
      </c>
      <c r="J29" s="4" t="s">
        <v>195</v>
      </c>
      <c r="K29" s="4" t="s">
        <v>248</v>
      </c>
      <c r="L29" s="4" t="s">
        <v>249</v>
      </c>
      <c r="M29" s="4" t="s">
        <v>248</v>
      </c>
      <c r="N29" s="4" t="s">
        <v>249</v>
      </c>
      <c r="O29" s="4" t="s">
        <v>250</v>
      </c>
      <c r="P29" s="4" t="s">
        <v>248</v>
      </c>
      <c r="Q29" s="4" t="s">
        <v>248</v>
      </c>
      <c r="R29" s="4" t="s">
        <v>249</v>
      </c>
      <c r="S29" s="4" t="s">
        <v>250</v>
      </c>
      <c r="T29" s="4" t="s">
        <v>248</v>
      </c>
      <c r="U29" s="4" t="s">
        <v>250</v>
      </c>
      <c r="V29" s="4" t="s">
        <v>250</v>
      </c>
      <c r="W29" s="4" t="s">
        <v>158</v>
      </c>
      <c r="X29" s="4" t="s">
        <v>249</v>
      </c>
      <c r="Y29" s="4" t="s">
        <v>249</v>
      </c>
      <c r="Z29" s="4" t="s">
        <v>172</v>
      </c>
      <c r="AA29" s="4" t="s">
        <v>172</v>
      </c>
      <c r="AB29" s="4" t="s">
        <v>172</v>
      </c>
      <c r="AC29" s="4" t="s">
        <v>172</v>
      </c>
      <c r="AD29" s="4" t="s">
        <v>249</v>
      </c>
      <c r="AE29" s="4" t="s">
        <v>249</v>
      </c>
      <c r="AF29" s="4" t="s">
        <v>249</v>
      </c>
      <c r="AG29" s="4" t="s">
        <v>251</v>
      </c>
      <c r="AH29" s="4" t="s">
        <v>248</v>
      </c>
      <c r="AI29" s="4" t="s">
        <v>249</v>
      </c>
      <c r="AJ29" s="4" t="s">
        <v>249</v>
      </c>
      <c r="AK29" s="4" t="s">
        <v>249</v>
      </c>
      <c r="AL29" s="4" t="s">
        <v>249</v>
      </c>
      <c r="AM29" s="4" t="s">
        <v>249</v>
      </c>
      <c r="AN29" s="4" t="s">
        <v>249</v>
      </c>
      <c r="AO29" s="4" t="s">
        <v>249</v>
      </c>
      <c r="AP29" s="4" t="s">
        <v>249</v>
      </c>
      <c r="AQ29" s="4" t="s">
        <v>249</v>
      </c>
      <c r="AR29" s="4" t="s">
        <v>252</v>
      </c>
      <c r="AS29" s="4" t="s">
        <v>252</v>
      </c>
      <c r="AT29" s="4" t="s">
        <v>252</v>
      </c>
      <c r="AU29" s="4" t="s">
        <v>248</v>
      </c>
      <c r="AV29" s="4" t="s">
        <v>249</v>
      </c>
      <c r="AW29" s="4" t="s">
        <v>248</v>
      </c>
      <c r="AX29" s="4" t="s">
        <v>253</v>
      </c>
      <c r="AY29" s="4" t="s">
        <v>178</v>
      </c>
      <c r="AZ29" s="4" t="s">
        <v>254</v>
      </c>
      <c r="BA29" s="4" t="s">
        <v>254</v>
      </c>
      <c r="BB29" s="4" t="s">
        <v>254</v>
      </c>
      <c r="BC29" s="4" t="s">
        <v>255</v>
      </c>
      <c r="BD29" s="4" t="s">
        <v>256</v>
      </c>
      <c r="BE29" s="4" t="s">
        <v>248</v>
      </c>
      <c r="BF29" s="4" t="s">
        <v>248</v>
      </c>
      <c r="BG29" s="4" t="s">
        <v>248</v>
      </c>
      <c r="BH29" s="4" t="s">
        <v>257</v>
      </c>
      <c r="BI29" s="4" t="s">
        <v>258</v>
      </c>
      <c r="BJ29" s="4" t="s">
        <v>258</v>
      </c>
      <c r="BK29" s="4" t="s">
        <v>259</v>
      </c>
      <c r="BL29" s="4" t="s">
        <v>248</v>
      </c>
      <c r="BM29" s="4" t="s">
        <v>260</v>
      </c>
      <c r="BN29" s="4" t="s">
        <v>260</v>
      </c>
      <c r="BO29" s="4" t="s">
        <v>260</v>
      </c>
      <c r="BP29" s="4" t="s">
        <v>248</v>
      </c>
      <c r="BQ29" s="4" t="s">
        <v>254</v>
      </c>
      <c r="BR29" s="4" t="s">
        <v>248</v>
      </c>
      <c r="BS29" s="4" t="s">
        <v>254</v>
      </c>
      <c r="BT29" s="4" t="s">
        <v>260</v>
      </c>
      <c r="BU29" s="4" t="s">
        <v>248</v>
      </c>
      <c r="BV29" s="4" t="s">
        <v>248</v>
      </c>
      <c r="BW29" s="4" t="s">
        <v>248</v>
      </c>
      <c r="BX29" s="4" t="s">
        <v>254</v>
      </c>
      <c r="BY29" s="4" t="s">
        <v>261</v>
      </c>
      <c r="BZ29" s="4" t="s">
        <v>248</v>
      </c>
      <c r="CA29" s="4" t="s">
        <v>262</v>
      </c>
      <c r="CB29" s="4" t="s">
        <v>263</v>
      </c>
      <c r="CC29" s="4" t="s">
        <v>248</v>
      </c>
      <c r="CD29" s="4" t="s">
        <v>248</v>
      </c>
      <c r="CE29" s="4" t="s">
        <v>248</v>
      </c>
      <c r="CF29" s="4" t="s">
        <v>264</v>
      </c>
      <c r="CG29" s="4" t="s">
        <v>265</v>
      </c>
      <c r="CH29" s="4" t="s">
        <v>264</v>
      </c>
      <c r="CI29" s="4" t="s">
        <v>265</v>
      </c>
      <c r="CJ29" s="4" t="s">
        <v>254</v>
      </c>
      <c r="CK29" s="4" t="s">
        <v>189</v>
      </c>
      <c r="CL29" s="4" t="s">
        <v>189</v>
      </c>
      <c r="CM29" s="4" t="s">
        <v>186</v>
      </c>
      <c r="CN29" s="4" t="s">
        <v>254</v>
      </c>
      <c r="CO29" s="4" t="s">
        <v>254</v>
      </c>
      <c r="CP29" s="4" t="s">
        <v>266</v>
      </c>
      <c r="CQ29" s="4" t="s">
        <v>181</v>
      </c>
      <c r="CR29" s="4" t="s">
        <v>254</v>
      </c>
      <c r="CS29" s="4" t="s">
        <v>255</v>
      </c>
      <c r="CT29" s="4" t="s">
        <v>255</v>
      </c>
      <c r="CU29" s="4" t="s">
        <v>248</v>
      </c>
      <c r="CV29" s="4" t="s">
        <v>255</v>
      </c>
      <c r="CW29" s="4" t="s">
        <v>181</v>
      </c>
      <c r="CX29" s="4" t="s">
        <v>255</v>
      </c>
      <c r="CY29" s="4" t="s">
        <v>255</v>
      </c>
      <c r="CZ29" s="4" t="s">
        <v>255</v>
      </c>
      <c r="DA29" s="4" t="s">
        <v>248</v>
      </c>
      <c r="DB29" s="4" t="s">
        <v>248</v>
      </c>
      <c r="DC29" s="4" t="s">
        <v>248</v>
      </c>
      <c r="DD29" s="4" t="s">
        <v>248</v>
      </c>
      <c r="DE29" s="4" t="s">
        <v>249</v>
      </c>
      <c r="DF29" s="4" t="s">
        <v>248</v>
      </c>
      <c r="DG29" s="4" t="s">
        <v>248</v>
      </c>
      <c r="DH29" s="4" t="s">
        <v>248</v>
      </c>
      <c r="DI29" s="4" t="s">
        <v>173</v>
      </c>
      <c r="DJ29" s="4" t="s">
        <v>248</v>
      </c>
      <c r="DK29" s="4" t="s">
        <v>248</v>
      </c>
      <c r="DL29" s="4" t="s">
        <v>248</v>
      </c>
      <c r="DM29" s="4" t="s">
        <v>248</v>
      </c>
      <c r="DN29" s="4" t="s">
        <v>157</v>
      </c>
      <c r="DO29" s="4" t="s">
        <v>173</v>
      </c>
      <c r="DP29" s="4" t="s">
        <v>267</v>
      </c>
      <c r="DQ29" s="4" t="s">
        <v>255</v>
      </c>
      <c r="DR29" s="4" t="s">
        <v>191</v>
      </c>
      <c r="DS29" s="4" t="s">
        <v>264</v>
      </c>
      <c r="DT29" s="4" t="s">
        <v>248</v>
      </c>
      <c r="DU29" s="4" t="s">
        <v>191</v>
      </c>
      <c r="DV29" s="4" t="s">
        <v>248</v>
      </c>
      <c r="DW29" s="4" t="s">
        <v>191</v>
      </c>
      <c r="DX29" s="4" t="s">
        <v>191</v>
      </c>
      <c r="DY29" s="4" t="s">
        <v>248</v>
      </c>
      <c r="DZ29" s="4" t="s">
        <v>248</v>
      </c>
      <c r="EA29" s="4" t="s">
        <v>248</v>
      </c>
      <c r="EB29" s="4" t="s">
        <v>248</v>
      </c>
      <c r="EC29" s="4" t="s">
        <v>268</v>
      </c>
      <c r="ED29" s="4" t="s">
        <v>269</v>
      </c>
      <c r="EE29" s="4" t="s">
        <v>269</v>
      </c>
      <c r="EF29" s="4" t="s">
        <v>264</v>
      </c>
      <c r="EG29" s="4" t="s">
        <v>269</v>
      </c>
      <c r="EH29" s="4" t="s">
        <v>270</v>
      </c>
      <c r="EI29" s="4" t="s">
        <v>248</v>
      </c>
      <c r="EJ29" s="4" t="s">
        <v>248</v>
      </c>
      <c r="EK29" s="4" t="s">
        <v>248</v>
      </c>
      <c r="EL29" s="4" t="s">
        <v>248</v>
      </c>
      <c r="EM29" t="s">
        <v>271</v>
      </c>
    </row>
    <row r="30" spans="1:145" x14ac:dyDescent="0.3">
      <c r="C30" s="4" t="s">
        <v>272</v>
      </c>
      <c r="D30" s="4" t="s">
        <v>273</v>
      </c>
      <c r="E30" s="4" t="s">
        <v>273</v>
      </c>
      <c r="F30" s="4" t="s">
        <v>273</v>
      </c>
      <c r="G30" s="4" t="s">
        <v>273</v>
      </c>
      <c r="H30" s="4" t="s">
        <v>273</v>
      </c>
      <c r="I30" s="4" t="s">
        <v>273</v>
      </c>
      <c r="J30" s="4" t="s">
        <v>240</v>
      </c>
      <c r="K30" s="4" t="s">
        <v>273</v>
      </c>
      <c r="L30" s="4" t="s">
        <v>274</v>
      </c>
      <c r="M30" s="4" t="s">
        <v>273</v>
      </c>
      <c r="N30" s="4" t="s">
        <v>274</v>
      </c>
      <c r="O30" s="4" t="s">
        <v>275</v>
      </c>
      <c r="P30" s="4" t="s">
        <v>273</v>
      </c>
      <c r="Q30" s="4" t="s">
        <v>273</v>
      </c>
      <c r="R30" s="4" t="s">
        <v>274</v>
      </c>
      <c r="S30" s="4" t="s">
        <v>275</v>
      </c>
      <c r="T30" s="4" t="s">
        <v>273</v>
      </c>
      <c r="U30" s="4" t="s">
        <v>275</v>
      </c>
      <c r="V30" s="4" t="s">
        <v>275</v>
      </c>
      <c r="W30" s="4" t="s">
        <v>203</v>
      </c>
      <c r="X30" s="4" t="s">
        <v>274</v>
      </c>
      <c r="Y30" s="4" t="s">
        <v>274</v>
      </c>
      <c r="Z30" s="4" t="s">
        <v>217</v>
      </c>
      <c r="AA30" s="4" t="s">
        <v>217</v>
      </c>
      <c r="AB30" s="4" t="s">
        <v>217</v>
      </c>
      <c r="AC30" s="4" t="s">
        <v>217</v>
      </c>
      <c r="AD30" s="4" t="s">
        <v>274</v>
      </c>
      <c r="AE30" s="4" t="s">
        <v>274</v>
      </c>
      <c r="AF30" s="4" t="s">
        <v>274</v>
      </c>
      <c r="AG30" s="4" t="s">
        <v>276</v>
      </c>
      <c r="AH30" s="4" t="s">
        <v>273</v>
      </c>
      <c r="AI30" s="4" t="s">
        <v>274</v>
      </c>
      <c r="AJ30" s="4" t="s">
        <v>274</v>
      </c>
      <c r="AK30" s="4" t="s">
        <v>274</v>
      </c>
      <c r="AL30" s="4" t="s">
        <v>274</v>
      </c>
      <c r="AM30" s="4" t="s">
        <v>274</v>
      </c>
      <c r="AN30" s="4" t="s">
        <v>274</v>
      </c>
      <c r="AO30" s="4" t="s">
        <v>274</v>
      </c>
      <c r="AP30" s="4" t="s">
        <v>274</v>
      </c>
      <c r="AQ30" s="4" t="s">
        <v>274</v>
      </c>
      <c r="AR30" s="4" t="s">
        <v>277</v>
      </c>
      <c r="AS30" s="4" t="s">
        <v>277</v>
      </c>
      <c r="AT30" s="4" t="s">
        <v>277</v>
      </c>
      <c r="AU30" s="4" t="s">
        <v>273</v>
      </c>
      <c r="AV30" s="4" t="s">
        <v>274</v>
      </c>
      <c r="AW30" s="4" t="s">
        <v>273</v>
      </c>
      <c r="AX30" s="4" t="s">
        <v>278</v>
      </c>
      <c r="AY30" s="4" t="s">
        <v>223</v>
      </c>
      <c r="AZ30" s="4" t="s">
        <v>279</v>
      </c>
      <c r="BA30" s="4" t="s">
        <v>279</v>
      </c>
      <c r="BB30" s="4" t="s">
        <v>279</v>
      </c>
      <c r="BC30" s="4" t="s">
        <v>280</v>
      </c>
      <c r="BD30" s="4" t="s">
        <v>281</v>
      </c>
      <c r="BE30" s="4" t="s">
        <v>273</v>
      </c>
      <c r="BF30" s="4" t="s">
        <v>273</v>
      </c>
      <c r="BG30" s="4" t="s">
        <v>273</v>
      </c>
      <c r="BH30" s="4" t="s">
        <v>282</v>
      </c>
      <c r="BI30" s="4" t="s">
        <v>283</v>
      </c>
      <c r="BJ30" s="4" t="s">
        <v>283</v>
      </c>
      <c r="BK30" s="4" t="s">
        <v>284</v>
      </c>
      <c r="BL30" s="4" t="s">
        <v>273</v>
      </c>
      <c r="BM30" s="4" t="s">
        <v>285</v>
      </c>
      <c r="BN30" s="4" t="s">
        <v>285</v>
      </c>
      <c r="BO30" s="4" t="s">
        <v>285</v>
      </c>
      <c r="BP30" s="4" t="s">
        <v>273</v>
      </c>
      <c r="BQ30" s="4" t="s">
        <v>279</v>
      </c>
      <c r="BR30" s="4" t="s">
        <v>273</v>
      </c>
      <c r="BS30" s="4" t="s">
        <v>279</v>
      </c>
      <c r="BT30" s="4" t="s">
        <v>285</v>
      </c>
      <c r="BU30" s="4" t="s">
        <v>273</v>
      </c>
      <c r="BV30" s="4" t="s">
        <v>273</v>
      </c>
      <c r="BW30" s="4" t="s">
        <v>273</v>
      </c>
      <c r="BX30" s="4" t="s">
        <v>279</v>
      </c>
      <c r="BY30" s="4" t="s">
        <v>286</v>
      </c>
      <c r="BZ30" s="4" t="s">
        <v>273</v>
      </c>
      <c r="CA30" s="4" t="s">
        <v>287</v>
      </c>
      <c r="CB30" s="4" t="s">
        <v>288</v>
      </c>
      <c r="CC30" s="4" t="s">
        <v>273</v>
      </c>
      <c r="CD30" s="4" t="s">
        <v>273</v>
      </c>
      <c r="CE30" s="4" t="s">
        <v>273</v>
      </c>
      <c r="CF30" s="4" t="s">
        <v>289</v>
      </c>
      <c r="CG30" s="4" t="s">
        <v>290</v>
      </c>
      <c r="CH30" s="4" t="s">
        <v>289</v>
      </c>
      <c r="CI30" s="4" t="s">
        <v>290</v>
      </c>
      <c r="CJ30" s="4" t="s">
        <v>279</v>
      </c>
      <c r="CK30" s="4" t="s">
        <v>234</v>
      </c>
      <c r="CL30" s="4" t="s">
        <v>234</v>
      </c>
      <c r="CM30" s="4" t="s">
        <v>231</v>
      </c>
      <c r="CN30" s="4" t="s">
        <v>279</v>
      </c>
      <c r="CO30" s="4" t="s">
        <v>279</v>
      </c>
      <c r="CP30" s="4" t="s">
        <v>291</v>
      </c>
      <c r="CQ30" s="4" t="s">
        <v>226</v>
      </c>
      <c r="CR30" s="4" t="s">
        <v>279</v>
      </c>
      <c r="CS30" s="4" t="s">
        <v>280</v>
      </c>
      <c r="CT30" s="4" t="s">
        <v>280</v>
      </c>
      <c r="CU30" s="4" t="s">
        <v>273</v>
      </c>
      <c r="CV30" s="4" t="s">
        <v>280</v>
      </c>
      <c r="CW30" s="4" t="s">
        <v>226</v>
      </c>
      <c r="CX30" s="4" t="s">
        <v>280</v>
      </c>
      <c r="CY30" s="4" t="s">
        <v>280</v>
      </c>
      <c r="CZ30" s="4" t="s">
        <v>280</v>
      </c>
      <c r="DA30" s="4" t="s">
        <v>273</v>
      </c>
      <c r="DB30" s="4" t="s">
        <v>273</v>
      </c>
      <c r="DC30" s="4" t="s">
        <v>273</v>
      </c>
      <c r="DD30" s="4" t="s">
        <v>273</v>
      </c>
      <c r="DE30" s="4" t="s">
        <v>274</v>
      </c>
      <c r="DF30" s="4" t="s">
        <v>273</v>
      </c>
      <c r="DG30" s="4" t="s">
        <v>273</v>
      </c>
      <c r="DH30" s="4" t="s">
        <v>273</v>
      </c>
      <c r="DI30" s="4" t="s">
        <v>218</v>
      </c>
      <c r="DJ30" s="4" t="s">
        <v>273</v>
      </c>
      <c r="DK30" s="4" t="s">
        <v>273</v>
      </c>
      <c r="DL30" s="4" t="s">
        <v>273</v>
      </c>
      <c r="DM30" s="4" t="s">
        <v>273</v>
      </c>
      <c r="DN30" s="4" t="s">
        <v>202</v>
      </c>
      <c r="DO30" s="4" t="s">
        <v>218</v>
      </c>
      <c r="DP30" s="4" t="s">
        <v>292</v>
      </c>
      <c r="DQ30" s="4" t="s">
        <v>280</v>
      </c>
      <c r="DR30" s="4" t="s">
        <v>236</v>
      </c>
      <c r="DS30" s="4" t="s">
        <v>289</v>
      </c>
      <c r="DT30" s="4" t="s">
        <v>273</v>
      </c>
      <c r="DU30" s="4" t="s">
        <v>236</v>
      </c>
      <c r="DV30" s="4" t="s">
        <v>273</v>
      </c>
      <c r="DW30" s="4" t="s">
        <v>236</v>
      </c>
      <c r="DX30" s="4" t="s">
        <v>236</v>
      </c>
      <c r="DY30" s="4" t="s">
        <v>273</v>
      </c>
      <c r="DZ30" s="4" t="s">
        <v>273</v>
      </c>
      <c r="EA30" s="4" t="s">
        <v>273</v>
      </c>
      <c r="EB30" s="4" t="s">
        <v>273</v>
      </c>
      <c r="EC30" s="4" t="s">
        <v>293</v>
      </c>
      <c r="ED30" s="4" t="s">
        <v>294</v>
      </c>
      <c r="EE30" s="4" t="s">
        <v>294</v>
      </c>
      <c r="EF30" s="4" t="s">
        <v>289</v>
      </c>
      <c r="EG30" s="4" t="s">
        <v>294</v>
      </c>
      <c r="EH30" s="4" t="s">
        <v>295</v>
      </c>
      <c r="EI30" s="4" t="s">
        <v>273</v>
      </c>
      <c r="EJ30" s="4" t="s">
        <v>273</v>
      </c>
      <c r="EK30" s="4" t="s">
        <v>273</v>
      </c>
      <c r="EL30" s="4" t="s">
        <v>273</v>
      </c>
      <c r="EM30" t="s">
        <v>296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4">
      <formula>EN12&lt;$EN$25</formula>
    </cfRule>
  </conditionalFormatting>
  <conditionalFormatting sqref="EO12:EO24">
    <cfRule type="expression" dxfId="4" priority="3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3" zoomScale="130" zoomScaleNormal="130" workbookViewId="0">
      <selection activeCell="EN17" sqref="EN1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297</v>
      </c>
      <c r="EN11" s="6" t="s">
        <v>298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1</v>
      </c>
      <c r="J12" s="10">
        <f>IF(預測IC!J12&gt;預測IC!J$25,1,0)</f>
        <v>0</v>
      </c>
      <c r="K12" s="10">
        <f>IF(預測IC!K12&gt;預測IC!K$25,1,0)</f>
        <v>1</v>
      </c>
      <c r="L12" s="10">
        <f>IF(預測IC!L12&gt;預測IC!L$25,1,0)</f>
        <v>1</v>
      </c>
      <c r="M12" s="10">
        <f>IF(預測IC!M12&gt;預測IC!M$25,1,0)</f>
        <v>0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1</v>
      </c>
      <c r="R12" s="10">
        <f>IF(預測IC!R12&gt;預測IC!R$25,1,0)</f>
        <v>0</v>
      </c>
      <c r="S12" s="10">
        <f>IF(預測IC!S12&gt;預測IC!S$25,1,0)</f>
        <v>1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0</v>
      </c>
      <c r="X12" s="10">
        <f>IF(預測IC!X12&gt;預測IC!X$25,1,0)</f>
        <v>1</v>
      </c>
      <c r="Y12" s="10">
        <f>IF(預測IC!Y12&gt;預測IC!Y$25,1,0)</f>
        <v>0</v>
      </c>
      <c r="Z12" s="10">
        <f>IF(預測IC!Z12&gt;預測IC!Z$25,1,0)</f>
        <v>1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1</v>
      </c>
      <c r="AG12" s="10">
        <f>IF(預測IC!AG12&gt;預測IC!AG$25,1,0)</f>
        <v>0</v>
      </c>
      <c r="AH12" s="10">
        <f>IF(預測IC!AH12&gt;預測IC!AH$25,1,0)</f>
        <v>1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1</v>
      </c>
      <c r="AO12" s="10">
        <f>IF(預測IC!AO12&gt;預測IC!AO$25,1,0)</f>
        <v>0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1</v>
      </c>
      <c r="AT12" s="10">
        <f>IF(預測IC!AT12&gt;預測IC!AT$25,1,0)</f>
        <v>1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0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0</v>
      </c>
      <c r="BG12" s="10">
        <f>IF(預測IC!BG12&gt;預測IC!BG$25,1,0)</f>
        <v>0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1</v>
      </c>
      <c r="BQ12" s="10">
        <f>IF(預測IC!BQ12&gt;預測IC!BQ$25,1,0)</f>
        <v>0</v>
      </c>
      <c r="BR12" s="10">
        <f>IF(預測IC!BR12&gt;預測IC!BR$25,1,0)</f>
        <v>0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0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1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0</v>
      </c>
      <c r="CM12" s="10">
        <f>IF(預測IC!CM12&gt;預測IC!CM$25,1,0)</f>
        <v>1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0</v>
      </c>
      <c r="CQ12" s="10">
        <f>IF(預測IC!CQ12&gt;預測IC!CQ$25,1,0)</f>
        <v>0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1</v>
      </c>
      <c r="CW12" s="10">
        <f>IF(預測IC!CW12&gt;預測IC!CW$25,1,0)</f>
        <v>0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1</v>
      </c>
      <c r="DN12" s="10">
        <f>IF(預測IC!DN12&gt;預測IC!DN$25,1,0)</f>
        <v>1</v>
      </c>
      <c r="DO12" s="10">
        <f>IF(預測IC!DO12&gt;預測IC!DO$25,1,0)</f>
        <v>0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0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0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67</v>
      </c>
      <c r="EN12" s="19">
        <f t="shared" ref="EN12:EN24" si="12">EM12/140</f>
        <v>0.47857142857142859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0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0</v>
      </c>
      <c r="S13" s="10">
        <f>IF(預測IC!S13&gt;預測IC!S$25,1,0)</f>
        <v>1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0</v>
      </c>
      <c r="X13" s="10">
        <f>IF(預測IC!X13&gt;預測IC!X$25,1,0)</f>
        <v>1</v>
      </c>
      <c r="Y13" s="10">
        <f>IF(預測IC!Y13&gt;預測IC!Y$25,1,0)</f>
        <v>0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1</v>
      </c>
      <c r="AG13" s="10">
        <f>IF(預測IC!AG13&gt;預測IC!AG$25,1,0)</f>
        <v>0</v>
      </c>
      <c r="AH13" s="10">
        <f>IF(預測IC!AH13&gt;預測IC!AH$25,1,0)</f>
        <v>1</v>
      </c>
      <c r="AI13" s="10">
        <f>IF(預測IC!AI13&gt;預測IC!AI$25,1,0)</f>
        <v>1</v>
      </c>
      <c r="AJ13" s="10">
        <f>IF(預測IC!AJ13&gt;預測IC!AJ$25,1,0)</f>
        <v>0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1</v>
      </c>
      <c r="AO13" s="10">
        <f>IF(預測IC!AO13&gt;預測IC!AO$25,1,0)</f>
        <v>0</v>
      </c>
      <c r="AP13" s="10">
        <f>IF(預測IC!AP13&gt;預測IC!AP$25,1,0)</f>
        <v>0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0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0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0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0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1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0</v>
      </c>
      <c r="CM13" s="10">
        <f>IF(預測IC!CM13&gt;預測IC!CM$25,1,0)</f>
        <v>1</v>
      </c>
      <c r="CN13" s="10">
        <f>IF(預測IC!CN13&gt;預測IC!CN$25,1,0)</f>
        <v>0</v>
      </c>
      <c r="CO13" s="10">
        <f>IF(預測IC!CO13&gt;預測IC!CO$25,1,0)</f>
        <v>1</v>
      </c>
      <c r="CP13" s="10">
        <f>IF(預測IC!CP13&gt;預測IC!CP$25,1,0)</f>
        <v>1</v>
      </c>
      <c r="CQ13" s="10">
        <f>IF(預測IC!CQ13&gt;預測IC!CQ$25,1,0)</f>
        <v>0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1</v>
      </c>
      <c r="CW13" s="10">
        <f>IF(預測IC!CW13&gt;預測IC!CW$25,1,0)</f>
        <v>0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0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1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0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68</v>
      </c>
      <c r="EN13" s="19">
        <f t="shared" si="12"/>
        <v>0.48571428571428571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1</v>
      </c>
      <c r="D14" s="10">
        <f>IF(預測IC!D14&gt;預測IC!D$25,1,0)</f>
        <v>1</v>
      </c>
      <c r="E14" s="10">
        <f>IF(預測IC!E14&gt;預測IC!E$25,1,0)</f>
        <v>1</v>
      </c>
      <c r="F14" s="10">
        <f>IF(預測IC!F14&gt;預測IC!F$25,1,0)</f>
        <v>0</v>
      </c>
      <c r="G14" s="10">
        <f>IF(預測IC!G14&gt;預測IC!G$25,1,0)</f>
        <v>1</v>
      </c>
      <c r="H14" s="10">
        <f>IF(預測IC!H14&gt;預測IC!H$25,1,0)</f>
        <v>1</v>
      </c>
      <c r="I14" s="10">
        <f>IF(預測IC!I14&gt;預測IC!I$25,1,0)</f>
        <v>1</v>
      </c>
      <c r="J14" s="10">
        <f>IF(預測IC!J14&gt;預測IC!J$25,1,0)</f>
        <v>1</v>
      </c>
      <c r="K14" s="10">
        <f>IF(預測IC!K14&gt;預測IC!K$25,1,0)</f>
        <v>1</v>
      </c>
      <c r="L14" s="10">
        <f>IF(預測IC!L14&gt;預測IC!L$25,1,0)</f>
        <v>1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0</v>
      </c>
      <c r="P14" s="10">
        <f>IF(預測IC!P14&gt;預測IC!P$25,1,0)</f>
        <v>1</v>
      </c>
      <c r="Q14" s="10">
        <f>IF(預測IC!Q14&gt;預測IC!Q$25,1,0)</f>
        <v>1</v>
      </c>
      <c r="R14" s="10">
        <f>IF(預測IC!R14&gt;預測IC!R$25,1,0)</f>
        <v>0</v>
      </c>
      <c r="S14" s="10">
        <f>IF(預測IC!S14&gt;預測IC!S$25,1,0)</f>
        <v>1</v>
      </c>
      <c r="T14" s="10">
        <f>IF(預測IC!T14&gt;預測IC!T$25,1,0)</f>
        <v>1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0</v>
      </c>
      <c r="X14" s="10">
        <f>IF(預測IC!X14&gt;預測IC!X$25,1,0)</f>
        <v>1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1</v>
      </c>
      <c r="AB14" s="10">
        <f>IF(預測IC!AB14&gt;預測IC!AB$25,1,0)</f>
        <v>0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1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1</v>
      </c>
      <c r="AJ14" s="10">
        <f>IF(預測IC!AJ14&gt;預測IC!AJ$25,1,0)</f>
        <v>0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0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0</v>
      </c>
      <c r="AT14" s="10">
        <f>IF(預測IC!AT14&gt;預測IC!AT$25,1,0)</f>
        <v>1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0</v>
      </c>
      <c r="AY14" s="10">
        <f>IF(預測IC!AY14&gt;預測IC!AY$25,1,0)</f>
        <v>0</v>
      </c>
      <c r="AZ14" s="10">
        <f>IF(預測IC!AZ14&gt;預測IC!AZ$25,1,0)</f>
        <v>1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1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0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0</v>
      </c>
      <c r="BN14" s="10">
        <f>IF(預測IC!BN14&gt;預測IC!BN$25,1,0)</f>
        <v>0</v>
      </c>
      <c r="BO14" s="10">
        <f>IF(預測IC!BO14&gt;預測IC!BO$25,1,0)</f>
        <v>0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1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0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0</v>
      </c>
      <c r="CC14" s="10">
        <f>IF(預測IC!CC14&gt;預測IC!CC$25,1,0)</f>
        <v>1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0</v>
      </c>
      <c r="CM14" s="10">
        <f>IF(預測IC!CM14&gt;預測IC!CM$25,1,0)</f>
        <v>1</v>
      </c>
      <c r="CN14" s="10">
        <f>IF(預測IC!CN14&gt;預測IC!CN$25,1,0)</f>
        <v>0</v>
      </c>
      <c r="CO14" s="10">
        <f>IF(預測IC!CO14&gt;預測IC!CO$25,1,0)</f>
        <v>1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1</v>
      </c>
      <c r="CW14" s="10">
        <f>IF(預測IC!CW14&gt;預測IC!CW$25,1,0)</f>
        <v>0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0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0</v>
      </c>
      <c r="DT14" s="10">
        <f>IF(預測IC!DT14&gt;預測IC!DT$25,1,0)</f>
        <v>1</v>
      </c>
      <c r="DU14" s="10">
        <f>IF(預測IC!DU14&gt;預測IC!DU$25,1,0)</f>
        <v>1</v>
      </c>
      <c r="DV14" s="10">
        <f>IF(預測IC!DV14&gt;預測IC!DV$25,1,0)</f>
        <v>0</v>
      </c>
      <c r="DW14" s="10">
        <f>IF(預測IC!DW14&gt;預測IC!DW$25,1,0)</f>
        <v>0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1</v>
      </c>
      <c r="EA14" s="10">
        <f>IF(預測IC!EA14&gt;預測IC!EA$25,1,0)</f>
        <v>1</v>
      </c>
      <c r="EB14" s="10">
        <f>IF(預測IC!EB14&gt;預測IC!EB$25,1,0)</f>
        <v>0</v>
      </c>
      <c r="EC14" s="10">
        <f>IF(預測IC!EC14&gt;預測IC!EC$25,1,0)</f>
        <v>0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0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74</v>
      </c>
      <c r="EN14" s="19">
        <f t="shared" si="12"/>
        <v>0.52857142857142858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1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1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1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0</v>
      </c>
      <c r="N15" s="10">
        <f>IF(預測IC!N15&gt;預測IC!N$25,1,0)</f>
        <v>1</v>
      </c>
      <c r="O15" s="10">
        <f>IF(預測IC!O15&gt;預測IC!O$25,1,0)</f>
        <v>0</v>
      </c>
      <c r="P15" s="10">
        <f>IF(預測IC!P15&gt;預測IC!P$25,1,0)</f>
        <v>1</v>
      </c>
      <c r="Q15" s="10">
        <f>IF(預測IC!Q15&gt;預測IC!Q$25,1,0)</f>
        <v>1</v>
      </c>
      <c r="R15" s="10">
        <f>IF(預測IC!R15&gt;預測IC!R$25,1,0)</f>
        <v>0</v>
      </c>
      <c r="S15" s="10">
        <f>IF(預測IC!S15&gt;預測IC!S$25,1,0)</f>
        <v>1</v>
      </c>
      <c r="T15" s="10">
        <f>IF(預測IC!T15&gt;預測IC!T$25,1,0)</f>
        <v>1</v>
      </c>
      <c r="U15" s="10">
        <f>IF(預測IC!U15&gt;預測IC!U$25,1,0)</f>
        <v>1</v>
      </c>
      <c r="V15" s="10">
        <f>IF(預測IC!V15&gt;預測IC!V$25,1,0)</f>
        <v>0</v>
      </c>
      <c r="W15" s="10">
        <f>IF(預測IC!W15&gt;預測IC!W$25,1,0)</f>
        <v>0</v>
      </c>
      <c r="X15" s="10">
        <f>IF(預測IC!X15&gt;預測IC!X$25,1,0)</f>
        <v>1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1</v>
      </c>
      <c r="AB15" s="10">
        <f>IF(預測IC!AB15&gt;預測IC!AB$25,1,0)</f>
        <v>0</v>
      </c>
      <c r="AC15" s="10">
        <f>IF(預測IC!AC15&gt;預測IC!AC$25,1,0)</f>
        <v>0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1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1</v>
      </c>
      <c r="AJ15" s="10">
        <f>IF(預測IC!AJ15&gt;預測IC!AJ$25,1,0)</f>
        <v>0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1</v>
      </c>
      <c r="AO15" s="10">
        <f>IF(預測IC!AO15&gt;預測IC!AO$25,1,0)</f>
        <v>0</v>
      </c>
      <c r="AP15" s="10">
        <f>IF(預測IC!AP15&gt;預測IC!AP$25,1,0)</f>
        <v>0</v>
      </c>
      <c r="AQ15" s="10">
        <f>IF(預測IC!AQ15&gt;預測IC!AQ$25,1,0)</f>
        <v>0</v>
      </c>
      <c r="AR15" s="10">
        <f>IF(預測IC!AR15&gt;預測IC!AR$25,1,0)</f>
        <v>0</v>
      </c>
      <c r="AS15" s="10">
        <f>IF(預測IC!AS15&gt;預測IC!AS$25,1,0)</f>
        <v>0</v>
      </c>
      <c r="AT15" s="10">
        <f>IF(預測IC!AT15&gt;預測IC!AT$25,1,0)</f>
        <v>1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0</v>
      </c>
      <c r="AY15" s="10">
        <f>IF(預測IC!AY15&gt;預測IC!AY$25,1,0)</f>
        <v>0</v>
      </c>
      <c r="AZ15" s="10">
        <f>IF(預測IC!AZ15&gt;預測IC!AZ$25,1,0)</f>
        <v>0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1</v>
      </c>
      <c r="BD15" s="10">
        <f>IF(預測IC!BD15&gt;預測IC!BD$25,1,0)</f>
        <v>0</v>
      </c>
      <c r="BE15" s="10">
        <f>IF(預測IC!BE15&gt;預測IC!BE$25,1,0)</f>
        <v>0</v>
      </c>
      <c r="BF15" s="10">
        <f>IF(預測IC!BF15&gt;預測IC!BF$25,1,0)</f>
        <v>0</v>
      </c>
      <c r="BG15" s="10">
        <f>IF(預測IC!BG15&gt;預測IC!BG$25,1,0)</f>
        <v>0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0</v>
      </c>
      <c r="BQ15" s="10">
        <f>IF(預測IC!BQ15&gt;預測IC!BQ$25,1,0)</f>
        <v>1</v>
      </c>
      <c r="BR15" s="10">
        <f>IF(預測IC!BR15&gt;預測IC!BR$25,1,0)</f>
        <v>0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0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1</v>
      </c>
      <c r="CB15" s="10">
        <f>IF(預測IC!CB15&gt;預測IC!CB$25,1,0)</f>
        <v>0</v>
      </c>
      <c r="CC15" s="10">
        <f>IF(預測IC!CC15&gt;預測IC!CC$25,1,0)</f>
        <v>1</v>
      </c>
      <c r="CD15" s="10">
        <f>IF(預測IC!CD15&gt;預測IC!CD$25,1,0)</f>
        <v>1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1</v>
      </c>
      <c r="CH15" s="10">
        <f>IF(預測IC!CH15&gt;預測IC!CH$25,1,0)</f>
        <v>0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0</v>
      </c>
      <c r="CL15" s="10">
        <f>IF(預測IC!CL15&gt;預測IC!CL$25,1,0)</f>
        <v>0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1</v>
      </c>
      <c r="CU15" s="10">
        <f>IF(預測IC!CU15&gt;預測IC!CU$25,1,0)</f>
        <v>1</v>
      </c>
      <c r="CV15" s="10">
        <f>IF(預測IC!CV15&gt;預測IC!CV$25,1,0)</f>
        <v>1</v>
      </c>
      <c r="CW15" s="10">
        <f>IF(預測IC!CW15&gt;預測IC!CW$25,1,0)</f>
        <v>0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1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1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0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0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1</v>
      </c>
      <c r="DV15" s="10">
        <f>IF(預測IC!DV15&gt;預測IC!DV$25,1,0)</f>
        <v>1</v>
      </c>
      <c r="DW15" s="10">
        <f>IF(預測IC!DW15&gt;預測IC!DW$25,1,0)</f>
        <v>0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1</v>
      </c>
      <c r="EA15" s="10">
        <f>IF(預測IC!EA15&gt;預測IC!EA$25,1,0)</f>
        <v>1</v>
      </c>
      <c r="EB15" s="10">
        <f>IF(預測IC!EB15&gt;預測IC!EB$25,1,0)</f>
        <v>0</v>
      </c>
      <c r="EC15" s="10">
        <f>IF(預測IC!EC15&gt;預測IC!EC$25,1,0)</f>
        <v>0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0</v>
      </c>
      <c r="EG15" s="10">
        <f>IF(預測IC!EG15&gt;預測IC!EG$25,1,0)</f>
        <v>1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1</v>
      </c>
      <c r="EM15" s="6">
        <f t="shared" si="11"/>
        <v>71</v>
      </c>
      <c r="EN15" s="19">
        <f t="shared" si="12"/>
        <v>0.50714285714285712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1</v>
      </c>
      <c r="D16" s="10">
        <f>IF(預測IC!D16&gt;預測IC!D$25,1,0)</f>
        <v>1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1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1</v>
      </c>
      <c r="K16" s="10">
        <f>IF(預測IC!K16&gt;預測IC!K$25,1,0)</f>
        <v>1</v>
      </c>
      <c r="L16" s="10">
        <f>IF(預測IC!L16&gt;預測IC!L$25,1,0)</f>
        <v>1</v>
      </c>
      <c r="M16" s="10">
        <f>IF(預測IC!M16&gt;預測IC!M$25,1,0)</f>
        <v>0</v>
      </c>
      <c r="N16" s="10">
        <f>IF(預測IC!N16&gt;預測IC!N$25,1,0)</f>
        <v>1</v>
      </c>
      <c r="O16" s="10">
        <f>IF(預測IC!O16&gt;預測IC!O$25,1,0)</f>
        <v>0</v>
      </c>
      <c r="P16" s="10">
        <f>IF(預測IC!P16&gt;預測IC!P$25,1,0)</f>
        <v>1</v>
      </c>
      <c r="Q16" s="10">
        <f>IF(預測IC!Q16&gt;預測IC!Q$25,1,0)</f>
        <v>1</v>
      </c>
      <c r="R16" s="10">
        <f>IF(預測IC!R16&gt;預測IC!R$25,1,0)</f>
        <v>0</v>
      </c>
      <c r="S16" s="10">
        <f>IF(預測IC!S16&gt;預測IC!S$25,1,0)</f>
        <v>1</v>
      </c>
      <c r="T16" s="10">
        <f>IF(預測IC!T16&gt;預測IC!T$25,1,0)</f>
        <v>1</v>
      </c>
      <c r="U16" s="10">
        <f>IF(預測IC!U16&gt;預測IC!U$25,1,0)</f>
        <v>1</v>
      </c>
      <c r="V16" s="10">
        <f>IF(預測IC!V16&gt;預測IC!V$25,1,0)</f>
        <v>0</v>
      </c>
      <c r="W16" s="10">
        <f>IF(預測IC!W16&gt;預測IC!W$25,1,0)</f>
        <v>0</v>
      </c>
      <c r="X16" s="10">
        <f>IF(預測IC!X16&gt;預測IC!X$25,1,0)</f>
        <v>1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0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1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1</v>
      </c>
      <c r="AJ16" s="10">
        <f>IF(預測IC!AJ16&gt;預測IC!AJ$25,1,0)</f>
        <v>0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0</v>
      </c>
      <c r="AQ16" s="10">
        <f>IF(預測IC!AQ16&gt;預測IC!AQ$25,1,0)</f>
        <v>0</v>
      </c>
      <c r="AR16" s="10">
        <f>IF(預測IC!AR16&gt;預測IC!AR$25,1,0)</f>
        <v>0</v>
      </c>
      <c r="AS16" s="10">
        <f>IF(預測IC!AS16&gt;預測IC!AS$25,1,0)</f>
        <v>0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0</v>
      </c>
      <c r="AY16" s="10">
        <f>IF(預測IC!AY16&gt;預測IC!AY$25,1,0)</f>
        <v>0</v>
      </c>
      <c r="AZ16" s="10">
        <f>IF(預測IC!AZ16&gt;預測IC!AZ$25,1,0)</f>
        <v>0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1</v>
      </c>
      <c r="BE16" s="10">
        <f>IF(預測IC!BE16&gt;預測IC!BE$25,1,0)</f>
        <v>0</v>
      </c>
      <c r="BF16" s="10">
        <f>IF(預測IC!BF16&gt;預測IC!BF$25,1,0)</f>
        <v>0</v>
      </c>
      <c r="BG16" s="10">
        <f>IF(預測IC!BG16&gt;預測IC!BG$25,1,0)</f>
        <v>0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0</v>
      </c>
      <c r="BQ16" s="10">
        <f>IF(預測IC!BQ16&gt;預測IC!BQ$25,1,0)</f>
        <v>1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0</v>
      </c>
      <c r="BV16" s="10">
        <f>IF(預測IC!BV16&gt;預測IC!BV$25,1,0)</f>
        <v>0</v>
      </c>
      <c r="BW16" s="10">
        <f>IF(預測IC!BW16&gt;預測IC!BW$25,1,0)</f>
        <v>0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0</v>
      </c>
      <c r="CA16" s="10">
        <f>IF(預測IC!CA16&gt;預測IC!CA$25,1,0)</f>
        <v>1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1</v>
      </c>
      <c r="CH16" s="10">
        <f>IF(預測IC!CH16&gt;預測IC!CH$25,1,0)</f>
        <v>0</v>
      </c>
      <c r="CI16" s="10">
        <f>IF(預測IC!CI16&gt;預測IC!CI$25,1,0)</f>
        <v>1</v>
      </c>
      <c r="CJ16" s="10">
        <f>IF(預測IC!CJ16&gt;預測IC!CJ$25,1,0)</f>
        <v>0</v>
      </c>
      <c r="CK16" s="10">
        <f>IF(預測IC!CK16&gt;預測IC!CK$25,1,0)</f>
        <v>0</v>
      </c>
      <c r="CL16" s="10">
        <f>IF(預測IC!CL16&gt;預測IC!CL$25,1,0)</f>
        <v>0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0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1</v>
      </c>
      <c r="CU16" s="10">
        <f>IF(預測IC!CU16&gt;預測IC!CU$25,1,0)</f>
        <v>1</v>
      </c>
      <c r="CV16" s="10">
        <f>IF(預測IC!CV16&gt;預測IC!CV$25,1,0)</f>
        <v>1</v>
      </c>
      <c r="CW16" s="10">
        <f>IF(預測IC!CW16&gt;預測IC!CW$25,1,0)</f>
        <v>0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1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1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0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0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0</v>
      </c>
      <c r="DT16" s="10">
        <f>IF(預測IC!DT16&gt;預測IC!DT$25,1,0)</f>
        <v>0</v>
      </c>
      <c r="DU16" s="10">
        <f>IF(預測IC!DU16&gt;預測IC!DU$25,1,0)</f>
        <v>1</v>
      </c>
      <c r="DV16" s="10">
        <f>IF(預測IC!DV16&gt;預測IC!DV$25,1,0)</f>
        <v>1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1</v>
      </c>
      <c r="EA16" s="10">
        <f>IF(預測IC!EA16&gt;預測IC!EA$25,1,0)</f>
        <v>1</v>
      </c>
      <c r="EB16" s="10">
        <f>IF(預測IC!EB16&gt;預測IC!EB$25,1,0)</f>
        <v>0</v>
      </c>
      <c r="EC16" s="10">
        <f>IF(預測IC!EC16&gt;預測IC!EC$25,1,0)</f>
        <v>0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0</v>
      </c>
      <c r="EG16" s="10">
        <f>IF(預測IC!EG16&gt;預測IC!EG$25,1,0)</f>
        <v>1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73</v>
      </c>
      <c r="EN16" s="19">
        <f t="shared" si="12"/>
        <v>0.52142857142857146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1</v>
      </c>
      <c r="D17" s="10">
        <f>IF(預測IC!D17&gt;預測IC!D$25,1,0)</f>
        <v>1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1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1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0</v>
      </c>
      <c r="N17" s="10">
        <f>IF(預測IC!N17&gt;預測IC!N$25,1,0)</f>
        <v>1</v>
      </c>
      <c r="O17" s="10">
        <f>IF(預測IC!O17&gt;預測IC!O$25,1,0)</f>
        <v>0</v>
      </c>
      <c r="P17" s="10">
        <f>IF(預測IC!P17&gt;預測IC!P$25,1,0)</f>
        <v>1</v>
      </c>
      <c r="Q17" s="10">
        <f>IF(預測IC!Q17&gt;預測IC!Q$25,1,0)</f>
        <v>1</v>
      </c>
      <c r="R17" s="10">
        <f>IF(預測IC!R17&gt;預測IC!R$25,1,0)</f>
        <v>0</v>
      </c>
      <c r="S17" s="10">
        <f>IF(預測IC!S17&gt;預測IC!S$25,1,0)</f>
        <v>1</v>
      </c>
      <c r="T17" s="10">
        <f>IF(預測IC!T17&gt;預測IC!T$25,1,0)</f>
        <v>1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0</v>
      </c>
      <c r="X17" s="10">
        <f>IF(預測IC!X17&gt;預測IC!X$25,1,0)</f>
        <v>1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1</v>
      </c>
      <c r="AB17" s="10">
        <f>IF(預測IC!AB17&gt;預測IC!AB$25,1,0)</f>
        <v>0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1</v>
      </c>
      <c r="AG17" s="10">
        <f>IF(預測IC!AG17&gt;預測IC!AG$25,1,0)</f>
        <v>0</v>
      </c>
      <c r="AH17" s="10">
        <f>IF(預測IC!AH17&gt;預測IC!AH$25,1,0)</f>
        <v>0</v>
      </c>
      <c r="AI17" s="10">
        <f>IF(預測IC!AI17&gt;預測IC!AI$25,1,0)</f>
        <v>1</v>
      </c>
      <c r="AJ17" s="10">
        <f>IF(預測IC!AJ17&gt;預測IC!AJ$25,1,0)</f>
        <v>0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0</v>
      </c>
      <c r="AQ17" s="10">
        <f>IF(預測IC!AQ17&gt;預測IC!AQ$25,1,0)</f>
        <v>0</v>
      </c>
      <c r="AR17" s="10">
        <f>IF(預測IC!AR17&gt;預測IC!AR$25,1,0)</f>
        <v>0</v>
      </c>
      <c r="AS17" s="10">
        <f>IF(預測IC!AS17&gt;預測IC!AS$25,1,0)</f>
        <v>0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0</v>
      </c>
      <c r="AY17" s="10">
        <f>IF(預測IC!AY17&gt;預測IC!AY$25,1,0)</f>
        <v>0</v>
      </c>
      <c r="AZ17" s="10">
        <f>IF(預測IC!AZ17&gt;預測IC!AZ$25,1,0)</f>
        <v>0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0</v>
      </c>
      <c r="BE17" s="10">
        <f>IF(預測IC!BE17&gt;預測IC!BE$25,1,0)</f>
        <v>0</v>
      </c>
      <c r="BF17" s="10">
        <f>IF(預測IC!BF17&gt;預測IC!BF$25,1,0)</f>
        <v>0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1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0</v>
      </c>
      <c r="BQ17" s="10">
        <f>IF(預測IC!BQ17&gt;預測IC!BQ$25,1,0)</f>
        <v>1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0</v>
      </c>
      <c r="BV17" s="10">
        <f>IF(預測IC!BV17&gt;預測IC!BV$25,1,0)</f>
        <v>0</v>
      </c>
      <c r="BW17" s="10">
        <f>IF(預測IC!BW17&gt;預測IC!BW$25,1,0)</f>
        <v>0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1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1</v>
      </c>
      <c r="CH17" s="10">
        <f>IF(預測IC!CH17&gt;預測IC!CH$25,1,0)</f>
        <v>1</v>
      </c>
      <c r="CI17" s="10">
        <f>IF(預測IC!CI17&gt;預測IC!CI$25,1,0)</f>
        <v>1</v>
      </c>
      <c r="CJ17" s="10">
        <f>IF(預測IC!CJ17&gt;預測IC!CJ$25,1,0)</f>
        <v>0</v>
      </c>
      <c r="CK17" s="10">
        <f>IF(預測IC!CK17&gt;預測IC!CK$25,1,0)</f>
        <v>0</v>
      </c>
      <c r="CL17" s="10">
        <f>IF(預測IC!CL17&gt;預測IC!CL$25,1,0)</f>
        <v>0</v>
      </c>
      <c r="CM17" s="10">
        <f>IF(預測IC!CM17&gt;預測IC!CM$25,1,0)</f>
        <v>1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0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1</v>
      </c>
      <c r="CU17" s="10">
        <f>IF(預測IC!CU17&gt;預測IC!CU$25,1,0)</f>
        <v>1</v>
      </c>
      <c r="CV17" s="10">
        <f>IF(預測IC!CV17&gt;預測IC!CV$25,1,0)</f>
        <v>1</v>
      </c>
      <c r="CW17" s="10">
        <f>IF(預測IC!CW17&gt;預測IC!CW$25,1,0)</f>
        <v>0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1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1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0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0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0</v>
      </c>
      <c r="DT17" s="10">
        <f>IF(預測IC!DT17&gt;預測IC!DT$25,1,0)</f>
        <v>0</v>
      </c>
      <c r="DU17" s="10">
        <f>IF(預測IC!DU17&gt;預測IC!DU$25,1,0)</f>
        <v>1</v>
      </c>
      <c r="DV17" s="10">
        <f>IF(預測IC!DV17&gt;預測IC!DV$25,1,0)</f>
        <v>1</v>
      </c>
      <c r="DW17" s="10">
        <f>IF(預測IC!DW17&gt;預測IC!DW$25,1,0)</f>
        <v>1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1</v>
      </c>
      <c r="EA17" s="10">
        <f>IF(預測IC!EA17&gt;預測IC!EA$25,1,0)</f>
        <v>1</v>
      </c>
      <c r="EB17" s="10">
        <f>IF(預測IC!EB17&gt;預測IC!EB$25,1,0)</f>
        <v>0</v>
      </c>
      <c r="EC17" s="10">
        <f>IF(預測IC!EC17&gt;預測IC!EC$25,1,0)</f>
        <v>0</v>
      </c>
      <c r="ED17" s="10">
        <f>IF(預測IC!ED17&gt;預測IC!ED$25,1,0)</f>
        <v>0</v>
      </c>
      <c r="EE17" s="10">
        <f>IF(預測IC!EE17&gt;預測IC!EE$25,1,0)</f>
        <v>1</v>
      </c>
      <c r="EF17" s="10">
        <f>IF(預測IC!EF17&gt;預測IC!EF$25,1,0)</f>
        <v>1</v>
      </c>
      <c r="EG17" s="10">
        <f>IF(預測IC!EG17&gt;預測IC!EG$25,1,0)</f>
        <v>1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73</v>
      </c>
      <c r="EN17" s="19">
        <f t="shared" si="12"/>
        <v>0.52142857142857146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1</v>
      </c>
      <c r="D18" s="10">
        <f>IF(預測IC!D18&gt;預測IC!D$25,1,0)</f>
        <v>1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1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1</v>
      </c>
      <c r="K18" s="10">
        <f>IF(預測IC!K18&gt;預測IC!K$25,1,0)</f>
        <v>1</v>
      </c>
      <c r="L18" s="10">
        <f>IF(預測IC!L18&gt;預測IC!L$25,1,0)</f>
        <v>0</v>
      </c>
      <c r="M18" s="10">
        <f>IF(預測IC!M18&gt;預測IC!M$25,1,0)</f>
        <v>0</v>
      </c>
      <c r="N18" s="10">
        <f>IF(預測IC!N18&gt;預測IC!N$25,1,0)</f>
        <v>1</v>
      </c>
      <c r="O18" s="10">
        <f>IF(預測IC!O18&gt;預測IC!O$25,1,0)</f>
        <v>0</v>
      </c>
      <c r="P18" s="10">
        <f>IF(預測IC!P18&gt;預測IC!P$25,1,0)</f>
        <v>1</v>
      </c>
      <c r="Q18" s="10">
        <f>IF(預測IC!Q18&gt;預測IC!Q$25,1,0)</f>
        <v>1</v>
      </c>
      <c r="R18" s="10">
        <f>IF(預測IC!R18&gt;預測IC!R$25,1,0)</f>
        <v>0</v>
      </c>
      <c r="S18" s="10">
        <f>IF(預測IC!S18&gt;預測IC!S$25,1,0)</f>
        <v>1</v>
      </c>
      <c r="T18" s="10">
        <f>IF(預測IC!T18&gt;預測IC!T$25,1,0)</f>
        <v>1</v>
      </c>
      <c r="U18" s="10">
        <f>IF(預測IC!U18&gt;預測IC!U$25,1,0)</f>
        <v>0</v>
      </c>
      <c r="V18" s="10">
        <f>IF(預測IC!V18&gt;預測IC!V$25,1,0)</f>
        <v>0</v>
      </c>
      <c r="W18" s="10">
        <f>IF(預測IC!W18&gt;預測IC!W$25,1,0)</f>
        <v>0</v>
      </c>
      <c r="X18" s="10">
        <f>IF(預測IC!X18&gt;預測IC!X$25,1,0)</f>
        <v>1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1</v>
      </c>
      <c r="AB18" s="10">
        <f>IF(預測IC!AB18&gt;預測IC!AB$25,1,0)</f>
        <v>0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1</v>
      </c>
      <c r="AG18" s="10">
        <f>IF(預測IC!AG18&gt;預測IC!AG$25,1,0)</f>
        <v>0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0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0</v>
      </c>
      <c r="AQ18" s="10">
        <f>IF(預測IC!AQ18&gt;預測IC!AQ$25,1,0)</f>
        <v>0</v>
      </c>
      <c r="AR18" s="10">
        <f>IF(預測IC!AR18&gt;預測IC!AR$25,1,0)</f>
        <v>0</v>
      </c>
      <c r="AS18" s="10">
        <f>IF(預測IC!AS18&gt;預測IC!AS$25,1,0)</f>
        <v>0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0</v>
      </c>
      <c r="AY18" s="10">
        <f>IF(預測IC!AY18&gt;預測IC!AY$25,1,0)</f>
        <v>1</v>
      </c>
      <c r="AZ18" s="10">
        <f>IF(預測IC!AZ18&gt;預測IC!AZ$25,1,0)</f>
        <v>0</v>
      </c>
      <c r="BA18" s="10">
        <f>IF(預測IC!BA18&gt;預測IC!BA$25,1,0)</f>
        <v>0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0</v>
      </c>
      <c r="BE18" s="10">
        <f>IF(預測IC!BE18&gt;預測IC!BE$25,1,0)</f>
        <v>0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0</v>
      </c>
      <c r="BQ18" s="10">
        <f>IF(預測IC!BQ18&gt;預測IC!BQ$25,1,0)</f>
        <v>1</v>
      </c>
      <c r="BR18" s="10">
        <f>IF(預測IC!BR18&gt;預測IC!BR$25,1,0)</f>
        <v>0</v>
      </c>
      <c r="BS18" s="10">
        <f>IF(預測IC!BS18&gt;預測IC!BS$25,1,0)</f>
        <v>0</v>
      </c>
      <c r="BT18" s="10">
        <f>IF(預測IC!BT18&gt;預測IC!BT$25,1,0)</f>
        <v>0</v>
      </c>
      <c r="BU18" s="10">
        <f>IF(預測IC!BU18&gt;預測IC!BU$25,1,0)</f>
        <v>0</v>
      </c>
      <c r="BV18" s="10">
        <f>IF(預測IC!BV18&gt;預測IC!BV$25,1,0)</f>
        <v>0</v>
      </c>
      <c r="BW18" s="10">
        <f>IF(預測IC!BW18&gt;預測IC!BW$25,1,0)</f>
        <v>0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0</v>
      </c>
      <c r="CA18" s="10">
        <f>IF(預測IC!CA18&gt;預測IC!CA$25,1,0)</f>
        <v>1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1</v>
      </c>
      <c r="CH18" s="10">
        <f>IF(預測IC!CH18&gt;預測IC!CH$25,1,0)</f>
        <v>1</v>
      </c>
      <c r="CI18" s="10">
        <f>IF(預測IC!CI18&gt;預測IC!CI$25,1,0)</f>
        <v>1</v>
      </c>
      <c r="CJ18" s="10">
        <f>IF(預測IC!CJ18&gt;預測IC!CJ$25,1,0)</f>
        <v>0</v>
      </c>
      <c r="CK18" s="10">
        <f>IF(預測IC!CK18&gt;預測IC!CK$25,1,0)</f>
        <v>0</v>
      </c>
      <c r="CL18" s="10">
        <f>IF(預測IC!CL18&gt;預測IC!CL$25,1,0)</f>
        <v>0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0</v>
      </c>
      <c r="CR18" s="10">
        <f>IF(預測IC!CR18&gt;預測IC!CR$25,1,0)</f>
        <v>0</v>
      </c>
      <c r="CS18" s="10">
        <f>IF(預測IC!CS18&gt;預測IC!CS$25,1,0)</f>
        <v>0</v>
      </c>
      <c r="CT18" s="10">
        <f>IF(預測IC!CT18&gt;預測IC!CT$25,1,0)</f>
        <v>1</v>
      </c>
      <c r="CU18" s="10">
        <f>IF(預測IC!CU18&gt;預測IC!CU$25,1,0)</f>
        <v>1</v>
      </c>
      <c r="CV18" s="10">
        <f>IF(預測IC!CV18&gt;預測IC!CV$25,1,0)</f>
        <v>1</v>
      </c>
      <c r="CW18" s="10">
        <f>IF(預測IC!CW18&gt;預測IC!CW$25,1,0)</f>
        <v>0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1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0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1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0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0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0</v>
      </c>
      <c r="DT18" s="10">
        <f>IF(預測IC!DT18&gt;預測IC!DT$25,1,0)</f>
        <v>0</v>
      </c>
      <c r="DU18" s="10">
        <f>IF(預測IC!DU18&gt;預測IC!DU$25,1,0)</f>
        <v>1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1</v>
      </c>
      <c r="EA18" s="10">
        <f>IF(預測IC!EA18&gt;預測IC!EA$25,1,0)</f>
        <v>1</v>
      </c>
      <c r="EB18" s="10">
        <f>IF(預測IC!EB18&gt;預測IC!EB$25,1,0)</f>
        <v>0</v>
      </c>
      <c r="EC18" s="10">
        <f>IF(預測IC!EC18&gt;預測IC!EC$25,1,0)</f>
        <v>0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0</v>
      </c>
      <c r="EG18" s="10">
        <f>IF(預測IC!EG18&gt;預測IC!EG$25,1,0)</f>
        <v>1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69</v>
      </c>
      <c r="EN18" s="19">
        <f t="shared" si="12"/>
        <v>0.49285714285714288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1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1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1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0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1</v>
      </c>
      <c r="R19" s="10">
        <f>IF(預測IC!R19&gt;預測IC!R$25,1,0)</f>
        <v>0</v>
      </c>
      <c r="S19" s="10">
        <f>IF(預測IC!S19&gt;預測IC!S$25,1,0)</f>
        <v>1</v>
      </c>
      <c r="T19" s="10">
        <f>IF(預測IC!T19&gt;預測IC!T$25,1,0)</f>
        <v>1</v>
      </c>
      <c r="U19" s="10">
        <f>IF(預測IC!U19&gt;預測IC!U$25,1,0)</f>
        <v>0</v>
      </c>
      <c r="V19" s="10">
        <f>IF(預測IC!V19&gt;預測IC!V$25,1,0)</f>
        <v>0</v>
      </c>
      <c r="W19" s="10">
        <f>IF(預測IC!W19&gt;預測IC!W$25,1,0)</f>
        <v>0</v>
      </c>
      <c r="X19" s="10">
        <f>IF(預測IC!X19&gt;預測IC!X$25,1,0)</f>
        <v>1</v>
      </c>
      <c r="Y19" s="10">
        <f>IF(預測IC!Y19&gt;預測IC!Y$25,1,0)</f>
        <v>0</v>
      </c>
      <c r="Z19" s="10">
        <f>IF(預測IC!Z19&gt;預測IC!Z$25,1,0)</f>
        <v>1</v>
      </c>
      <c r="AA19" s="10">
        <f>IF(預測IC!AA19&gt;預測IC!AA$25,1,0)</f>
        <v>1</v>
      </c>
      <c r="AB19" s="10">
        <f>IF(預測IC!AB19&gt;預測IC!AB$25,1,0)</f>
        <v>0</v>
      </c>
      <c r="AC19" s="10">
        <f>IF(預測IC!AC19&gt;預測IC!AC$25,1,0)</f>
        <v>0</v>
      </c>
      <c r="AD19" s="10">
        <f>IF(預測IC!AD19&gt;預測IC!AD$25,1,0)</f>
        <v>1</v>
      </c>
      <c r="AE19" s="10">
        <f>IF(預測IC!AE19&gt;預測IC!AE$25,1,0)</f>
        <v>0</v>
      </c>
      <c r="AF19" s="10">
        <f>IF(預測IC!AF19&gt;預測IC!AF$25,1,0)</f>
        <v>1</v>
      </c>
      <c r="AG19" s="10">
        <f>IF(預測IC!AG19&gt;預測IC!AG$25,1,0)</f>
        <v>0</v>
      </c>
      <c r="AH19" s="10">
        <f>IF(預測IC!AH19&gt;預測IC!AH$25,1,0)</f>
        <v>0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0</v>
      </c>
      <c r="AQ19" s="10">
        <f>IF(預測IC!AQ19&gt;預測IC!AQ$25,1,0)</f>
        <v>0</v>
      </c>
      <c r="AR19" s="10">
        <f>IF(預測IC!AR19&gt;預測IC!AR$25,1,0)</f>
        <v>0</v>
      </c>
      <c r="AS19" s="10">
        <f>IF(預測IC!AS19&gt;預測IC!AS$25,1,0)</f>
        <v>0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0</v>
      </c>
      <c r="AY19" s="10">
        <f>IF(預測IC!AY19&gt;預測IC!AY$25,1,0)</f>
        <v>0</v>
      </c>
      <c r="AZ19" s="10">
        <f>IF(預測IC!AZ19&gt;預測IC!AZ$25,1,0)</f>
        <v>0</v>
      </c>
      <c r="BA19" s="10">
        <f>IF(預測IC!BA19&gt;預測IC!BA$25,1,0)</f>
        <v>0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0</v>
      </c>
      <c r="BE19" s="10">
        <f>IF(預測IC!BE19&gt;預測IC!BE$25,1,0)</f>
        <v>0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0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0</v>
      </c>
      <c r="BQ19" s="10">
        <f>IF(預測IC!BQ19&gt;預測IC!BQ$25,1,0)</f>
        <v>1</v>
      </c>
      <c r="BR19" s="10">
        <f>IF(預測IC!BR19&gt;預測IC!BR$25,1,0)</f>
        <v>0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0</v>
      </c>
      <c r="BV19" s="10">
        <f>IF(預測IC!BV19&gt;預測IC!BV$25,1,0)</f>
        <v>1</v>
      </c>
      <c r="BW19" s="10">
        <f>IF(預測IC!BW19&gt;預測IC!BW$25,1,0)</f>
        <v>0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1</v>
      </c>
      <c r="CA19" s="10">
        <f>IF(預測IC!CA19&gt;預測IC!CA$25,1,0)</f>
        <v>1</v>
      </c>
      <c r="CB19" s="10">
        <f>IF(預測IC!CB19&gt;預測IC!CB$25,1,0)</f>
        <v>0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1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0</v>
      </c>
      <c r="CL19" s="10">
        <f>IF(預測IC!CL19&gt;預測IC!CL$25,1,0)</f>
        <v>0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0</v>
      </c>
      <c r="CR19" s="10">
        <f>IF(預測IC!CR19&gt;預測IC!CR$25,1,0)</f>
        <v>0</v>
      </c>
      <c r="CS19" s="10">
        <f>IF(預測IC!CS19&gt;預測IC!CS$25,1,0)</f>
        <v>0</v>
      </c>
      <c r="CT19" s="10">
        <f>IF(預測IC!CT19&gt;預測IC!CT$25,1,0)</f>
        <v>1</v>
      </c>
      <c r="CU19" s="10">
        <f>IF(預測IC!CU19&gt;預測IC!CU$25,1,0)</f>
        <v>1</v>
      </c>
      <c r="CV19" s="10">
        <f>IF(預測IC!CV19&gt;預測IC!CV$25,1,0)</f>
        <v>1</v>
      </c>
      <c r="CW19" s="10">
        <f>IF(預測IC!CW19&gt;預測IC!CW$25,1,0)</f>
        <v>0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1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1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0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0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1</v>
      </c>
      <c r="DV19" s="10">
        <f>IF(預測IC!DV19&gt;預測IC!DV$25,1,0)</f>
        <v>1</v>
      </c>
      <c r="DW19" s="10">
        <f>IF(預測IC!DW19&gt;預測IC!DW$25,1,0)</f>
        <v>1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1</v>
      </c>
      <c r="EA19" s="10">
        <f>IF(預測IC!EA19&gt;預測IC!EA$25,1,0)</f>
        <v>1</v>
      </c>
      <c r="EB19" s="10">
        <f>IF(預測IC!EB19&gt;預測IC!EB$25,1,0)</f>
        <v>0</v>
      </c>
      <c r="EC19" s="10">
        <f>IF(預測IC!EC19&gt;預測IC!EC$25,1,0)</f>
        <v>0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1</v>
      </c>
      <c r="EG19" s="10">
        <f>IF(預測IC!EG19&gt;預測IC!EG$25,1,0)</f>
        <v>1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72</v>
      </c>
      <c r="EN19" s="19">
        <f t="shared" si="12"/>
        <v>0.51428571428571423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1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1</v>
      </c>
      <c r="G20" s="10">
        <f>IF(預測IC!G20&gt;預測IC!G$25,1,0)</f>
        <v>1</v>
      </c>
      <c r="H20" s="10">
        <f>IF(預測IC!H20&gt;預測IC!H$25,1,0)</f>
        <v>1</v>
      </c>
      <c r="I20" s="10">
        <f>IF(預測IC!I20&gt;預測IC!I$25,1,0)</f>
        <v>1</v>
      </c>
      <c r="J20" s="10">
        <f>IF(預測IC!J20&gt;預測IC!J$25,1,0)</f>
        <v>1</v>
      </c>
      <c r="K20" s="10">
        <f>IF(預測IC!K20&gt;預測IC!K$25,1,0)</f>
        <v>1</v>
      </c>
      <c r="L20" s="10">
        <f>IF(預測IC!L20&gt;預測IC!L$25,1,0)</f>
        <v>1</v>
      </c>
      <c r="M20" s="10">
        <f>IF(預測IC!M20&gt;預測IC!M$25,1,0)</f>
        <v>0</v>
      </c>
      <c r="N20" s="10">
        <f>IF(預測IC!N20&gt;預測IC!N$25,1,0)</f>
        <v>1</v>
      </c>
      <c r="O20" s="10">
        <f>IF(預測IC!O20&gt;預測IC!O$25,1,0)</f>
        <v>1</v>
      </c>
      <c r="P20" s="10">
        <f>IF(預測IC!P20&gt;預測IC!P$25,1,0)</f>
        <v>1</v>
      </c>
      <c r="Q20" s="10">
        <f>IF(預測IC!Q20&gt;預測IC!Q$25,1,0)</f>
        <v>1</v>
      </c>
      <c r="R20" s="10">
        <f>IF(預測IC!R20&gt;預測IC!R$25,1,0)</f>
        <v>0</v>
      </c>
      <c r="S20" s="10">
        <f>IF(預測IC!S20&gt;預測IC!S$25,1,0)</f>
        <v>1</v>
      </c>
      <c r="T20" s="10">
        <f>IF(預測IC!T20&gt;預測IC!T$25,1,0)</f>
        <v>1</v>
      </c>
      <c r="U20" s="10">
        <f>IF(預測IC!U20&gt;預測IC!U$25,1,0)</f>
        <v>0</v>
      </c>
      <c r="V20" s="10">
        <f>IF(預測IC!V20&gt;預測IC!V$25,1,0)</f>
        <v>0</v>
      </c>
      <c r="W20" s="10">
        <f>IF(預測IC!W20&gt;預測IC!W$25,1,0)</f>
        <v>0</v>
      </c>
      <c r="X20" s="10">
        <f>IF(預測IC!X20&gt;預測IC!X$25,1,0)</f>
        <v>1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1</v>
      </c>
      <c r="AB20" s="10">
        <f>IF(預測IC!AB20&gt;預測IC!AB$25,1,0)</f>
        <v>1</v>
      </c>
      <c r="AC20" s="10">
        <f>IF(預測IC!AC20&gt;預測IC!AC$25,1,0)</f>
        <v>0</v>
      </c>
      <c r="AD20" s="10">
        <f>IF(預測IC!AD20&gt;預測IC!AD$25,1,0)</f>
        <v>1</v>
      </c>
      <c r="AE20" s="10">
        <f>IF(預測IC!AE20&gt;預測IC!AE$25,1,0)</f>
        <v>0</v>
      </c>
      <c r="AF20" s="10">
        <f>IF(預測IC!AF20&gt;預測IC!AF$25,1,0)</f>
        <v>1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0</v>
      </c>
      <c r="AK20" s="10">
        <f>IF(預測IC!AK20&gt;預測IC!AK$25,1,0)</f>
        <v>0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0</v>
      </c>
      <c r="AQ20" s="10">
        <f>IF(預測IC!AQ20&gt;預測IC!AQ$25,1,0)</f>
        <v>0</v>
      </c>
      <c r="AR20" s="10">
        <f>IF(預測IC!AR20&gt;預測IC!AR$25,1,0)</f>
        <v>0</v>
      </c>
      <c r="AS20" s="10">
        <f>IF(預測IC!AS20&gt;預測IC!AS$25,1,0)</f>
        <v>0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0</v>
      </c>
      <c r="AY20" s="10">
        <f>IF(預測IC!AY20&gt;預測IC!AY$25,1,0)</f>
        <v>0</v>
      </c>
      <c r="AZ20" s="10">
        <f>IF(預測IC!AZ20&gt;預測IC!AZ$25,1,0)</f>
        <v>0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0</v>
      </c>
      <c r="BE20" s="10">
        <f>IF(預測IC!BE20&gt;預測IC!BE$25,1,0)</f>
        <v>0</v>
      </c>
      <c r="BF20" s="10">
        <f>IF(預測IC!BF20&gt;預測IC!BF$25,1,0)</f>
        <v>0</v>
      </c>
      <c r="BG20" s="10">
        <f>IF(預測IC!BG20&gt;預測IC!BG$25,1,0)</f>
        <v>1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0</v>
      </c>
      <c r="BQ20" s="10">
        <f>IF(預測IC!BQ20&gt;預測IC!BQ$25,1,0)</f>
        <v>1</v>
      </c>
      <c r="BR20" s="10">
        <f>IF(預測IC!BR20&gt;預測IC!BR$25,1,0)</f>
        <v>0</v>
      </c>
      <c r="BS20" s="10">
        <f>IF(預測IC!BS20&gt;預測IC!BS$25,1,0)</f>
        <v>0</v>
      </c>
      <c r="BT20" s="10">
        <f>IF(預測IC!BT20&gt;預測IC!BT$25,1,0)</f>
        <v>0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0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1</v>
      </c>
      <c r="CA20" s="10">
        <f>IF(預測IC!CA20&gt;預測IC!CA$25,1,0)</f>
        <v>1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1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0</v>
      </c>
      <c r="CL20" s="10">
        <f>IF(預測IC!CL20&gt;預測IC!CL$25,1,0)</f>
        <v>0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0</v>
      </c>
      <c r="CR20" s="10">
        <f>IF(預測IC!CR20&gt;預測IC!CR$25,1,0)</f>
        <v>0</v>
      </c>
      <c r="CS20" s="10">
        <f>IF(預測IC!CS20&gt;預測IC!CS$25,1,0)</f>
        <v>0</v>
      </c>
      <c r="CT20" s="10">
        <f>IF(預測IC!CT20&gt;預測IC!CT$25,1,0)</f>
        <v>1</v>
      </c>
      <c r="CU20" s="10">
        <f>IF(預測IC!CU20&gt;預測IC!CU$25,1,0)</f>
        <v>1</v>
      </c>
      <c r="CV20" s="10">
        <f>IF(預測IC!CV20&gt;預測IC!CV$25,1,0)</f>
        <v>1</v>
      </c>
      <c r="CW20" s="10">
        <f>IF(預測IC!CW20&gt;預測IC!CW$25,1,0)</f>
        <v>0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1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1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0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1</v>
      </c>
      <c r="DV20" s="10">
        <f>IF(預測IC!DV20&gt;預測IC!DV$25,1,0)</f>
        <v>1</v>
      </c>
      <c r="DW20" s="10">
        <f>IF(預測IC!DW20&gt;預測IC!DW$25,1,0)</f>
        <v>1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1</v>
      </c>
      <c r="EB20" s="10">
        <f>IF(預測IC!EB20&gt;預測IC!EB$25,1,0)</f>
        <v>0</v>
      </c>
      <c r="EC20" s="10">
        <f>IF(預測IC!EC20&gt;預測IC!EC$25,1,0)</f>
        <v>0</v>
      </c>
      <c r="ED20" s="10">
        <f>IF(預測IC!ED20&gt;預測IC!ED$25,1,0)</f>
        <v>0</v>
      </c>
      <c r="EE20" s="10">
        <f>IF(預測IC!EE20&gt;預測IC!EE$25,1,0)</f>
        <v>1</v>
      </c>
      <c r="EF20" s="10">
        <f>IF(預測IC!EF20&gt;預測IC!EF$25,1,0)</f>
        <v>1</v>
      </c>
      <c r="EG20" s="10">
        <f>IF(預測IC!EG20&gt;預測IC!EG$25,1,0)</f>
        <v>1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0</v>
      </c>
      <c r="EL20" s="10">
        <f>IF(預測IC!EL20&gt;預測IC!EL$25,1,0)</f>
        <v>1</v>
      </c>
      <c r="EM20" s="6">
        <f t="shared" si="11"/>
        <v>76</v>
      </c>
      <c r="EN20" s="19">
        <f t="shared" si="12"/>
        <v>0.54285714285714282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1</v>
      </c>
      <c r="F21" s="10">
        <f>IF(預測IC!F21&gt;預測IC!F$25,1,0)</f>
        <v>0</v>
      </c>
      <c r="G21" s="10">
        <f>IF(預測IC!G21&gt;預測IC!G$25,1,0)</f>
        <v>1</v>
      </c>
      <c r="H21" s="10">
        <f>IF(預測IC!H21&gt;預測IC!H$25,1,0)</f>
        <v>1</v>
      </c>
      <c r="I21" s="10">
        <f>IF(預測IC!I21&gt;預測IC!I$25,1,0)</f>
        <v>1</v>
      </c>
      <c r="J21" s="10">
        <f>IF(預測IC!J21&gt;預測IC!J$25,1,0)</f>
        <v>1</v>
      </c>
      <c r="K21" s="10">
        <f>IF(預測IC!K21&gt;預測IC!K$25,1,0)</f>
        <v>1</v>
      </c>
      <c r="L21" s="10">
        <f>IF(預測IC!L21&gt;預測IC!L$25,1,0)</f>
        <v>1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1</v>
      </c>
      <c r="P21" s="10">
        <f>IF(預測IC!P21&gt;預測IC!P$25,1,0)</f>
        <v>1</v>
      </c>
      <c r="Q21" s="10">
        <f>IF(預測IC!Q21&gt;預測IC!Q$25,1,0)</f>
        <v>1</v>
      </c>
      <c r="R21" s="10">
        <f>IF(預測IC!R21&gt;預測IC!R$25,1,0)</f>
        <v>0</v>
      </c>
      <c r="S21" s="10">
        <f>IF(預測IC!S21&gt;預測IC!S$25,1,0)</f>
        <v>1</v>
      </c>
      <c r="T21" s="10">
        <f>IF(預測IC!T21&gt;預測IC!T$25,1,0)</f>
        <v>1</v>
      </c>
      <c r="U21" s="10">
        <f>IF(預測IC!U21&gt;預測IC!U$25,1,0)</f>
        <v>0</v>
      </c>
      <c r="V21" s="10">
        <f>IF(預測IC!V21&gt;預測IC!V$25,1,0)</f>
        <v>1</v>
      </c>
      <c r="W21" s="10">
        <f>IF(預測IC!W21&gt;預測IC!W$25,1,0)</f>
        <v>0</v>
      </c>
      <c r="X21" s="10">
        <f>IF(預測IC!X21&gt;預測IC!X$25,1,0)</f>
        <v>1</v>
      </c>
      <c r="Y21" s="10">
        <f>IF(預測IC!Y21&gt;預測IC!Y$25,1,0)</f>
        <v>0</v>
      </c>
      <c r="Z21" s="10">
        <f>IF(預測IC!Z21&gt;預測IC!Z$25,1,0)</f>
        <v>1</v>
      </c>
      <c r="AA21" s="10">
        <f>IF(預測IC!AA21&gt;預測IC!AA$25,1,0)</f>
        <v>1</v>
      </c>
      <c r="AB21" s="10">
        <f>IF(預測IC!AB21&gt;預測IC!AB$25,1,0)</f>
        <v>1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1</v>
      </c>
      <c r="AG21" s="10">
        <f>IF(預測IC!AG21&gt;預測IC!AG$25,1,0)</f>
        <v>0</v>
      </c>
      <c r="AH21" s="10">
        <f>IF(預測IC!AH21&gt;預測IC!AH$25,1,0)</f>
        <v>0</v>
      </c>
      <c r="AI21" s="10">
        <f>IF(預測IC!AI21&gt;預測IC!AI$25,1,0)</f>
        <v>1</v>
      </c>
      <c r="AJ21" s="10">
        <f>IF(預測IC!AJ21&gt;預測IC!AJ$25,1,0)</f>
        <v>0</v>
      </c>
      <c r="AK21" s="10">
        <f>IF(預測IC!AK21&gt;預測IC!AK$25,1,0)</f>
        <v>0</v>
      </c>
      <c r="AL21" s="10">
        <f>IF(預測IC!AL21&gt;預測IC!AL$25,1,0)</f>
        <v>1</v>
      </c>
      <c r="AM21" s="10">
        <f>IF(預測IC!AM21&gt;預測IC!AM$25,1,0)</f>
        <v>1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0</v>
      </c>
      <c r="AQ21" s="10">
        <f>IF(預測IC!AQ21&gt;預測IC!AQ$25,1,0)</f>
        <v>0</v>
      </c>
      <c r="AR21" s="10">
        <f>IF(預測IC!AR21&gt;預測IC!AR$25,1,0)</f>
        <v>0</v>
      </c>
      <c r="AS21" s="10">
        <f>IF(預測IC!AS21&gt;預測IC!AS$25,1,0)</f>
        <v>0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0</v>
      </c>
      <c r="AY21" s="10">
        <f>IF(預測IC!AY21&gt;預測IC!AY$25,1,0)</f>
        <v>0</v>
      </c>
      <c r="AZ21" s="10">
        <f>IF(預測IC!AZ21&gt;預測IC!AZ$25,1,0)</f>
        <v>0</v>
      </c>
      <c r="BA21" s="10">
        <f>IF(預測IC!BA21&gt;預測IC!BA$25,1,0)</f>
        <v>0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1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0</v>
      </c>
      <c r="BM21" s="10">
        <f>IF(預測IC!BM21&gt;預測IC!BM$25,1,0)</f>
        <v>0</v>
      </c>
      <c r="BN21" s="10">
        <f>IF(預測IC!BN21&gt;預測IC!BN$25,1,0)</f>
        <v>1</v>
      </c>
      <c r="BO21" s="10">
        <f>IF(預測IC!BO21&gt;預測IC!BO$25,1,0)</f>
        <v>1</v>
      </c>
      <c r="BP21" s="10">
        <f>IF(預測IC!BP21&gt;預測IC!BP$25,1,0)</f>
        <v>0</v>
      </c>
      <c r="BQ21" s="10">
        <f>IF(預測IC!BQ21&gt;預測IC!BQ$25,1,0)</f>
        <v>1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0</v>
      </c>
      <c r="BU21" s="10">
        <f>IF(預測IC!BU21&gt;預測IC!BU$25,1,0)</f>
        <v>0</v>
      </c>
      <c r="BV21" s="10">
        <f>IF(預測IC!BV21&gt;預測IC!BV$25,1,0)</f>
        <v>0</v>
      </c>
      <c r="BW21" s="10">
        <f>IF(預測IC!BW21&gt;預測IC!BW$25,1,0)</f>
        <v>0</v>
      </c>
      <c r="BX21" s="10">
        <f>IF(預測IC!BX21&gt;預測IC!BX$25,1,0)</f>
        <v>1</v>
      </c>
      <c r="BY21" s="10">
        <f>IF(預測IC!BY21&gt;預測IC!BY$25,1,0)</f>
        <v>1</v>
      </c>
      <c r="BZ21" s="10">
        <f>IF(預測IC!BZ21&gt;預測IC!BZ$25,1,0)</f>
        <v>1</v>
      </c>
      <c r="CA21" s="10">
        <f>IF(預測IC!CA21&gt;預測IC!CA$25,1,0)</f>
        <v>1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0</v>
      </c>
      <c r="CL21" s="10">
        <f>IF(預測IC!CL21&gt;預測IC!CL$25,1,0)</f>
        <v>0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0</v>
      </c>
      <c r="CR21" s="10">
        <f>IF(預測IC!CR21&gt;預測IC!CR$25,1,0)</f>
        <v>0</v>
      </c>
      <c r="CS21" s="10">
        <f>IF(預測IC!CS21&gt;預測IC!CS$25,1,0)</f>
        <v>0</v>
      </c>
      <c r="CT21" s="10">
        <f>IF(預測IC!CT21&gt;預測IC!CT$25,1,0)</f>
        <v>1</v>
      </c>
      <c r="CU21" s="10">
        <f>IF(預測IC!CU21&gt;預測IC!CU$25,1,0)</f>
        <v>1</v>
      </c>
      <c r="CV21" s="10">
        <f>IF(預測IC!CV21&gt;預測IC!CV$25,1,0)</f>
        <v>1</v>
      </c>
      <c r="CW21" s="10">
        <f>IF(預測IC!CW21&gt;預測IC!CW$25,1,0)</f>
        <v>0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1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1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0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1</v>
      </c>
      <c r="DV21" s="10">
        <f>IF(預測IC!DV21&gt;預測IC!DV$25,1,0)</f>
        <v>1</v>
      </c>
      <c r="DW21" s="10">
        <f>IF(預測IC!DW21&gt;預測IC!DW$25,1,0)</f>
        <v>1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1</v>
      </c>
      <c r="EA21" s="10">
        <f>IF(預測IC!EA21&gt;預測IC!EA$25,1,0)</f>
        <v>1</v>
      </c>
      <c r="EB21" s="10">
        <f>IF(預測IC!EB21&gt;預測IC!EB$25,1,0)</f>
        <v>0</v>
      </c>
      <c r="EC21" s="10">
        <f>IF(預測IC!EC21&gt;預測IC!EC$25,1,0)</f>
        <v>0</v>
      </c>
      <c r="ED21" s="10">
        <f>IF(預測IC!ED21&gt;預測IC!ED$25,1,0)</f>
        <v>0</v>
      </c>
      <c r="EE21" s="10">
        <f>IF(預測IC!EE21&gt;預測IC!EE$25,1,0)</f>
        <v>1</v>
      </c>
      <c r="EF21" s="10">
        <f>IF(預測IC!EF21&gt;預測IC!EF$25,1,0)</f>
        <v>1</v>
      </c>
      <c r="EG21" s="10">
        <f>IF(預測IC!EG21&gt;預測IC!EG$25,1,0)</f>
        <v>1</v>
      </c>
      <c r="EH21" s="10">
        <f>IF(預測IC!EH21&gt;預測IC!EH$25,1,0)</f>
        <v>0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1</v>
      </c>
      <c r="EL21" s="10">
        <f>IF(預測IC!EL21&gt;預測IC!EL$25,1,0)</f>
        <v>1</v>
      </c>
      <c r="EM21" s="6">
        <f t="shared" si="11"/>
        <v>76</v>
      </c>
      <c r="EN21" s="19">
        <f t="shared" si="12"/>
        <v>0.54285714285714282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1</v>
      </c>
      <c r="D22" s="10">
        <f>IF(預測IC!D22&gt;預測IC!D$25,1,0)</f>
        <v>1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1</v>
      </c>
      <c r="H22" s="10">
        <f>IF(預測IC!H22&gt;預測IC!H$25,1,0)</f>
        <v>1</v>
      </c>
      <c r="I22" s="10">
        <f>IF(預測IC!I22&gt;預測IC!I$25,1,0)</f>
        <v>1</v>
      </c>
      <c r="J22" s="10">
        <f>IF(預測IC!J22&gt;預測IC!J$25,1,0)</f>
        <v>1</v>
      </c>
      <c r="K22" s="10">
        <f>IF(預測IC!K22&gt;預測IC!K$25,1,0)</f>
        <v>1</v>
      </c>
      <c r="L22" s="10">
        <f>IF(預測IC!L22&gt;預測IC!L$25,1,0)</f>
        <v>1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1</v>
      </c>
      <c r="Q22" s="10">
        <f>IF(預測IC!Q22&gt;預測IC!Q$25,1,0)</f>
        <v>1</v>
      </c>
      <c r="R22" s="10">
        <f>IF(預測IC!R22&gt;預測IC!R$25,1,0)</f>
        <v>0</v>
      </c>
      <c r="S22" s="10">
        <f>IF(預測IC!S22&gt;預測IC!S$25,1,0)</f>
        <v>1</v>
      </c>
      <c r="T22" s="10">
        <f>IF(預測IC!T22&gt;預測IC!T$25,1,0)</f>
        <v>0</v>
      </c>
      <c r="U22" s="10">
        <f>IF(預測IC!U22&gt;預測IC!U$25,1,0)</f>
        <v>0</v>
      </c>
      <c r="V22" s="10">
        <f>IF(預測IC!V22&gt;預測IC!V$25,1,0)</f>
        <v>1</v>
      </c>
      <c r="W22" s="10">
        <f>IF(預測IC!W22&gt;預測IC!W$25,1,0)</f>
        <v>0</v>
      </c>
      <c r="X22" s="10">
        <f>IF(預測IC!X22&gt;預測IC!X$25,1,0)</f>
        <v>1</v>
      </c>
      <c r="Y22" s="10">
        <f>IF(預測IC!Y22&gt;預測IC!Y$25,1,0)</f>
        <v>0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0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1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1</v>
      </c>
      <c r="AJ22" s="10">
        <f>IF(預測IC!AJ22&gt;預測IC!AJ$25,1,0)</f>
        <v>0</v>
      </c>
      <c r="AK22" s="10">
        <f>IF(預測IC!AK22&gt;預測IC!AK$25,1,0)</f>
        <v>1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0</v>
      </c>
      <c r="AQ22" s="10">
        <f>IF(預測IC!AQ22&gt;預測IC!AQ$25,1,0)</f>
        <v>1</v>
      </c>
      <c r="AR22" s="10">
        <f>IF(預測IC!AR22&gt;預測IC!AR$25,1,0)</f>
        <v>0</v>
      </c>
      <c r="AS22" s="10">
        <f>IF(預測IC!AS22&gt;預測IC!AS$25,1,0)</f>
        <v>0</v>
      </c>
      <c r="AT22" s="10">
        <f>IF(預測IC!AT22&gt;預測IC!AT$25,1,0)</f>
        <v>1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0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0</v>
      </c>
      <c r="BE22" s="10">
        <f>IF(預測IC!BE22&gt;預測IC!BE$25,1,0)</f>
        <v>0</v>
      </c>
      <c r="BF22" s="10">
        <f>IF(預測IC!BF22&gt;預測IC!BF$25,1,0)</f>
        <v>0</v>
      </c>
      <c r="BG22" s="10">
        <f>IF(預測IC!BG22&gt;預測IC!BG$25,1,0)</f>
        <v>1</v>
      </c>
      <c r="BH22" s="10">
        <f>IF(預測IC!BH22&gt;預測IC!BH$25,1,0)</f>
        <v>1</v>
      </c>
      <c r="BI22" s="10">
        <f>IF(預測IC!BI22&gt;預測IC!BI$25,1,0)</f>
        <v>0</v>
      </c>
      <c r="BJ22" s="10">
        <f>IF(預測IC!BJ22&gt;預測IC!BJ$25,1,0)</f>
        <v>1</v>
      </c>
      <c r="BK22" s="10">
        <f>IF(預測IC!BK22&gt;預測IC!BK$25,1,0)</f>
        <v>0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0</v>
      </c>
      <c r="BO22" s="10">
        <f>IF(預測IC!BO22&gt;預測IC!BO$25,1,0)</f>
        <v>1</v>
      </c>
      <c r="BP22" s="10">
        <f>IF(預測IC!BP22&gt;預測IC!BP$25,1,0)</f>
        <v>0</v>
      </c>
      <c r="BQ22" s="10">
        <f>IF(預測IC!BQ22&gt;預測IC!BQ$25,1,0)</f>
        <v>1</v>
      </c>
      <c r="BR22" s="10">
        <f>IF(預測IC!BR22&gt;預測IC!BR$25,1,0)</f>
        <v>0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0</v>
      </c>
      <c r="BV22" s="10">
        <f>IF(預測IC!BV22&gt;預測IC!BV$25,1,0)</f>
        <v>0</v>
      </c>
      <c r="BW22" s="10">
        <f>IF(預測IC!BW22&gt;預測IC!BW$25,1,0)</f>
        <v>0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1</v>
      </c>
      <c r="CA22" s="10">
        <f>IF(預測IC!CA22&gt;預測IC!CA$25,1,0)</f>
        <v>1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1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1</v>
      </c>
      <c r="CJ22" s="10">
        <f>IF(預測IC!CJ22&gt;預測IC!CJ$25,1,0)</f>
        <v>0</v>
      </c>
      <c r="CK22" s="10">
        <f>IF(預測IC!CK22&gt;預測IC!CK$25,1,0)</f>
        <v>0</v>
      </c>
      <c r="CL22" s="10">
        <f>IF(預測IC!CL22&gt;預測IC!CL$25,1,0)</f>
        <v>0</v>
      </c>
      <c r="CM22" s="10">
        <f>IF(預測IC!CM22&gt;預測IC!CM$25,1,0)</f>
        <v>1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0</v>
      </c>
      <c r="CR22" s="10">
        <f>IF(預測IC!CR22&gt;預測IC!CR$25,1,0)</f>
        <v>0</v>
      </c>
      <c r="CS22" s="10">
        <f>IF(預測IC!CS22&gt;預測IC!CS$25,1,0)</f>
        <v>0</v>
      </c>
      <c r="CT22" s="10">
        <f>IF(預測IC!CT22&gt;預測IC!CT$25,1,0)</f>
        <v>1</v>
      </c>
      <c r="CU22" s="10">
        <f>IF(預測IC!CU22&gt;預測IC!CU$25,1,0)</f>
        <v>1</v>
      </c>
      <c r="CV22" s="10">
        <f>IF(預測IC!CV22&gt;預測IC!CV$25,1,0)</f>
        <v>1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0</v>
      </c>
      <c r="DN22" s="10">
        <f>IF(預測IC!DN22&gt;預測IC!DN$25,1,0)</f>
        <v>1</v>
      </c>
      <c r="DO22" s="10">
        <f>IF(預測IC!DO22&gt;預測IC!DO$25,1,0)</f>
        <v>1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0</v>
      </c>
      <c r="DT22" s="10">
        <f>IF(預測IC!DT22&gt;預測IC!DT$25,1,0)</f>
        <v>0</v>
      </c>
      <c r="DU22" s="10">
        <f>IF(預測IC!DU22&gt;預測IC!DU$25,1,0)</f>
        <v>1</v>
      </c>
      <c r="DV22" s="10">
        <f>IF(預測IC!DV22&gt;預測IC!DV$25,1,0)</f>
        <v>0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1</v>
      </c>
      <c r="EA22" s="10">
        <f>IF(預測IC!EA22&gt;預測IC!EA$25,1,0)</f>
        <v>0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1</v>
      </c>
      <c r="EF22" s="10">
        <f>IF(預測IC!EF22&gt;預測IC!EF$25,1,0)</f>
        <v>1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1</v>
      </c>
      <c r="EL22" s="10">
        <f>IF(預測IC!EL22&gt;預測IC!EL$25,1,0)</f>
        <v>0</v>
      </c>
      <c r="EM22" s="6">
        <f t="shared" si="11"/>
        <v>75</v>
      </c>
      <c r="EN22" s="19">
        <f t="shared" si="12"/>
        <v>0.5357142857142857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0</v>
      </c>
      <c r="D23" s="10">
        <f>IF(預測IC!D23&gt;預測IC!D$25,1,0)</f>
        <v>1</v>
      </c>
      <c r="E23" s="10">
        <f>IF(預測IC!E23&gt;預測IC!E$25,1,0)</f>
        <v>1</v>
      </c>
      <c r="F23" s="10">
        <f>IF(預測IC!F23&gt;預測IC!F$25,1,0)</f>
        <v>1</v>
      </c>
      <c r="G23" s="10">
        <f>IF(預測IC!G23&gt;預測IC!G$25,1,0)</f>
        <v>1</v>
      </c>
      <c r="H23" s="10">
        <f>IF(預測IC!H23&gt;預測IC!H$25,1,0)</f>
        <v>0</v>
      </c>
      <c r="I23" s="10">
        <f>IF(預測IC!I23&gt;預測IC!I$25,1,0)</f>
        <v>0</v>
      </c>
      <c r="J23" s="10">
        <f>IF(預測IC!J23&gt;預測IC!J$25,1,0)</f>
        <v>1</v>
      </c>
      <c r="K23" s="10">
        <f>IF(預測IC!K23&gt;預測IC!K$25,1,0)</f>
        <v>0</v>
      </c>
      <c r="L23" s="10">
        <f>IF(預測IC!L23&gt;預測IC!L$25,1,0)</f>
        <v>1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0</v>
      </c>
      <c r="P23" s="10">
        <f>IF(預測IC!P23&gt;預測IC!P$25,1,0)</f>
        <v>1</v>
      </c>
      <c r="Q23" s="10">
        <f>IF(預測IC!Q23&gt;預測IC!Q$25,1,0)</f>
        <v>0</v>
      </c>
      <c r="R23" s="10">
        <f>IF(預測IC!R23&gt;預測IC!R$25,1,0)</f>
        <v>0</v>
      </c>
      <c r="S23" s="10">
        <f>IF(預測IC!S23&gt;預測IC!S$25,1,0)</f>
        <v>1</v>
      </c>
      <c r="T23" s="10">
        <f>IF(預測IC!T23&gt;預測IC!T$25,1,0)</f>
        <v>0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0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1</v>
      </c>
      <c r="AA23" s="10">
        <f>IF(預測IC!AA23&gt;預測IC!AA$25,1,0)</f>
        <v>1</v>
      </c>
      <c r="AB23" s="10">
        <f>IF(預測IC!AB23&gt;預測IC!AB$25,1,0)</f>
        <v>1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1</v>
      </c>
      <c r="AG23" s="10">
        <f>IF(預測IC!AG23&gt;預測IC!AG$25,1,0)</f>
        <v>0</v>
      </c>
      <c r="AH23" s="10">
        <f>IF(預測IC!AH23&gt;預測IC!AH$25,1,0)</f>
        <v>1</v>
      </c>
      <c r="AI23" s="10">
        <f>IF(預測IC!AI23&gt;預測IC!AI$25,1,0)</f>
        <v>1</v>
      </c>
      <c r="AJ23" s="10">
        <f>IF(預測IC!AJ23&gt;預測IC!AJ$25,1,0)</f>
        <v>1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1</v>
      </c>
      <c r="AP23" s="10">
        <f>IF(預測IC!AP23&gt;預測IC!AP$25,1,0)</f>
        <v>0</v>
      </c>
      <c r="AQ23" s="10">
        <f>IF(預測IC!AQ23&gt;預測IC!AQ$25,1,0)</f>
        <v>1</v>
      </c>
      <c r="AR23" s="10">
        <f>IF(預測IC!AR23&gt;預測IC!AR$25,1,0)</f>
        <v>0</v>
      </c>
      <c r="AS23" s="10">
        <f>IF(預測IC!AS23&gt;預測IC!AS$25,1,0)</f>
        <v>0</v>
      </c>
      <c r="AT23" s="10">
        <f>IF(預測IC!AT23&gt;預測IC!AT$25,1,0)</f>
        <v>1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1</v>
      </c>
      <c r="AY23" s="10">
        <f>IF(預測IC!AY23&gt;預測IC!AY$25,1,0)</f>
        <v>0</v>
      </c>
      <c r="AZ23" s="10">
        <f>IF(預測IC!AZ23&gt;預測IC!AZ$25,1,0)</f>
        <v>0</v>
      </c>
      <c r="BA23" s="10">
        <f>IF(預測IC!BA23&gt;預測IC!BA$25,1,0)</f>
        <v>1</v>
      </c>
      <c r="BB23" s="10">
        <f>IF(預測IC!BB23&gt;預測IC!BB$25,1,0)</f>
        <v>0</v>
      </c>
      <c r="BC23" s="10">
        <f>IF(預測IC!BC23&gt;預測IC!BC$25,1,0)</f>
        <v>0</v>
      </c>
      <c r="BD23" s="10">
        <f>IF(預測IC!BD23&gt;預測IC!BD$25,1,0)</f>
        <v>0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1</v>
      </c>
      <c r="BH23" s="10">
        <f>IF(預測IC!BH23&gt;預測IC!BH$25,1,0)</f>
        <v>1</v>
      </c>
      <c r="BI23" s="10">
        <f>IF(預測IC!BI23&gt;預測IC!BI$25,1,0)</f>
        <v>1</v>
      </c>
      <c r="BJ23" s="10">
        <f>IF(預測IC!BJ23&gt;預測IC!BJ$25,1,0)</f>
        <v>1</v>
      </c>
      <c r="BK23" s="10">
        <f>IF(預測IC!BK23&gt;預測IC!BK$25,1,0)</f>
        <v>0</v>
      </c>
      <c r="BL23" s="10">
        <f>IF(預測IC!BL23&gt;預測IC!BL$25,1,0)</f>
        <v>0</v>
      </c>
      <c r="BM23" s="10">
        <f>IF(預測IC!BM23&gt;預測IC!BM$25,1,0)</f>
        <v>1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0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0</v>
      </c>
      <c r="BV23" s="10">
        <f>IF(預測IC!BV23&gt;預測IC!BV$25,1,0)</f>
        <v>0</v>
      </c>
      <c r="BW23" s="10">
        <f>IF(預測IC!BW23&gt;預測IC!BW$25,1,0)</f>
        <v>0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1</v>
      </c>
      <c r="CA23" s="10">
        <f>IF(預測IC!CA23&gt;預測IC!CA$25,1,0)</f>
        <v>1</v>
      </c>
      <c r="CB23" s="10">
        <f>IF(預測IC!CB23&gt;預測IC!CB$25,1,0)</f>
        <v>1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0</v>
      </c>
      <c r="CF23" s="10">
        <f>IF(預測IC!CF23&gt;預測IC!CF$25,1,0)</f>
        <v>1</v>
      </c>
      <c r="CG23" s="10">
        <f>IF(預測IC!CG23&gt;預測IC!CG$25,1,0)</f>
        <v>1</v>
      </c>
      <c r="CH23" s="10">
        <f>IF(預測IC!CH23&gt;預測IC!CH$25,1,0)</f>
        <v>0</v>
      </c>
      <c r="CI23" s="10">
        <f>IF(預測IC!CI23&gt;預測IC!CI$25,1,0)</f>
        <v>1</v>
      </c>
      <c r="CJ23" s="10">
        <f>IF(預測IC!CJ23&gt;預測IC!CJ$25,1,0)</f>
        <v>0</v>
      </c>
      <c r="CK23" s="10">
        <f>IF(預測IC!CK23&gt;預測IC!CK$25,1,0)</f>
        <v>0</v>
      </c>
      <c r="CL23" s="10">
        <f>IF(預測IC!CL23&gt;預測IC!CL$25,1,0)</f>
        <v>0</v>
      </c>
      <c r="CM23" s="10">
        <f>IF(預測IC!CM23&gt;預測IC!CM$25,1,0)</f>
        <v>1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0</v>
      </c>
      <c r="CR23" s="10">
        <f>IF(預測IC!CR23&gt;預測IC!CR$25,1,0)</f>
        <v>0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1</v>
      </c>
      <c r="CV23" s="10">
        <f>IF(預測IC!CV23&gt;預測IC!CV$25,1,0)</f>
        <v>1</v>
      </c>
      <c r="CW23" s="10">
        <f>IF(預測IC!CW23&gt;預測IC!CW$25,1,0)</f>
        <v>1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1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0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0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1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0</v>
      </c>
      <c r="DS23" s="10">
        <f>IF(預測IC!DS23&gt;預測IC!DS$25,1,0)</f>
        <v>0</v>
      </c>
      <c r="DT23" s="10">
        <f>IF(預測IC!DT23&gt;預測IC!DT$25,1,0)</f>
        <v>0</v>
      </c>
      <c r="DU23" s="10">
        <f>IF(預測IC!DU23&gt;預測IC!DU$25,1,0)</f>
        <v>1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1</v>
      </c>
      <c r="EA23" s="10">
        <f>IF(預測IC!EA23&gt;預測IC!EA$25,1,0)</f>
        <v>0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1</v>
      </c>
      <c r="EF23" s="10">
        <f>IF(預測IC!EF23&gt;預測IC!EF$25,1,0)</f>
        <v>1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1</v>
      </c>
      <c r="EL23" s="10">
        <f>IF(預測IC!EL23&gt;預測IC!EL$25,1,0)</f>
        <v>0</v>
      </c>
      <c r="EM23" s="6">
        <f t="shared" si="11"/>
        <v>73</v>
      </c>
      <c r="EN23" s="19">
        <f t="shared" si="12"/>
        <v>0.52142857142857146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0</v>
      </c>
      <c r="D24" s="10">
        <f>IF(預測IC!D24&gt;預測IC!D$25,1,0)</f>
        <v>1</v>
      </c>
      <c r="E24" s="10">
        <f>IF(預測IC!E24&gt;預測IC!E$25,1,0)</f>
        <v>1</v>
      </c>
      <c r="F24" s="10">
        <f>IF(預測IC!F24&gt;預測IC!F$25,1,0)</f>
        <v>1</v>
      </c>
      <c r="G24" s="10">
        <f>IF(預測IC!G24&gt;預測IC!G$25,1,0)</f>
        <v>1</v>
      </c>
      <c r="H24" s="10">
        <f>IF(預測IC!H24&gt;預測IC!H$25,1,0)</f>
        <v>1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1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0</v>
      </c>
      <c r="S24" s="10">
        <f>IF(預測IC!S24&gt;預測IC!S$25,1,0)</f>
        <v>1</v>
      </c>
      <c r="T24" s="10">
        <f>IF(預測IC!T24&gt;預測IC!T$25,1,0)</f>
        <v>0</v>
      </c>
      <c r="U24" s="10">
        <f>IF(預測IC!U24&gt;預測IC!U$25,1,0)</f>
        <v>0</v>
      </c>
      <c r="V24" s="10">
        <f>IF(預測IC!V24&gt;預測IC!V$25,1,0)</f>
        <v>1</v>
      </c>
      <c r="W24" s="10">
        <f>IF(預測IC!W24&gt;預測IC!W$25,1,0)</f>
        <v>0</v>
      </c>
      <c r="X24" s="10">
        <f>IF(預測IC!X24&gt;預測IC!X$25,1,0)</f>
        <v>1</v>
      </c>
      <c r="Y24" s="10">
        <f>IF(預測IC!Y24&gt;預測IC!Y$25,1,0)</f>
        <v>1</v>
      </c>
      <c r="Z24" s="10">
        <f>IF(預測IC!Z24&gt;預測IC!Z$25,1,0)</f>
        <v>1</v>
      </c>
      <c r="AA24" s="10">
        <f>IF(預測IC!AA24&gt;預測IC!AA$25,1,0)</f>
        <v>1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1</v>
      </c>
      <c r="AF24" s="10">
        <f>IF(預測IC!AF24&gt;預測IC!AF$25,1,0)</f>
        <v>1</v>
      </c>
      <c r="AG24" s="10">
        <f>IF(預測IC!AG24&gt;預測IC!AG$25,1,0)</f>
        <v>0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0</v>
      </c>
      <c r="AK24" s="10">
        <f>IF(預測IC!AK24&gt;預測IC!AK$25,1,0)</f>
        <v>1</v>
      </c>
      <c r="AL24" s="10">
        <f>IF(預測IC!AL24&gt;預測IC!AL$25,1,0)</f>
        <v>0</v>
      </c>
      <c r="AM24" s="10">
        <f>IF(預測IC!AM24&gt;預測IC!AM$25,1,0)</f>
        <v>0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0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0</v>
      </c>
      <c r="AY24" s="10">
        <f>IF(預測IC!AY24&gt;預測IC!AY$25,1,0)</f>
        <v>0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0</v>
      </c>
      <c r="BC24" s="10">
        <f>IF(預測IC!BC24&gt;預測IC!BC$25,1,0)</f>
        <v>0</v>
      </c>
      <c r="BD24" s="10">
        <f>IF(預測IC!BD24&gt;預測IC!BD$25,1,0)</f>
        <v>1</v>
      </c>
      <c r="BE24" s="10">
        <f>IF(預測IC!BE24&gt;預測IC!BE$25,1,0)</f>
        <v>0</v>
      </c>
      <c r="BF24" s="10">
        <f>IF(預測IC!BF24&gt;預測IC!BF$25,1,0)</f>
        <v>0</v>
      </c>
      <c r="BG24" s="10">
        <f>IF(預測IC!BG24&gt;預測IC!BG$25,1,0)</f>
        <v>1</v>
      </c>
      <c r="BH24" s="10">
        <f>IF(預測IC!BH24&gt;預測IC!BH$25,1,0)</f>
        <v>1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0</v>
      </c>
      <c r="BL24" s="10">
        <f>IF(預測IC!BL24&gt;預測IC!BL$25,1,0)</f>
        <v>0</v>
      </c>
      <c r="BM24" s="10">
        <f>IF(預測IC!BM24&gt;預測IC!BM$25,1,0)</f>
        <v>0</v>
      </c>
      <c r="BN24" s="10">
        <f>IF(預測IC!BN24&gt;預測IC!BN$25,1,0)</f>
        <v>0</v>
      </c>
      <c r="BO24" s="10">
        <f>IF(預測IC!BO24&gt;預測IC!BO$25,1,0)</f>
        <v>1</v>
      </c>
      <c r="BP24" s="10">
        <f>IF(預測IC!BP24&gt;預測IC!BP$25,1,0)</f>
        <v>1</v>
      </c>
      <c r="BQ24" s="10">
        <f>IF(預測IC!BQ24&gt;預測IC!BQ$25,1,0)</f>
        <v>0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0</v>
      </c>
      <c r="BV24" s="10">
        <f>IF(預測IC!BV24&gt;預測IC!BV$25,1,0)</f>
        <v>0</v>
      </c>
      <c r="BW24" s="10">
        <f>IF(預測IC!BW24&gt;預測IC!BW$25,1,0)</f>
        <v>0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1</v>
      </c>
      <c r="CA24" s="10">
        <f>IF(預測IC!CA24&gt;預測IC!CA$25,1,0)</f>
        <v>1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0</v>
      </c>
      <c r="CF24" s="10">
        <f>IF(預測IC!CF24&gt;預測IC!CF$25,1,0)</f>
        <v>1</v>
      </c>
      <c r="CG24" s="10">
        <f>IF(預測IC!CG24&gt;預測IC!CG$25,1,0)</f>
        <v>1</v>
      </c>
      <c r="CH24" s="10">
        <f>IF(預測IC!CH24&gt;預測IC!CH$25,1,0)</f>
        <v>0</v>
      </c>
      <c r="CI24" s="10">
        <f>IF(預測IC!CI24&gt;預測IC!CI$25,1,0)</f>
        <v>1</v>
      </c>
      <c r="CJ24" s="10">
        <f>IF(預測IC!CJ24&gt;預測IC!CJ$25,1,0)</f>
        <v>0</v>
      </c>
      <c r="CK24" s="10">
        <f>IF(預測IC!CK24&gt;預測IC!CK$25,1,0)</f>
        <v>0</v>
      </c>
      <c r="CL24" s="10">
        <f>IF(預測IC!CL24&gt;預測IC!CL$25,1,0)</f>
        <v>0</v>
      </c>
      <c r="CM24" s="10">
        <f>IF(預測IC!CM24&gt;預測IC!CM$25,1,0)</f>
        <v>1</v>
      </c>
      <c r="CN24" s="10">
        <f>IF(預測IC!CN24&gt;預測IC!CN$25,1,0)</f>
        <v>0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0</v>
      </c>
      <c r="CR24" s="10">
        <f>IF(預測IC!CR24&gt;預測IC!CR$25,1,0)</f>
        <v>0</v>
      </c>
      <c r="CS24" s="10">
        <f>IF(預測IC!CS24&gt;預測IC!CS$25,1,0)</f>
        <v>0</v>
      </c>
      <c r="CT24" s="10">
        <f>IF(預測IC!CT24&gt;預測IC!CT$25,1,0)</f>
        <v>1</v>
      </c>
      <c r="CU24" s="10">
        <f>IF(預測IC!CU24&gt;預測IC!CU$25,1,0)</f>
        <v>0</v>
      </c>
      <c r="CV24" s="10">
        <f>IF(預測IC!CV24&gt;預測IC!CV$25,1,0)</f>
        <v>1</v>
      </c>
      <c r="CW24" s="10">
        <f>IF(預測IC!CW24&gt;預測IC!CW$25,1,0)</f>
        <v>1</v>
      </c>
      <c r="CX24" s="10">
        <f>IF(預測IC!CX24&gt;預測IC!CX$25,1,0)</f>
        <v>1</v>
      </c>
      <c r="CY24" s="10">
        <f>IF(預測IC!CY24&gt;預測IC!CY$25,1,0)</f>
        <v>1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0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1</v>
      </c>
      <c r="DJ24" s="10">
        <f>IF(預測IC!DJ24&gt;預測IC!DJ$25,1,0)</f>
        <v>1</v>
      </c>
      <c r="DK24" s="10">
        <f>IF(預測IC!DK24&gt;預測IC!DK$25,1,0)</f>
        <v>0</v>
      </c>
      <c r="DL24" s="10">
        <f>IF(預測IC!DL24&gt;預測IC!DL$25,1,0)</f>
        <v>1</v>
      </c>
      <c r="DM24" s="10">
        <f>IF(預測IC!DM24&gt;預測IC!DM$25,1,0)</f>
        <v>1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1</v>
      </c>
      <c r="DV24" s="10">
        <f>IF(預測IC!DV24&gt;預測IC!DV$25,1,0)</f>
        <v>1</v>
      </c>
      <c r="DW24" s="10">
        <f>IF(預測IC!DW24&gt;預測IC!DW$25,1,0)</f>
        <v>0</v>
      </c>
      <c r="DX24" s="10">
        <f>IF(預測IC!DX24&gt;預測IC!DX$25,1,0)</f>
        <v>0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0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0</v>
      </c>
      <c r="EK24" s="10">
        <f>IF(預測IC!EK24&gt;預測IC!EK$25,1,0)</f>
        <v>1</v>
      </c>
      <c r="EL24" s="10">
        <f>IF(預測IC!EL24&gt;預測IC!EL$25,1,0)</f>
        <v>0</v>
      </c>
      <c r="EM24" s="6">
        <f t="shared" si="11"/>
        <v>71</v>
      </c>
      <c r="EN24" s="19">
        <f t="shared" si="12"/>
        <v>0.50714285714285712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R8" zoomScale="130" zoomScaleNormal="130" workbookViewId="0">
      <selection activeCell="C19" sqref="C19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0.11090887899948915</v>
      </c>
      <c r="E12" s="2">
        <f>D12+預測IC!E12</f>
        <v>0.14917066042834051</v>
      </c>
      <c r="F12" s="2">
        <f>E12+預測IC!F12</f>
        <v>0.14182555098823554</v>
      </c>
      <c r="G12" s="2">
        <f>F12+預測IC!G12</f>
        <v>0.156982486884225</v>
      </c>
      <c r="H12" s="2">
        <f>G12+預測IC!H12</f>
        <v>0.20004549902940233</v>
      </c>
      <c r="I12" s="2">
        <f>H12+預測IC!I12</f>
        <v>0.22504343019625567</v>
      </c>
      <c r="J12" s="2">
        <f>I12+預測IC!J12</f>
        <v>0.22621734698547435</v>
      </c>
      <c r="K12" s="2">
        <f>J12+預測IC!K12</f>
        <v>0.25424277961452257</v>
      </c>
      <c r="L12" s="2">
        <f>K12+預測IC!L12</f>
        <v>0.26957742506002125</v>
      </c>
      <c r="M12" s="2">
        <f>L12+預測IC!M12</f>
        <v>0.26589002965842218</v>
      </c>
      <c r="N12" s="2">
        <f>M12+預測IC!N12</f>
        <v>0.31052742433342584</v>
      </c>
      <c r="O12" s="2">
        <f>N12+預測IC!O12</f>
        <v>0.33679026326778655</v>
      </c>
      <c r="P12" s="2">
        <f>O12+預測IC!P12</f>
        <v>0.33504049729685775</v>
      </c>
      <c r="Q12" s="2">
        <f>P12+預測IC!Q12</f>
        <v>0.35961906577769542</v>
      </c>
      <c r="R12" s="2">
        <f>Q12+預測IC!R12</f>
        <v>0.36134419311854937</v>
      </c>
      <c r="S12" s="2">
        <f>R12+預測IC!S12</f>
        <v>0.40182604910184783</v>
      </c>
      <c r="T12" s="2">
        <f>S12+預測IC!T12</f>
        <v>0.3983285640124189</v>
      </c>
      <c r="U12" s="2">
        <f>T12+預測IC!U12</f>
        <v>0.40254533175073676</v>
      </c>
      <c r="V12" s="2">
        <f>U12+預測IC!V12</f>
        <v>0.40509918481105661</v>
      </c>
      <c r="W12" s="2">
        <f>V12+預測IC!W12</f>
        <v>0.37199097021930638</v>
      </c>
      <c r="X12" s="2">
        <f>W12+預測IC!X12</f>
        <v>0.4182012107295911</v>
      </c>
      <c r="Y12" s="2">
        <f>X12+預測IC!Y12</f>
        <v>0.38572283014333347</v>
      </c>
      <c r="Z12" s="2">
        <f>Y12+預測IC!Z12</f>
        <v>0.43508163746790229</v>
      </c>
      <c r="AA12" s="2">
        <f>Z12+預測IC!AA12</f>
        <v>0.46694793430918496</v>
      </c>
      <c r="AB12" s="2">
        <f>AA12+預測IC!AB12</f>
        <v>0.46069736142543721</v>
      </c>
      <c r="AC12" s="2">
        <f>AB12+預測IC!AC12</f>
        <v>0.41062325673107358</v>
      </c>
      <c r="AD12" s="2">
        <f>AC12+預測IC!AD12</f>
        <v>0.42611761781679369</v>
      </c>
      <c r="AE12" s="2">
        <f>AD12+預測IC!AE12</f>
        <v>0.38811400871441004</v>
      </c>
      <c r="AF12" s="2">
        <f>AE12+預測IC!AF12</f>
        <v>0.42251911982374357</v>
      </c>
      <c r="AG12" s="2">
        <f>AF12+預測IC!AG12</f>
        <v>0.41560042525636964</v>
      </c>
      <c r="AH12" s="2">
        <f>AG12+預測IC!AH12</f>
        <v>0.44000480990321883</v>
      </c>
      <c r="AI12" s="2">
        <f>AH12+預測IC!AI12</f>
        <v>0.45616393267645</v>
      </c>
      <c r="AJ12" s="2">
        <f>AI12+預測IC!AJ12</f>
        <v>0.47506642002312793</v>
      </c>
      <c r="AK12" s="2">
        <f>AJ12+預測IC!AK12</f>
        <v>0.51618111327591687</v>
      </c>
      <c r="AL12" s="2">
        <f>AK12+預測IC!AL12</f>
        <v>0.52580510315069495</v>
      </c>
      <c r="AM12" s="2">
        <f>AL12+預測IC!AM12</f>
        <v>0.5512410985702284</v>
      </c>
      <c r="AN12" s="2">
        <f>AM12+預測IC!AN12</f>
        <v>0.61109328977347832</v>
      </c>
      <c r="AO12" s="2">
        <f>AN12+預測IC!AO12</f>
        <v>0.60946114637172599</v>
      </c>
      <c r="AP12" s="2">
        <f>AO12+預測IC!AP12</f>
        <v>0.58792159810981082</v>
      </c>
      <c r="AQ12" s="2">
        <f>AP12+預測IC!AQ12</f>
        <v>0.58066088514107672</v>
      </c>
      <c r="AR12" s="2">
        <f>AQ12+預測IC!AR12</f>
        <v>0.58766267546609319</v>
      </c>
      <c r="AS12" s="2">
        <f>AR12+預測IC!AS12</f>
        <v>0.61670127877332237</v>
      </c>
      <c r="AT12" s="2">
        <f>AS12+預測IC!AT12</f>
        <v>0.68851664807145696</v>
      </c>
      <c r="AU12" s="2">
        <f>AT12+預測IC!AU12</f>
        <v>0.75202617811319727</v>
      </c>
      <c r="AV12" s="2">
        <f>AU12+預測IC!AV12</f>
        <v>0.72719515055428152</v>
      </c>
      <c r="AW12" s="2">
        <f>AV12+預測IC!AW12</f>
        <v>0.73896952371447311</v>
      </c>
      <c r="AX12" s="2">
        <f>AW12+預測IC!AX12</f>
        <v>0.68317920982443814</v>
      </c>
      <c r="AY12" s="2">
        <f>AX12+預測IC!AY12</f>
        <v>0.69321316285211443</v>
      </c>
      <c r="AZ12" s="2">
        <f>AY12+預測IC!AZ12</f>
        <v>0.6965716240441916</v>
      </c>
      <c r="BA12" s="2">
        <f>AZ12+預測IC!BA12</f>
        <v>0.70147588640225078</v>
      </c>
      <c r="BB12" s="2">
        <f>BA12+預測IC!BB12</f>
        <v>0.72507951630703826</v>
      </c>
      <c r="BC12" s="2">
        <f>BB12+預測IC!BC12</f>
        <v>0.728862836697585</v>
      </c>
      <c r="BD12" s="2">
        <f>BC12+預測IC!BD12</f>
        <v>0.73256089607877062</v>
      </c>
      <c r="BE12" s="2">
        <f>BD12+預測IC!BE12</f>
        <v>0.68642315461202352</v>
      </c>
      <c r="BF12" s="2">
        <f>BE12+預測IC!BF12</f>
        <v>0.67677736762044127</v>
      </c>
      <c r="BG12" s="2">
        <f>BF12+預測IC!BG12</f>
        <v>0.66600276784878343</v>
      </c>
      <c r="BH12" s="2">
        <f>BG12+預測IC!BH12</f>
        <v>0.70042498846463686</v>
      </c>
      <c r="BI12" s="2">
        <f>BH12+預測IC!BI12</f>
        <v>0.75857594939941131</v>
      </c>
      <c r="BJ12" s="2">
        <f>BI12+預測IC!BJ12</f>
        <v>0.77754930228912222</v>
      </c>
      <c r="BK12" s="2">
        <f>BJ12+預測IC!BK12</f>
        <v>0.75246798807859638</v>
      </c>
      <c r="BL12" s="2">
        <f>BK12+預測IC!BL12</f>
        <v>0.76299381247018028</v>
      </c>
      <c r="BM12" s="2">
        <f>BL12+預測IC!BM12</f>
        <v>0.72269221285138019</v>
      </c>
      <c r="BN12" s="2">
        <f>BM12+預測IC!BN12</f>
        <v>0.72681009753401549</v>
      </c>
      <c r="BO12" s="2">
        <f>BN12+預測IC!BO12</f>
        <v>0.7191402129060942</v>
      </c>
      <c r="BP12" s="2">
        <f>BO12+預測IC!BP12</f>
        <v>0.74395038136231306</v>
      </c>
      <c r="BQ12" s="2">
        <f>BP12+預測IC!BQ12</f>
        <v>0.74960520732213265</v>
      </c>
      <c r="BR12" s="2">
        <f>BQ12+預測IC!BR12</f>
        <v>0.7245587085953421</v>
      </c>
      <c r="BS12" s="2">
        <f>BR12+預測IC!BS12</f>
        <v>0.72613398268455454</v>
      </c>
      <c r="BT12" s="2">
        <f>BS12+預測IC!BT12</f>
        <v>0.73494749375692037</v>
      </c>
      <c r="BU12" s="2">
        <f>BT12+預測IC!BU12</f>
        <v>0.69953445293162864</v>
      </c>
      <c r="BV12" s="2">
        <f>BU12+預測IC!BV12</f>
        <v>0.72499146976427076</v>
      </c>
      <c r="BW12" s="2">
        <f>BV12+預測IC!BW12</f>
        <v>0.67259957173922125</v>
      </c>
      <c r="BX12" s="2">
        <f>BW12+預測IC!BX12</f>
        <v>0.67979616411623423</v>
      </c>
      <c r="BY12" s="2">
        <f>BX12+預測IC!BY12</f>
        <v>0.62269334780882524</v>
      </c>
      <c r="BZ12" s="2">
        <f>BY12+預測IC!BZ12</f>
        <v>0.62974336453779189</v>
      </c>
      <c r="CA12" s="2">
        <f>BZ12+預測IC!CA12</f>
        <v>0.62559798048906123</v>
      </c>
      <c r="CB12" s="2">
        <f>CA12+預測IC!CB12</f>
        <v>0.62803678180447575</v>
      </c>
      <c r="CC12" s="2">
        <f>CB12+預測IC!CC12</f>
        <v>0.68290920500941288</v>
      </c>
      <c r="CD12" s="2">
        <f>CC12+預測IC!CD12</f>
        <v>0.72392571173297848</v>
      </c>
      <c r="CE12" s="2">
        <f>CD12+預測IC!CE12</f>
        <v>0.86534226106632084</v>
      </c>
      <c r="CF12" s="2">
        <f>CE12+預測IC!CF12</f>
        <v>0.89752404952195752</v>
      </c>
      <c r="CG12" s="2">
        <f>CF12+預測IC!CG12</f>
        <v>0.94718539545633695</v>
      </c>
      <c r="CH12" s="2">
        <f>CG12+預測IC!CH12</f>
        <v>1.0150180675968572</v>
      </c>
      <c r="CI12" s="2">
        <f>CH12+預測IC!CI12</f>
        <v>1.0443217050775839</v>
      </c>
      <c r="CJ12" s="2">
        <f>CI12+預測IC!CJ12</f>
        <v>1.0548022157429551</v>
      </c>
      <c r="CK12" s="2">
        <f>CJ12+預測IC!CK12</f>
        <v>0.99455863205580541</v>
      </c>
      <c r="CL12" s="2">
        <f>CK12+預測IC!CL12</f>
        <v>1.0305056276123088</v>
      </c>
      <c r="CM12" s="2">
        <f>CL12+預測IC!CM12</f>
        <v>1.0156685219550852</v>
      </c>
      <c r="CN12" s="2">
        <f>CM12+預測IC!CN12</f>
        <v>0.98318387696266951</v>
      </c>
      <c r="CO12" s="2">
        <f>CN12+預測IC!CO12</f>
        <v>0.97676492562453787</v>
      </c>
      <c r="CP12" s="2">
        <f>CO12+預測IC!CP12</f>
        <v>0.96822271702769869</v>
      </c>
      <c r="CQ12" s="2">
        <f>CP12+預測IC!CQ12</f>
        <v>0.91101186055029804</v>
      </c>
      <c r="CR12" s="2">
        <f>CQ12+預測IC!CR12</f>
        <v>0.89024461441361458</v>
      </c>
      <c r="CS12" s="2">
        <f>CR12+預測IC!CS12</f>
        <v>0.8705472840675148</v>
      </c>
      <c r="CT12" s="2">
        <f>CS12+預測IC!CT12</f>
        <v>0.87948730577927925</v>
      </c>
      <c r="CU12" s="2">
        <f>CT12+預測IC!CU12</f>
        <v>0.9032901487560675</v>
      </c>
      <c r="CV12" s="2">
        <f>CU12+預測IC!CV12</f>
        <v>0.92203456032702436</v>
      </c>
      <c r="CW12" s="2">
        <f>CV12+預測IC!CW12</f>
        <v>0.89608749007632316</v>
      </c>
      <c r="CX12" s="2">
        <f>CW12+預測IC!CX12</f>
        <v>0.96635964634416882</v>
      </c>
      <c r="CY12" s="2">
        <f>CX12+預測IC!CY12</f>
        <v>0.95850795017783219</v>
      </c>
      <c r="CZ12" s="2">
        <f>CY12+預測IC!CZ12</f>
        <v>1.0468690172298181</v>
      </c>
      <c r="DA12" s="2">
        <f>CZ12+預測IC!DA12</f>
        <v>1.0772416049528861</v>
      </c>
      <c r="DB12" s="2">
        <f>DA12+預測IC!DB12</f>
        <v>1.154146806820771</v>
      </c>
      <c r="DC12" s="2">
        <f>DB12+預測IC!DC12</f>
        <v>1.1800697387654435</v>
      </c>
      <c r="DD12" s="2">
        <f>DC12+預測IC!DD12</f>
        <v>1.1641985936709205</v>
      </c>
      <c r="DE12" s="2">
        <f>DD12+預測IC!DE12</f>
        <v>1.1445340494054064</v>
      </c>
      <c r="DF12" s="2">
        <f>DE12+預測IC!DF12</f>
        <v>1.1934383255776926</v>
      </c>
      <c r="DG12" s="2">
        <f>DF12+預測IC!DG12</f>
        <v>1.1497513497364702</v>
      </c>
      <c r="DH12" s="2">
        <f>DG12+預測IC!DH12</f>
        <v>1.1822147819524547</v>
      </c>
      <c r="DI12" s="2">
        <f>DH12+預測IC!DI12</f>
        <v>1.1623910675220464</v>
      </c>
      <c r="DJ12" s="2">
        <f>DI12+預測IC!DJ12</f>
        <v>1.1834992524125281</v>
      </c>
      <c r="DK12" s="2">
        <f>DJ12+預測IC!DK12</f>
        <v>1.1493583519052568</v>
      </c>
      <c r="DL12" s="2">
        <f>DK12+預測IC!DL12</f>
        <v>1.1499017589403624</v>
      </c>
      <c r="DM12" s="2">
        <f>DL12+預測IC!DM12</f>
        <v>1.1718865368170184</v>
      </c>
      <c r="DN12" s="2">
        <f>DM12+預測IC!DN12</f>
        <v>1.1618733258613823</v>
      </c>
      <c r="DO12" s="2">
        <f>DN12+預測IC!DO12</f>
        <v>1.1384976818564536</v>
      </c>
      <c r="DP12" s="2">
        <f>DO12+預測IC!DP12</f>
        <v>1.1744133228061504</v>
      </c>
      <c r="DQ12" s="2">
        <f>DP12+預測IC!DQ12</f>
        <v>1.1407752046935573</v>
      </c>
      <c r="DR12" s="2">
        <f>DQ12+預測IC!DR12</f>
        <v>1.1446414850862519</v>
      </c>
      <c r="DS12" s="2">
        <f>DR12+預測IC!DS12</f>
        <v>1.102120542625362</v>
      </c>
      <c r="DT12" s="2">
        <f>DS12+預測IC!DT12</f>
        <v>1.1332356538509667</v>
      </c>
      <c r="DU12" s="2">
        <f>DT12+預測IC!DU12</f>
        <v>1.1702314775365517</v>
      </c>
      <c r="DV12" s="2">
        <f>DU12+預測IC!DV12</f>
        <v>1.19070358743062</v>
      </c>
      <c r="DW12" s="2">
        <f>DV12+預測IC!DW12</f>
        <v>1.1938967627131778</v>
      </c>
      <c r="DX12" s="2">
        <f>DW12+預測IC!DX12</f>
        <v>1.2185024284770634</v>
      </c>
      <c r="DY12" s="2">
        <f>DX12+預測IC!DY12</f>
        <v>1.2671410675544625</v>
      </c>
      <c r="DZ12" s="2">
        <f>DY12+預測IC!DZ12</f>
        <v>1.2694990310878722</v>
      </c>
      <c r="EA12" s="2">
        <f>DZ12+預測IC!EA12</f>
        <v>1.3214971693791346</v>
      </c>
      <c r="EB12" s="2">
        <f>EA12+預測IC!EB12</f>
        <v>1.325075032602278</v>
      </c>
      <c r="EC12" s="2">
        <f>EB12+預測IC!EC12</f>
        <v>1.3215318015274615</v>
      </c>
      <c r="ED12" s="2">
        <f>EC12+預測IC!ED12</f>
        <v>1.2601045471061241</v>
      </c>
      <c r="EE12" s="2">
        <f>ED12+預測IC!EE12</f>
        <v>1.2752844027484531</v>
      </c>
      <c r="EF12" s="2">
        <f>EE12+預測IC!EF12</f>
        <v>1.2433633217368618</v>
      </c>
      <c r="EG12" s="2">
        <f>EF12+預測IC!EG12</f>
        <v>1.3411929996102627</v>
      </c>
      <c r="EH12" s="2">
        <f>EG12+預測IC!EH12</f>
        <v>1.360933260989466</v>
      </c>
      <c r="EI12" s="2">
        <f>EH12+預測IC!EI12</f>
        <v>1.351972004316091</v>
      </c>
      <c r="EJ12" s="2">
        <f>EI12+預測IC!EJ12</f>
        <v>1.3158316131227914</v>
      </c>
      <c r="EK12" s="2">
        <f>EJ12+預測IC!EK12</f>
        <v>1.365949626332204</v>
      </c>
      <c r="EL12" s="2">
        <f>EK12+預測IC!EL12</f>
        <v>1.3491769089633541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5.4000687411234302E-2</v>
      </c>
      <c r="E13" s="2">
        <f>D13+預測IC!E13</f>
        <v>0.10321979592665639</v>
      </c>
      <c r="F13" s="2">
        <f>E13+預測IC!F13</f>
        <v>6.5232640498459935E-2</v>
      </c>
      <c r="G13" s="2">
        <f>F13+預測IC!G13</f>
        <v>8.0437343445408441E-2</v>
      </c>
      <c r="H13" s="2">
        <f>G13+預測IC!H13</f>
        <v>0.10968860723706918</v>
      </c>
      <c r="I13" s="2">
        <f>H13+預測IC!I13</f>
        <v>0.13349631715617105</v>
      </c>
      <c r="J13" s="2">
        <f>I13+預測IC!J13</f>
        <v>0.12332039421439836</v>
      </c>
      <c r="K13" s="2">
        <f>J13+預測IC!K13</f>
        <v>0.14111034307826359</v>
      </c>
      <c r="L13" s="2">
        <f>K13+預測IC!L13</f>
        <v>0.14183344663772401</v>
      </c>
      <c r="M13" s="2">
        <f>L13+預測IC!M13</f>
        <v>0.16174865303808214</v>
      </c>
      <c r="N13" s="2">
        <f>M13+預測IC!N13</f>
        <v>0.19793062189282173</v>
      </c>
      <c r="O13" s="2">
        <f>N13+預測IC!O13</f>
        <v>0.21476587249129686</v>
      </c>
      <c r="P13" s="2">
        <f>O13+預測IC!P13</f>
        <v>0.2307215932974678</v>
      </c>
      <c r="Q13" s="2">
        <f>P13+預測IC!Q13</f>
        <v>0.28581958387230216</v>
      </c>
      <c r="R13" s="2">
        <f>Q13+預測IC!R13</f>
        <v>0.28248918356522479</v>
      </c>
      <c r="S13" s="2">
        <f>R13+預測IC!S13</f>
        <v>0.34972915492485934</v>
      </c>
      <c r="T13" s="2">
        <f>S13+預測IC!T13</f>
        <v>0.33638070026132383</v>
      </c>
      <c r="U13" s="2">
        <f>T13+預測IC!U13</f>
        <v>0.37044624752522348</v>
      </c>
      <c r="V13" s="2">
        <f>U13+預測IC!V13</f>
        <v>0.37387853249094483</v>
      </c>
      <c r="W13" s="2">
        <f>V13+預測IC!W13</f>
        <v>0.35628793147176102</v>
      </c>
      <c r="X13" s="2">
        <f>W13+預測IC!X13</f>
        <v>0.41850210259846654</v>
      </c>
      <c r="Y13" s="2">
        <f>X13+預測IC!Y13</f>
        <v>0.37712418725104224</v>
      </c>
      <c r="Z13" s="2">
        <f>Y13+預測IC!Z13</f>
        <v>0.43682161127754976</v>
      </c>
      <c r="AA13" s="2">
        <f>Z13+預測IC!AA13</f>
        <v>0.48751459358508931</v>
      </c>
      <c r="AB13" s="2">
        <f>AA13+預測IC!AB13</f>
        <v>0.47486814343580763</v>
      </c>
      <c r="AC13" s="2">
        <f>AB13+預測IC!AC13</f>
        <v>0.42184788243302301</v>
      </c>
      <c r="AD13" s="2">
        <f>AC13+預測IC!AD13</f>
        <v>0.43179281990967472</v>
      </c>
      <c r="AE13" s="2">
        <f>AD13+預測IC!AE13</f>
        <v>0.38933285833526465</v>
      </c>
      <c r="AF13" s="2">
        <f>AE13+預測IC!AF13</f>
        <v>0.43798686460205127</v>
      </c>
      <c r="AG13" s="2">
        <f>AF13+預測IC!AG13</f>
        <v>0.43294556926120914</v>
      </c>
      <c r="AH13" s="2">
        <f>AG13+預測IC!AH13</f>
        <v>0.45921300885284805</v>
      </c>
      <c r="AI13" s="2">
        <f>AH13+預測IC!AI13</f>
        <v>0.4717259688465445</v>
      </c>
      <c r="AJ13" s="2">
        <f>AI13+預測IC!AJ13</f>
        <v>0.4617344086938508</v>
      </c>
      <c r="AK13" s="2">
        <f>AJ13+預測IC!AK13</f>
        <v>0.52542753324433211</v>
      </c>
      <c r="AL13" s="2">
        <f>AK13+預測IC!AL13</f>
        <v>0.53065267021461793</v>
      </c>
      <c r="AM13" s="2">
        <f>AL13+預測IC!AM13</f>
        <v>0.55932488585443518</v>
      </c>
      <c r="AN13" s="2">
        <f>AM13+預測IC!AN13</f>
        <v>0.6562647277792345</v>
      </c>
      <c r="AO13" s="2">
        <f>AN13+預測IC!AO13</f>
        <v>0.65665584227968454</v>
      </c>
      <c r="AP13" s="2">
        <f>AO13+預測IC!AP13</f>
        <v>0.61125737318914386</v>
      </c>
      <c r="AQ13" s="2">
        <f>AP13+預測IC!AQ13</f>
        <v>0.60826752837756815</v>
      </c>
      <c r="AR13" s="2">
        <f>AQ13+預測IC!AR13</f>
        <v>0.61131460245026448</v>
      </c>
      <c r="AS13" s="2">
        <f>AR13+預測IC!AS13</f>
        <v>0.64619217045497412</v>
      </c>
      <c r="AT13" s="2">
        <f>AS13+預測IC!AT13</f>
        <v>0.74112132244381967</v>
      </c>
      <c r="AU13" s="2">
        <f>AT13+預測IC!AU13</f>
        <v>0.81413945222695849</v>
      </c>
      <c r="AV13" s="2">
        <f>AU13+預測IC!AV13</f>
        <v>0.82629159417118847</v>
      </c>
      <c r="AW13" s="2">
        <f>AV13+預測IC!AW13</f>
        <v>0.86146837813968336</v>
      </c>
      <c r="AX13" s="2">
        <f>AW13+預測IC!AX13</f>
        <v>0.80936760498459737</v>
      </c>
      <c r="AY13" s="2">
        <f>AX13+預測IC!AY13</f>
        <v>0.81227473161680463</v>
      </c>
      <c r="AZ13" s="2">
        <f>AY13+預測IC!AZ13</f>
        <v>0.81860800577270021</v>
      </c>
      <c r="BA13" s="2">
        <f>AZ13+預測IC!BA13</f>
        <v>0.82948445314268027</v>
      </c>
      <c r="BB13" s="2">
        <f>BA13+預測IC!BB13</f>
        <v>0.87824689676970036</v>
      </c>
      <c r="BC13" s="2">
        <f>BB13+預測IC!BC13</f>
        <v>0.88441729806214386</v>
      </c>
      <c r="BD13" s="2">
        <f>BC13+預測IC!BD13</f>
        <v>0.88818166907689011</v>
      </c>
      <c r="BE13" s="2">
        <f>BD13+預測IC!BE13</f>
        <v>0.83766020644504491</v>
      </c>
      <c r="BF13" s="2">
        <f>BE13+預測IC!BF13</f>
        <v>0.8253040754737313</v>
      </c>
      <c r="BG13" s="2">
        <f>BF13+預測IC!BG13</f>
        <v>0.82780425573727889</v>
      </c>
      <c r="BH13" s="2">
        <f>BG13+預測IC!BH13</f>
        <v>0.86898402887188231</v>
      </c>
      <c r="BI13" s="2">
        <f>BH13+預測IC!BI13</f>
        <v>0.92526122336666039</v>
      </c>
      <c r="BJ13" s="2">
        <f>BI13+預測IC!BJ13</f>
        <v>0.9396405786781018</v>
      </c>
      <c r="BK13" s="2">
        <f>BJ13+預測IC!BK13</f>
        <v>0.91720380464851392</v>
      </c>
      <c r="BL13" s="2">
        <f>BK13+預測IC!BL13</f>
        <v>0.93116928562483725</v>
      </c>
      <c r="BM13" s="2">
        <f>BL13+預測IC!BM13</f>
        <v>0.88455677005986177</v>
      </c>
      <c r="BN13" s="2">
        <f>BM13+預測IC!BN13</f>
        <v>0.90500062554901339</v>
      </c>
      <c r="BO13" s="2">
        <f>BN13+預測IC!BO13</f>
        <v>0.88052406399409577</v>
      </c>
      <c r="BP13" s="2">
        <f>BO13+預測IC!BP13</f>
        <v>0.90074574330259594</v>
      </c>
      <c r="BQ13" s="2">
        <f>BP13+預測IC!BQ13</f>
        <v>0.92141743675081911</v>
      </c>
      <c r="BR13" s="2">
        <f>BQ13+預測IC!BR13</f>
        <v>0.8949924458641455</v>
      </c>
      <c r="BS13" s="2">
        <f>BR13+預測IC!BS13</f>
        <v>0.88805266070912348</v>
      </c>
      <c r="BT13" s="2">
        <f>BS13+預測IC!BT13</f>
        <v>0.88302728253464813</v>
      </c>
      <c r="BU13" s="2">
        <f>BT13+預測IC!BU13</f>
        <v>0.82239390394539513</v>
      </c>
      <c r="BV13" s="2">
        <f>BU13+預測IC!BV13</f>
        <v>0.83951922852895799</v>
      </c>
      <c r="BW13" s="2">
        <f>BV13+預測IC!BW13</f>
        <v>0.73462918686198686</v>
      </c>
      <c r="BX13" s="2">
        <f>BW13+預測IC!BX13</f>
        <v>0.7503845204280587</v>
      </c>
      <c r="BY13" s="2">
        <f>BX13+預測IC!BY13</f>
        <v>0.7166038350167836</v>
      </c>
      <c r="BZ13" s="2">
        <f>BY13+預測IC!BZ13</f>
        <v>0.71904979172702155</v>
      </c>
      <c r="CA13" s="2">
        <f>BZ13+預測IC!CA13</f>
        <v>0.7352710623735389</v>
      </c>
      <c r="CB13" s="2">
        <f>CA13+預測IC!CB13</f>
        <v>0.75282301147240505</v>
      </c>
      <c r="CC13" s="2">
        <f>CB13+預測IC!CC13</f>
        <v>0.84911271318916093</v>
      </c>
      <c r="CD13" s="2">
        <f>CC13+預測IC!CD13</f>
        <v>0.8979526136779119</v>
      </c>
      <c r="CE13" s="2">
        <f>CD13+預測IC!CE13</f>
        <v>1.0821549315076326</v>
      </c>
      <c r="CF13" s="2">
        <f>CE13+預測IC!CF13</f>
        <v>1.1296384164830362</v>
      </c>
      <c r="CG13" s="2">
        <f>CF13+預測IC!CG13</f>
        <v>1.1788410692266971</v>
      </c>
      <c r="CH13" s="2">
        <f>CG13+預測IC!CH13</f>
        <v>1.2283958122976277</v>
      </c>
      <c r="CI13" s="2">
        <f>CH13+預測IC!CI13</f>
        <v>1.2480246031349227</v>
      </c>
      <c r="CJ13" s="2">
        <f>CI13+預測IC!CJ13</f>
        <v>1.2459340106037817</v>
      </c>
      <c r="CK13" s="2">
        <f>CJ13+預測IC!CK13</f>
        <v>1.1804168922322613</v>
      </c>
      <c r="CL13" s="2">
        <f>CK13+預測IC!CL13</f>
        <v>1.1979848602890457</v>
      </c>
      <c r="CM13" s="2">
        <f>CL13+預測IC!CM13</f>
        <v>1.2092593424567553</v>
      </c>
      <c r="CN13" s="2">
        <f>CM13+預測IC!CN13</f>
        <v>1.1717804959367237</v>
      </c>
      <c r="CO13" s="2">
        <f>CN13+預測IC!CO13</f>
        <v>1.1878449083111633</v>
      </c>
      <c r="CP13" s="2">
        <f>CO13+預測IC!CP13</f>
        <v>1.2023851588566079</v>
      </c>
      <c r="CQ13" s="2">
        <f>CP13+預測IC!CQ13</f>
        <v>1.1457434267171871</v>
      </c>
      <c r="CR13" s="2">
        <f>CQ13+預測IC!CR13</f>
        <v>1.1171416172867075</v>
      </c>
      <c r="CS13" s="2">
        <f>CR13+預測IC!CS13</f>
        <v>1.1074842166429204</v>
      </c>
      <c r="CT13" s="2">
        <f>CS13+預測IC!CT13</f>
        <v>1.1309448188707341</v>
      </c>
      <c r="CU13" s="2">
        <f>CT13+預測IC!CU13</f>
        <v>1.1661603168168986</v>
      </c>
      <c r="CV13" s="2">
        <f>CU13+預測IC!CV13</f>
        <v>1.1832284214242961</v>
      </c>
      <c r="CW13" s="2">
        <f>CV13+預測IC!CW13</f>
        <v>1.1494328273764371</v>
      </c>
      <c r="CX13" s="2">
        <f>CW13+預測IC!CX13</f>
        <v>1.2291182697666281</v>
      </c>
      <c r="CY13" s="2">
        <f>CX13+預測IC!CY13</f>
        <v>1.210133371475377</v>
      </c>
      <c r="CZ13" s="2">
        <f>CY13+預測IC!CZ13</f>
        <v>1.2904822608482625</v>
      </c>
      <c r="DA13" s="2">
        <f>CZ13+預測IC!DA13</f>
        <v>1.3053120438750589</v>
      </c>
      <c r="DB13" s="2">
        <f>DA13+預測IC!DB13</f>
        <v>1.3833945982763951</v>
      </c>
      <c r="DC13" s="2">
        <f>DB13+預測IC!DC13</f>
        <v>1.4221792724042372</v>
      </c>
      <c r="DD13" s="2">
        <f>DC13+預測IC!DD13</f>
        <v>1.405736964281457</v>
      </c>
      <c r="DE13" s="2">
        <f>DD13+預測IC!DE13</f>
        <v>1.3914968495228703</v>
      </c>
      <c r="DF13" s="2">
        <f>DE13+預測IC!DF13</f>
        <v>1.4554310152252159</v>
      </c>
      <c r="DG13" s="2">
        <f>DF13+預測IC!DG13</f>
        <v>1.4179017545874515</v>
      </c>
      <c r="DH13" s="2">
        <f>DG13+預測IC!DH13</f>
        <v>1.4569921619165946</v>
      </c>
      <c r="DI13" s="2">
        <f>DH13+預測IC!DI13</f>
        <v>1.4418873683106885</v>
      </c>
      <c r="DJ13" s="2">
        <f>DI13+預測IC!DJ13</f>
        <v>1.4479242349672272</v>
      </c>
      <c r="DK13" s="2">
        <f>DJ13+預測IC!DK13</f>
        <v>1.4271192423801069</v>
      </c>
      <c r="DL13" s="2">
        <f>DK13+預測IC!DL13</f>
        <v>1.4561341176045242</v>
      </c>
      <c r="DM13" s="2">
        <f>DL13+預測IC!DM13</f>
        <v>1.4642331389429806</v>
      </c>
      <c r="DN13" s="2">
        <f>DM13+預測IC!DN13</f>
        <v>1.4597283746136906</v>
      </c>
      <c r="DO13" s="2">
        <f>DN13+預測IC!DO13</f>
        <v>1.4186606580681258</v>
      </c>
      <c r="DP13" s="2">
        <f>DO13+預測IC!DP13</f>
        <v>1.4721721459109154</v>
      </c>
      <c r="DQ13" s="2">
        <f>DP13+預測IC!DQ13</f>
        <v>1.4341393911074085</v>
      </c>
      <c r="DR13" s="2">
        <f>DQ13+預測IC!DR13</f>
        <v>1.4418746446433408</v>
      </c>
      <c r="DS13" s="2">
        <f>DR13+預測IC!DS13</f>
        <v>1.3876072153603869</v>
      </c>
      <c r="DT13" s="2">
        <f>DS13+預測IC!DT13</f>
        <v>1.4440502982283052</v>
      </c>
      <c r="DU13" s="2">
        <f>DT13+預測IC!DU13</f>
        <v>1.4648652092668935</v>
      </c>
      <c r="DV13" s="2">
        <f>DU13+預測IC!DV13</f>
        <v>1.5004413478113954</v>
      </c>
      <c r="DW13" s="2">
        <f>DV13+預測IC!DW13</f>
        <v>1.5216338266411444</v>
      </c>
      <c r="DX13" s="2">
        <f>DW13+預測IC!DX13</f>
        <v>1.5526670628946029</v>
      </c>
      <c r="DY13" s="2">
        <f>DX13+預測IC!DY13</f>
        <v>1.6161629310964833</v>
      </c>
      <c r="DZ13" s="2">
        <f>DY13+預測IC!DZ13</f>
        <v>1.6246991312746959</v>
      </c>
      <c r="EA13" s="2">
        <f>DZ13+預測IC!EA13</f>
        <v>1.671160113130439</v>
      </c>
      <c r="EB13" s="2">
        <f>EA13+預測IC!EB13</f>
        <v>1.6731073474632554</v>
      </c>
      <c r="EC13" s="2">
        <f>EB13+預測IC!EC13</f>
        <v>1.6634704553755921</v>
      </c>
      <c r="ED13" s="2">
        <f>EC13+預測IC!ED13</f>
        <v>1.5975320023890884</v>
      </c>
      <c r="EE13" s="2">
        <f>ED13+預測IC!EE13</f>
        <v>1.6143545092860099</v>
      </c>
      <c r="EF13" s="2">
        <f>EE13+預測IC!EF13</f>
        <v>1.5587671542427244</v>
      </c>
      <c r="EG13" s="2">
        <f>EF13+預測IC!EG13</f>
        <v>1.710316340365756</v>
      </c>
      <c r="EH13" s="2">
        <f>EG13+預測IC!EH13</f>
        <v>1.7215215705790954</v>
      </c>
      <c r="EI13" s="2">
        <f>EH13+預測IC!EI13</f>
        <v>1.7078993100915083</v>
      </c>
      <c r="EJ13" s="2">
        <f>EI13+預測IC!EJ13</f>
        <v>1.6759279738332389</v>
      </c>
      <c r="EK13" s="2">
        <f>EJ13+預測IC!EK13</f>
        <v>1.7195141112541481</v>
      </c>
      <c r="EL13" s="2">
        <f>EK13+預測IC!EL13</f>
        <v>1.6653137497443062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5.895953541636189E-2</v>
      </c>
      <c r="E14" s="2">
        <f>D14+預測IC!E14</f>
        <v>0.14259896155864391</v>
      </c>
      <c r="F14" s="2">
        <f>E14+預測IC!F14</f>
        <v>9.5157377673109222E-2</v>
      </c>
      <c r="G14" s="2">
        <f>F14+預測IC!G14</f>
        <v>0.19260707167694865</v>
      </c>
      <c r="H14" s="2">
        <f>G14+預測IC!H14</f>
        <v>0.26881807474178515</v>
      </c>
      <c r="I14" s="2">
        <f>H14+預測IC!I14</f>
        <v>0.31739343684976662</v>
      </c>
      <c r="J14" s="2">
        <f>I14+預測IC!J14</f>
        <v>0.34176295936221168</v>
      </c>
      <c r="K14" s="2">
        <f>J14+預測IC!K14</f>
        <v>0.3798785984289752</v>
      </c>
      <c r="L14" s="2">
        <f>K14+預測IC!L14</f>
        <v>0.38384796706559415</v>
      </c>
      <c r="M14" s="2">
        <f>L14+預測IC!M14</f>
        <v>0.37553863156834916</v>
      </c>
      <c r="N14" s="2">
        <f>M14+預測IC!N14</f>
        <v>0.45333376682242044</v>
      </c>
      <c r="O14" s="2">
        <f>N14+預測IC!O14</f>
        <v>0.4463499358504861</v>
      </c>
      <c r="P14" s="2">
        <f>O14+預測IC!P14</f>
        <v>0.50102991411956488</v>
      </c>
      <c r="Q14" s="2">
        <f>P14+預測IC!Q14</f>
        <v>0.58863914009293694</v>
      </c>
      <c r="R14" s="2">
        <f>Q14+預測IC!R14</f>
        <v>0.58534794364858378</v>
      </c>
      <c r="S14" s="2">
        <f>R14+預測IC!S14</f>
        <v>0.72493205299469488</v>
      </c>
      <c r="T14" s="2">
        <f>S14+預測IC!T14</f>
        <v>0.71843255398618666</v>
      </c>
      <c r="U14" s="2">
        <f>T14+預測IC!U14</f>
        <v>0.73477080301533437</v>
      </c>
      <c r="V14" s="2">
        <f>U14+預測IC!V14</f>
        <v>0.70053930321647673</v>
      </c>
      <c r="W14" s="2">
        <f>V14+預測IC!W14</f>
        <v>0.67366551369921568</v>
      </c>
      <c r="X14" s="2">
        <f>W14+預測IC!X14</f>
        <v>0.7768688211857625</v>
      </c>
      <c r="Y14" s="2">
        <f>X14+預測IC!Y14</f>
        <v>0.7323244198169987</v>
      </c>
      <c r="Z14" s="2">
        <f>Y14+預測IC!Z14</f>
        <v>0.83853665171441782</v>
      </c>
      <c r="AA14" s="2">
        <f>Z14+預測IC!AA14</f>
        <v>0.93538760149828415</v>
      </c>
      <c r="AB14" s="2">
        <f>AA14+預測IC!AB14</f>
        <v>0.92545239518994271</v>
      </c>
      <c r="AC14" s="2">
        <f>AB14+預測IC!AC14</f>
        <v>0.90562802610809556</v>
      </c>
      <c r="AD14" s="2">
        <f>AC14+預測IC!AD14</f>
        <v>0.88600058336149412</v>
      </c>
      <c r="AE14" s="2">
        <f>AD14+預測IC!AE14</f>
        <v>0.79670289403357786</v>
      </c>
      <c r="AF14" s="2">
        <f>AE14+預測IC!AF14</f>
        <v>0.85471484782277773</v>
      </c>
      <c r="AG14" s="2">
        <f>AF14+預測IC!AG14</f>
        <v>0.84883558285525396</v>
      </c>
      <c r="AH14" s="2">
        <f>AG14+預測IC!AH14</f>
        <v>0.90537213180111664</v>
      </c>
      <c r="AI14" s="2">
        <f>AH14+預測IC!AI14</f>
        <v>0.97416903158104762</v>
      </c>
      <c r="AJ14" s="2">
        <f>AI14+預測IC!AJ14</f>
        <v>0.98193145650644376</v>
      </c>
      <c r="AK14" s="2">
        <f>AJ14+預測IC!AK14</f>
        <v>1.0403825791451626</v>
      </c>
      <c r="AL14" s="2">
        <f>AK14+預測IC!AL14</f>
        <v>1.0663273688269588</v>
      </c>
      <c r="AM14" s="2">
        <f>AL14+預測IC!AM14</f>
        <v>1.1170831115478179</v>
      </c>
      <c r="AN14" s="2">
        <f>AM14+預測IC!AN14</f>
        <v>1.2214986847756601</v>
      </c>
      <c r="AO14" s="2">
        <f>AN14+預測IC!AO14</f>
        <v>1.2456138696602057</v>
      </c>
      <c r="AP14" s="2">
        <f>AO14+預測IC!AP14</f>
        <v>1.1911121382254315</v>
      </c>
      <c r="AQ14" s="2">
        <f>AP14+預測IC!AQ14</f>
        <v>1.1713020545241928</v>
      </c>
      <c r="AR14" s="2">
        <f>AQ14+預測IC!AR14</f>
        <v>1.1786773113393803</v>
      </c>
      <c r="AS14" s="2">
        <f>AR14+預測IC!AS14</f>
        <v>1.1651993097844038</v>
      </c>
      <c r="AT14" s="2">
        <f>AS14+預測IC!AT14</f>
        <v>1.3030137232883892</v>
      </c>
      <c r="AU14" s="2">
        <f>AT14+預測IC!AU14</f>
        <v>1.4127204140471867</v>
      </c>
      <c r="AV14" s="2">
        <f>AU14+預測IC!AV14</f>
        <v>1.4219250974572806</v>
      </c>
      <c r="AW14" s="2">
        <f>AV14+預測IC!AW14</f>
        <v>1.45972906460836</v>
      </c>
      <c r="AX14" s="2">
        <f>AW14+預測IC!AX14</f>
        <v>1.4189590810740615</v>
      </c>
      <c r="AY14" s="2">
        <f>AX14+預測IC!AY14</f>
        <v>1.4179863135813933</v>
      </c>
      <c r="AZ14" s="2">
        <f>AY14+預測IC!AZ14</f>
        <v>1.4064629806837246</v>
      </c>
      <c r="BA14" s="2">
        <f>AZ14+預測IC!BA14</f>
        <v>1.443224596791157</v>
      </c>
      <c r="BB14" s="2">
        <f>BA14+預測IC!BB14</f>
        <v>1.5021676865783906</v>
      </c>
      <c r="BC14" s="2">
        <f>BB14+預測IC!BC14</f>
        <v>1.522690890634496</v>
      </c>
      <c r="BD14" s="2">
        <f>BC14+預測IC!BD14</f>
        <v>1.5577637684654706</v>
      </c>
      <c r="BE14" s="2">
        <f>BD14+預測IC!BE14</f>
        <v>1.5243618245352248</v>
      </c>
      <c r="BF14" s="2">
        <f>BE14+預測IC!BF14</f>
        <v>1.5299883911144039</v>
      </c>
      <c r="BG14" s="2">
        <f>BF14+預測IC!BG14</f>
        <v>1.5162989727585332</v>
      </c>
      <c r="BH14" s="2">
        <f>BG14+預測IC!BH14</f>
        <v>1.5810105978182605</v>
      </c>
      <c r="BI14" s="2">
        <f>BH14+預測IC!BI14</f>
        <v>1.6110980151102599</v>
      </c>
      <c r="BJ14" s="2">
        <f>BI14+預測IC!BJ14</f>
        <v>1.6174263043534494</v>
      </c>
      <c r="BK14" s="2">
        <f>BJ14+預測IC!BK14</f>
        <v>1.6119695692507823</v>
      </c>
      <c r="BL14" s="2">
        <f>BK14+預測IC!BL14</f>
        <v>1.6196921619611961</v>
      </c>
      <c r="BM14" s="2">
        <f>BL14+預測IC!BM14</f>
        <v>1.5867709971377508</v>
      </c>
      <c r="BN14" s="2">
        <f>BM14+預測IC!BN14</f>
        <v>1.6156626604038193</v>
      </c>
      <c r="BO14" s="2">
        <f>BN14+預測IC!BO14</f>
        <v>1.5616282316142867</v>
      </c>
      <c r="BP14" s="2">
        <f>BO14+預測IC!BP14</f>
        <v>1.5133999361473838</v>
      </c>
      <c r="BQ14" s="2">
        <f>BP14+預測IC!BQ14</f>
        <v>1.5208654151386152</v>
      </c>
      <c r="BR14" s="2">
        <f>BQ14+預測IC!BR14</f>
        <v>1.5212739667875508</v>
      </c>
      <c r="BS14" s="2">
        <f>BR14+預測IC!BS14</f>
        <v>1.4784197843818445</v>
      </c>
      <c r="BT14" s="2">
        <f>BS14+預測IC!BT14</f>
        <v>1.441374513202994</v>
      </c>
      <c r="BU14" s="2">
        <f>BT14+預測IC!BU14</f>
        <v>1.3339794752895258</v>
      </c>
      <c r="BV14" s="2">
        <f>BU14+預測IC!BV14</f>
        <v>1.3476422164519162</v>
      </c>
      <c r="BW14" s="2">
        <f>BV14+預測IC!BW14</f>
        <v>1.2024627031024591</v>
      </c>
      <c r="BX14" s="2">
        <f>BW14+預測IC!BX14</f>
        <v>1.2598227496369387</v>
      </c>
      <c r="BY14" s="2">
        <f>BX14+預測IC!BY14</f>
        <v>1.2626472522854988</v>
      </c>
      <c r="BZ14" s="2">
        <f>BY14+預測IC!BZ14</f>
        <v>1.3124194258932711</v>
      </c>
      <c r="CA14" s="2">
        <f>BZ14+預測IC!CA14</f>
        <v>1.3911430232571627</v>
      </c>
      <c r="CB14" s="2">
        <f>CA14+預測IC!CB14</f>
        <v>1.4053355317085658</v>
      </c>
      <c r="CC14" s="2">
        <f>CB14+預測IC!CC14</f>
        <v>1.4927793572534278</v>
      </c>
      <c r="CD14" s="2">
        <f>CC14+預測IC!CD14</f>
        <v>1.548916182415313</v>
      </c>
      <c r="CE14" s="2">
        <f>CD14+預測IC!CE14</f>
        <v>1.7555842062396159</v>
      </c>
      <c r="CF14" s="2">
        <f>CE14+預測IC!CF14</f>
        <v>1.8329458517768809</v>
      </c>
      <c r="CG14" s="2">
        <f>CF14+預測IC!CG14</f>
        <v>1.898106820171398</v>
      </c>
      <c r="CH14" s="2">
        <f>CG14+預測IC!CH14</f>
        <v>1.9567201270429726</v>
      </c>
      <c r="CI14" s="2">
        <f>CH14+預測IC!CI14</f>
        <v>1.9254820434238094</v>
      </c>
      <c r="CJ14" s="2">
        <f>CI14+預測IC!CJ14</f>
        <v>1.9188612418856468</v>
      </c>
      <c r="CK14" s="2">
        <f>CJ14+預測IC!CK14</f>
        <v>1.8649185497585667</v>
      </c>
      <c r="CL14" s="2">
        <f>CK14+預測IC!CL14</f>
        <v>1.9060035067810366</v>
      </c>
      <c r="CM14" s="2">
        <f>CL14+預測IC!CM14</f>
        <v>1.9579789345965581</v>
      </c>
      <c r="CN14" s="2">
        <f>CM14+預測IC!CN14</f>
        <v>1.9121858324881149</v>
      </c>
      <c r="CO14" s="2">
        <f>CN14+預測IC!CO14</f>
        <v>1.9365889817875634</v>
      </c>
      <c r="CP14" s="2">
        <f>CO14+預測IC!CP14</f>
        <v>2.003234422475459</v>
      </c>
      <c r="CQ14" s="2">
        <f>CP14+預測IC!CQ14</f>
        <v>1.9862504364920552</v>
      </c>
      <c r="CR14" s="2">
        <f>CQ14+預測IC!CR14</f>
        <v>1.9730502916965678</v>
      </c>
      <c r="CS14" s="2">
        <f>CR14+預測IC!CS14</f>
        <v>1.9780201615994566</v>
      </c>
      <c r="CT14" s="2">
        <f>CS14+預測IC!CT14</f>
        <v>2.0287648947969963</v>
      </c>
      <c r="CU14" s="2">
        <f>CT14+預測IC!CU14</f>
        <v>2.1148522604233668</v>
      </c>
      <c r="CV14" s="2">
        <f>CU14+預測IC!CV14</f>
        <v>2.148468627497671</v>
      </c>
      <c r="CW14" s="2">
        <f>CV14+預測IC!CW14</f>
        <v>2.10726068419822</v>
      </c>
      <c r="CX14" s="2">
        <f>CW14+預測IC!CX14</f>
        <v>2.1861413108185981</v>
      </c>
      <c r="CY14" s="2">
        <f>CX14+預測IC!CY14</f>
        <v>2.1518572303835315</v>
      </c>
      <c r="CZ14" s="2">
        <f>CY14+預測IC!CZ14</f>
        <v>2.2188857139681515</v>
      </c>
      <c r="DA14" s="2">
        <f>CZ14+預測IC!DA14</f>
        <v>2.2662855682003729</v>
      </c>
      <c r="DB14" s="2">
        <f>DA14+預測IC!DB14</f>
        <v>2.3499244475971919</v>
      </c>
      <c r="DC14" s="2">
        <f>DB14+預測IC!DC14</f>
        <v>2.4037160369146569</v>
      </c>
      <c r="DD14" s="2">
        <f>DC14+預測IC!DD14</f>
        <v>2.439536539856582</v>
      </c>
      <c r="DE14" s="2">
        <f>DD14+預測IC!DE14</f>
        <v>2.4120923187622259</v>
      </c>
      <c r="DF14" s="2">
        <f>DE14+預測IC!DF14</f>
        <v>2.5753450529456923</v>
      </c>
      <c r="DG14" s="2">
        <f>DF14+預測IC!DG14</f>
        <v>2.5316037788312062</v>
      </c>
      <c r="DH14" s="2">
        <f>DG14+預測IC!DH14</f>
        <v>2.5945298047186252</v>
      </c>
      <c r="DI14" s="2">
        <f>DH14+預測IC!DI14</f>
        <v>2.6083838059545901</v>
      </c>
      <c r="DJ14" s="2">
        <f>DI14+預測IC!DJ14</f>
        <v>2.6221609738228904</v>
      </c>
      <c r="DK14" s="2">
        <f>DJ14+預測IC!DK14</f>
        <v>2.5866355352898474</v>
      </c>
      <c r="DL14" s="2">
        <f>DK14+預測IC!DL14</f>
        <v>2.597693755345897</v>
      </c>
      <c r="DM14" s="2">
        <f>DL14+預測IC!DM14</f>
        <v>2.6168102203693548</v>
      </c>
      <c r="DN14" s="2">
        <f>DM14+預測IC!DN14</f>
        <v>2.6814904115800182</v>
      </c>
      <c r="DO14" s="2">
        <f>DN14+預測IC!DO14</f>
        <v>2.6139988565886587</v>
      </c>
      <c r="DP14" s="2">
        <f>DO14+預測IC!DP14</f>
        <v>2.649083085573428</v>
      </c>
      <c r="DQ14" s="2">
        <f>DP14+預測IC!DQ14</f>
        <v>2.5529819477094859</v>
      </c>
      <c r="DR14" s="2">
        <f>DQ14+預測IC!DR14</f>
        <v>2.5647858876897871</v>
      </c>
      <c r="DS14" s="2">
        <f>DR14+預測IC!DS14</f>
        <v>2.5102546387977864</v>
      </c>
      <c r="DT14" s="2">
        <f>DS14+預測IC!DT14</f>
        <v>2.614559247920849</v>
      </c>
      <c r="DU14" s="2">
        <f>DT14+預測IC!DU14</f>
        <v>2.702305939244249</v>
      </c>
      <c r="DV14" s="2">
        <f>DU14+預測IC!DV14</f>
        <v>2.7069906463789453</v>
      </c>
      <c r="DW14" s="2">
        <f>DV14+預測IC!DW14</f>
        <v>2.7167103321444825</v>
      </c>
      <c r="DX14" s="2">
        <f>DW14+預測IC!DX14</f>
        <v>2.7355371196229505</v>
      </c>
      <c r="DY14" s="2">
        <f>DX14+預測IC!DY14</f>
        <v>2.7961078575152096</v>
      </c>
      <c r="DZ14" s="2">
        <f>DY14+預測IC!DZ14</f>
        <v>2.8039518719197138</v>
      </c>
      <c r="EA14" s="2">
        <f>DZ14+預測IC!EA14</f>
        <v>2.8668949901758936</v>
      </c>
      <c r="EB14" s="2">
        <f>EA14+預測IC!EB14</f>
        <v>2.8361816535857769</v>
      </c>
      <c r="EC14" s="2">
        <f>EB14+預測IC!EC14</f>
        <v>2.7864452482273618</v>
      </c>
      <c r="ED14" s="2">
        <f>EC14+預測IC!ED14</f>
        <v>2.6875079222335527</v>
      </c>
      <c r="EE14" s="2">
        <f>ED14+預測IC!EE14</f>
        <v>2.7060296143545912</v>
      </c>
      <c r="EF14" s="2">
        <f>EE14+預測IC!EF14</f>
        <v>2.6553632938067508</v>
      </c>
      <c r="EG14" s="2">
        <f>EF14+預測IC!EG14</f>
        <v>2.8713601631246353</v>
      </c>
      <c r="EH14" s="2">
        <f>EG14+預測IC!EH14</f>
        <v>2.8830382163755344</v>
      </c>
      <c r="EI14" s="2">
        <f>EH14+預測IC!EI14</f>
        <v>2.8773428489820785</v>
      </c>
      <c r="EJ14" s="2">
        <f>EI14+預測IC!EJ14</f>
        <v>2.8508105225060216</v>
      </c>
      <c r="EK14" s="2">
        <f>EJ14+預測IC!EK14</f>
        <v>2.88651114818982</v>
      </c>
      <c r="EL14" s="2">
        <f>EK14+預測IC!EL14</f>
        <v>2.8387399557715378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7.8751377282507598E-2</v>
      </c>
      <c r="E15" s="2">
        <f>D15+預測IC!E15</f>
        <v>0.1533210403195685</v>
      </c>
      <c r="F15" s="2">
        <f>E15+預測IC!F15</f>
        <v>7.1539013743407945E-2</v>
      </c>
      <c r="G15" s="2">
        <f>F15+預測IC!G15</f>
        <v>0.20947689639198896</v>
      </c>
      <c r="H15" s="2">
        <f>G15+預測IC!H15</f>
        <v>0.2912925463156632</v>
      </c>
      <c r="I15" s="2">
        <f>H15+預測IC!I15</f>
        <v>0.3908653197484836</v>
      </c>
      <c r="J15" s="2">
        <f>I15+預測IC!J15</f>
        <v>0.43431318717790901</v>
      </c>
      <c r="K15" s="2">
        <f>J15+預測IC!K15</f>
        <v>0.46582128544549828</v>
      </c>
      <c r="L15" s="2">
        <f>K15+預測IC!L15</f>
        <v>0.4656035656301854</v>
      </c>
      <c r="M15" s="2">
        <f>L15+預測IC!M15</f>
        <v>0.31850130231594909</v>
      </c>
      <c r="N15" s="2">
        <f>M15+預測IC!N15</f>
        <v>0.42017696077286321</v>
      </c>
      <c r="O15" s="2">
        <f>N15+預測IC!O15</f>
        <v>0.4012804177726827</v>
      </c>
      <c r="P15" s="2">
        <f>O15+預測IC!P15</f>
        <v>0.46863837832787952</v>
      </c>
      <c r="Q15" s="2">
        <f>P15+預測IC!Q15</f>
        <v>0.51101099494571733</v>
      </c>
      <c r="R15" s="2">
        <f>Q15+預測IC!R15</f>
        <v>0.4579313174598269</v>
      </c>
      <c r="S15" s="2">
        <f>R15+預測IC!S15</f>
        <v>0.63816746218794063</v>
      </c>
      <c r="T15" s="2">
        <f>S15+預測IC!T15</f>
        <v>0.60656694806740652</v>
      </c>
      <c r="U15" s="2">
        <f>T15+預測IC!U15</f>
        <v>0.55877321317313366</v>
      </c>
      <c r="V15" s="2">
        <f>U15+預測IC!V15</f>
        <v>0.49817321748343502</v>
      </c>
      <c r="W15" s="2">
        <f>V15+預測IC!W15</f>
        <v>0.48273223978624358</v>
      </c>
      <c r="X15" s="2">
        <f>W15+預測IC!X15</f>
        <v>0.58717121882794066</v>
      </c>
      <c r="Y15" s="2">
        <f>X15+預測IC!Y15</f>
        <v>0.56545395070753568</v>
      </c>
      <c r="Z15" s="2">
        <f>Y15+預測IC!Z15</f>
        <v>0.61382032010361909</v>
      </c>
      <c r="AA15" s="2">
        <f>Z15+預測IC!AA15</f>
        <v>0.7427292211139257</v>
      </c>
      <c r="AB15" s="2">
        <f>AA15+預測IC!AB15</f>
        <v>0.71049607193359954</v>
      </c>
      <c r="AC15" s="2">
        <f>AB15+預測IC!AC15</f>
        <v>0.74437931799022761</v>
      </c>
      <c r="AD15" s="2">
        <f>AC15+預測IC!AD15</f>
        <v>0.75976069342121122</v>
      </c>
      <c r="AE15" s="2">
        <f>AD15+預測IC!AE15</f>
        <v>0.67221486405520081</v>
      </c>
      <c r="AF15" s="2">
        <f>AE15+預測IC!AF15</f>
        <v>0.75835593990089012</v>
      </c>
      <c r="AG15" s="2">
        <f>AF15+預測IC!AG15</f>
        <v>0.76121757569601634</v>
      </c>
      <c r="AH15" s="2">
        <f>AG15+預測IC!AH15</f>
        <v>0.75458895212908128</v>
      </c>
      <c r="AI15" s="2">
        <f>AH15+預測IC!AI15</f>
        <v>0.81161449246384854</v>
      </c>
      <c r="AJ15" s="2">
        <f>AI15+預測IC!AJ15</f>
        <v>0.8213873246667236</v>
      </c>
      <c r="AK15" s="2">
        <f>AJ15+預測IC!AK15</f>
        <v>0.87935126581615153</v>
      </c>
      <c r="AL15" s="2">
        <f>AK15+預測IC!AL15</f>
        <v>0.93405973298880629</v>
      </c>
      <c r="AM15" s="2">
        <f>AL15+預測IC!AM15</f>
        <v>0.96859302455517071</v>
      </c>
      <c r="AN15" s="2">
        <f>AM15+預測IC!AN15</f>
        <v>1.087296990867618</v>
      </c>
      <c r="AO15" s="2">
        <f>AN15+預測IC!AO15</f>
        <v>1.085724457838428</v>
      </c>
      <c r="AP15" s="2">
        <f>AO15+預測IC!AP15</f>
        <v>1.0478901184936151</v>
      </c>
      <c r="AQ15" s="2">
        <f>AP15+預測IC!AQ15</f>
        <v>1.004140249090264</v>
      </c>
      <c r="AR15" s="2">
        <f>AQ15+預測IC!AR15</f>
        <v>1.0154586185777652</v>
      </c>
      <c r="AS15" s="2">
        <f>AR15+預測IC!AS15</f>
        <v>0.95042981495851497</v>
      </c>
      <c r="AT15" s="2">
        <f>AS15+預測IC!AT15</f>
        <v>1.1582687728276515</v>
      </c>
      <c r="AU15" s="2">
        <f>AT15+預測IC!AU15</f>
        <v>1.2932143887829819</v>
      </c>
      <c r="AV15" s="2">
        <f>AU15+預測IC!AV15</f>
        <v>1.3241477079558048</v>
      </c>
      <c r="AW15" s="2">
        <f>AV15+預測IC!AW15</f>
        <v>1.4143057902154548</v>
      </c>
      <c r="AX15" s="2">
        <f>AW15+預測IC!AX15</f>
        <v>1.3002260970686064</v>
      </c>
      <c r="AY15" s="2">
        <f>AX15+預測IC!AY15</f>
        <v>1.2879180004676591</v>
      </c>
      <c r="AZ15" s="2">
        <f>AY15+預測IC!AZ15</f>
        <v>1.2381114076741708</v>
      </c>
      <c r="BA15" s="2">
        <f>AZ15+預測IC!BA15</f>
        <v>1.2545693461676355</v>
      </c>
      <c r="BB15" s="2">
        <f>BA15+預測IC!BB15</f>
        <v>1.392102785833913</v>
      </c>
      <c r="BC15" s="2">
        <f>BB15+預測IC!BC15</f>
        <v>1.459643669634155</v>
      </c>
      <c r="BD15" s="2">
        <f>BC15+預測IC!BD15</f>
        <v>1.4346509998309462</v>
      </c>
      <c r="BE15" s="2">
        <f>BD15+預測IC!BE15</f>
        <v>1.3799284991680523</v>
      </c>
      <c r="BF15" s="2">
        <f>BE15+預測IC!BF15</f>
        <v>1.3221357653724977</v>
      </c>
      <c r="BG15" s="2">
        <f>BF15+預測IC!BG15</f>
        <v>1.3091142132766787</v>
      </c>
      <c r="BH15" s="2">
        <f>BG15+預測IC!BH15</f>
        <v>1.4042763409787291</v>
      </c>
      <c r="BI15" s="2">
        <f>BH15+預測IC!BI15</f>
        <v>1.4483623187703032</v>
      </c>
      <c r="BJ15" s="2">
        <f>BI15+預測IC!BJ15</f>
        <v>1.4945173535442287</v>
      </c>
      <c r="BK15" s="2">
        <f>BJ15+預測IC!BK15</f>
        <v>1.4893989489196044</v>
      </c>
      <c r="BL15" s="2">
        <f>BK15+預測IC!BL15</f>
        <v>1.4813093566408306</v>
      </c>
      <c r="BM15" s="2">
        <f>BL15+預測IC!BM15</f>
        <v>1.4268165247270024</v>
      </c>
      <c r="BN15" s="2">
        <f>BM15+預測IC!BN15</f>
        <v>1.527392749303893</v>
      </c>
      <c r="BO15" s="2">
        <f>BN15+預測IC!BO15</f>
        <v>1.4893769414702827</v>
      </c>
      <c r="BP15" s="2">
        <f>BO15+預測IC!BP15</f>
        <v>1.3909334860634985</v>
      </c>
      <c r="BQ15" s="2">
        <f>BP15+預測IC!BQ15</f>
        <v>1.406628639210644</v>
      </c>
      <c r="BR15" s="2">
        <f>BQ15+預測IC!BR15</f>
        <v>1.353893139033121</v>
      </c>
      <c r="BS15" s="2">
        <f>BR15+預測IC!BS15</f>
        <v>1.3340398612184856</v>
      </c>
      <c r="BT15" s="2">
        <f>BS15+預測IC!BT15</f>
        <v>1.2848126197974297</v>
      </c>
      <c r="BU15" s="2">
        <f>BT15+預測IC!BU15</f>
        <v>1.2314612688261599</v>
      </c>
      <c r="BV15" s="2">
        <f>BU15+預測IC!BV15</f>
        <v>1.2651000573698701</v>
      </c>
      <c r="BW15" s="2">
        <f>BV15+預測IC!BW15</f>
        <v>1.0708305613300844</v>
      </c>
      <c r="BX15" s="2">
        <f>BW15+預測IC!BX15</f>
        <v>1.0629210208318713</v>
      </c>
      <c r="BY15" s="2">
        <f>BX15+預測IC!BY15</f>
        <v>1.1092094175011096</v>
      </c>
      <c r="BZ15" s="2">
        <f>BY15+預測IC!BZ15</f>
        <v>1.1959821779588489</v>
      </c>
      <c r="CA15" s="2">
        <f>BZ15+預測IC!CA15</f>
        <v>1.3755459435621595</v>
      </c>
      <c r="CB15" s="2">
        <f>CA15+預測IC!CB15</f>
        <v>1.2727796606122685</v>
      </c>
      <c r="CC15" s="2">
        <f>CB15+預測IC!CC15</f>
        <v>1.3941721757014947</v>
      </c>
      <c r="CD15" s="2">
        <f>CC15+預測IC!CD15</f>
        <v>1.4893285524618063</v>
      </c>
      <c r="CE15" s="2">
        <f>CD15+預測IC!CE15</f>
        <v>1.609891923116993</v>
      </c>
      <c r="CF15" s="2">
        <f>CE15+預測IC!CF15</f>
        <v>1.6888123848117682</v>
      </c>
      <c r="CG15" s="2">
        <f>CF15+預測IC!CG15</f>
        <v>1.792721705068407</v>
      </c>
      <c r="CH15" s="2">
        <f>CG15+預測IC!CH15</f>
        <v>1.8602414842163453</v>
      </c>
      <c r="CI15" s="2">
        <f>CH15+預測IC!CI15</f>
        <v>1.8483329567577769</v>
      </c>
      <c r="CJ15" s="2">
        <f>CI15+預測IC!CJ15</f>
        <v>1.8043608528542683</v>
      </c>
      <c r="CK15" s="2">
        <f>CJ15+預測IC!CK15</f>
        <v>1.6609390261475272</v>
      </c>
      <c r="CL15" s="2">
        <f>CK15+預測IC!CL15</f>
        <v>1.6012643294245945</v>
      </c>
      <c r="CM15" s="2">
        <f>CL15+預測IC!CM15</f>
        <v>1.6381691293428384</v>
      </c>
      <c r="CN15" s="2">
        <f>CM15+預測IC!CN15</f>
        <v>1.5522969964951236</v>
      </c>
      <c r="CO15" s="2">
        <f>CN15+預測IC!CO15</f>
        <v>1.4889069036789353</v>
      </c>
      <c r="CP15" s="2">
        <f>CO15+預測IC!CP15</f>
        <v>1.5677319885974967</v>
      </c>
      <c r="CQ15" s="2">
        <f>CP15+預測IC!CQ15</f>
        <v>1.5612836991675858</v>
      </c>
      <c r="CR15" s="2">
        <f>CQ15+預測IC!CR15</f>
        <v>1.5391370314564354</v>
      </c>
      <c r="CS15" s="2">
        <f>CR15+預測IC!CS15</f>
        <v>1.5387985552976982</v>
      </c>
      <c r="CT15" s="2">
        <f>CS15+預測IC!CT15</f>
        <v>1.6164498260554296</v>
      </c>
      <c r="CU15" s="2">
        <f>CT15+預測IC!CU15</f>
        <v>1.7872789467053825</v>
      </c>
      <c r="CV15" s="2">
        <f>CU15+預測IC!CV15</f>
        <v>1.8155021581985926</v>
      </c>
      <c r="CW15" s="2">
        <f>CV15+預測IC!CW15</f>
        <v>1.7843329475745193</v>
      </c>
      <c r="CX15" s="2">
        <f>CW15+預測IC!CX15</f>
        <v>1.8469340479689107</v>
      </c>
      <c r="CY15" s="2">
        <f>CX15+預測IC!CY15</f>
        <v>1.8042676029692206</v>
      </c>
      <c r="CZ15" s="2">
        <f>CY15+預測IC!CZ15</f>
        <v>1.8951913957632032</v>
      </c>
      <c r="DA15" s="2">
        <f>CZ15+預測IC!DA15</f>
        <v>1.9637894634978539</v>
      </c>
      <c r="DB15" s="2">
        <f>DA15+預測IC!DB15</f>
        <v>2.0037218564462949</v>
      </c>
      <c r="DC15" s="2">
        <f>DB15+預測IC!DC15</f>
        <v>2.0725323605153565</v>
      </c>
      <c r="DD15" s="2">
        <f>DC15+預測IC!DD15</f>
        <v>2.2594537619414079</v>
      </c>
      <c r="DE15" s="2">
        <f>DD15+預測IC!DE15</f>
        <v>2.2343323205294729</v>
      </c>
      <c r="DF15" s="2">
        <f>DE15+預測IC!DF15</f>
        <v>2.5337679494966805</v>
      </c>
      <c r="DG15" s="2">
        <f>DF15+預測IC!DG15</f>
        <v>2.4935963162410446</v>
      </c>
      <c r="DH15" s="2">
        <f>DG15+預測IC!DH15</f>
        <v>2.6257838701907481</v>
      </c>
      <c r="DI15" s="2">
        <f>DH15+預測IC!DI15</f>
        <v>2.6542523368957998</v>
      </c>
      <c r="DJ15" s="2">
        <f>DI15+預測IC!DJ15</f>
        <v>2.6831159320926101</v>
      </c>
      <c r="DK15" s="2">
        <f>DJ15+預測IC!DK15</f>
        <v>2.5994381309693946</v>
      </c>
      <c r="DL15" s="2">
        <f>DK15+預測IC!DL15</f>
        <v>2.597834794950741</v>
      </c>
      <c r="DM15" s="2">
        <f>DL15+預測IC!DM15</f>
        <v>2.6108180921063813</v>
      </c>
      <c r="DN15" s="2">
        <f>DM15+預測IC!DN15</f>
        <v>2.7219926255354685</v>
      </c>
      <c r="DO15" s="2">
        <f>DN15+預測IC!DO15</f>
        <v>2.6799568931974047</v>
      </c>
      <c r="DP15" s="2">
        <f>DO15+預測IC!DP15</f>
        <v>2.6673611146141774</v>
      </c>
      <c r="DQ15" s="2">
        <f>DP15+預測IC!DQ15</f>
        <v>2.533428967779185</v>
      </c>
      <c r="DR15" s="2">
        <f>DQ15+預測IC!DR15</f>
        <v>2.4893891929791199</v>
      </c>
      <c r="DS15" s="2">
        <f>DR15+預測IC!DS15</f>
        <v>2.3927222313652221</v>
      </c>
      <c r="DT15" s="2">
        <f>DS15+預測IC!DT15</f>
        <v>2.4193154200593479</v>
      </c>
      <c r="DU15" s="2">
        <f>DT15+預測IC!DU15</f>
        <v>2.575020302721164</v>
      </c>
      <c r="DV15" s="2">
        <f>DU15+預測IC!DV15</f>
        <v>2.5940050098352607</v>
      </c>
      <c r="DW15" s="2">
        <f>DV15+預測IC!DW15</f>
        <v>2.6102027124312479</v>
      </c>
      <c r="DX15" s="2">
        <f>DW15+預測IC!DX15</f>
        <v>2.6461068225038784</v>
      </c>
      <c r="DY15" s="2">
        <f>DX15+預測IC!DY15</f>
        <v>2.7635982528140426</v>
      </c>
      <c r="DZ15" s="2">
        <f>DY15+預測IC!DZ15</f>
        <v>2.7681157001127206</v>
      </c>
      <c r="EA15" s="2">
        <f>DZ15+預測IC!EA15</f>
        <v>2.832855978810533</v>
      </c>
      <c r="EB15" s="2">
        <f>EA15+預測IC!EB15</f>
        <v>2.7562651186990967</v>
      </c>
      <c r="EC15" s="2">
        <f>EB15+預測IC!EC15</f>
        <v>2.6683704271078112</v>
      </c>
      <c r="ED15" s="2">
        <f>EC15+預測IC!ED15</f>
        <v>2.5262090328028242</v>
      </c>
      <c r="EE15" s="2">
        <f>ED15+預測IC!EE15</f>
        <v>2.5170236274641673</v>
      </c>
      <c r="EF15" s="2">
        <f>EE15+預測IC!EF15</f>
        <v>2.4815078938616355</v>
      </c>
      <c r="EG15" s="2">
        <f>EF15+預測IC!EG15</f>
        <v>2.8262226972279421</v>
      </c>
      <c r="EH15" s="2">
        <f>EG15+預測IC!EH15</f>
        <v>2.8495730504641963</v>
      </c>
      <c r="EI15" s="2">
        <f>EH15+預測IC!EI15</f>
        <v>2.8211175516664349</v>
      </c>
      <c r="EJ15" s="2">
        <f>EI15+預測IC!EJ15</f>
        <v>2.7634853076070538</v>
      </c>
      <c r="EK15" s="2">
        <f>EJ15+預測IC!EK15</f>
        <v>2.7983920181056541</v>
      </c>
      <c r="EL15" s="2">
        <f>EK15+預測IC!EL15</f>
        <v>2.8399496986068913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8.7090470666445596E-2</v>
      </c>
      <c r="E16" s="2">
        <f>D16+預測IC!E16</f>
        <v>0.16157613202872409</v>
      </c>
      <c r="F16" s="2">
        <f>E16+預測IC!F16</f>
        <v>0.10851893499531762</v>
      </c>
      <c r="G16" s="2">
        <f>F16+預測IC!G16</f>
        <v>0.26345621669022179</v>
      </c>
      <c r="H16" s="2">
        <f>G16+預測IC!H16</f>
        <v>0.34603750561421232</v>
      </c>
      <c r="I16" s="2">
        <f>H16+預測IC!I16</f>
        <v>0.42781422645937617</v>
      </c>
      <c r="J16" s="2">
        <f>I16+預測IC!J16</f>
        <v>0.48017070746781987</v>
      </c>
      <c r="K16" s="2">
        <f>J16+預測IC!K16</f>
        <v>0.51000961897131425</v>
      </c>
      <c r="L16" s="2">
        <f>K16+預測IC!L16</f>
        <v>0.52578476802674279</v>
      </c>
      <c r="M16" s="2">
        <f>L16+預測IC!M16</f>
        <v>0.36692520487422997</v>
      </c>
      <c r="N16" s="2">
        <f>M16+預測IC!N16</f>
        <v>0.47580868782517638</v>
      </c>
      <c r="O16" s="2">
        <f>N16+預測IC!O16</f>
        <v>0.44643673976303666</v>
      </c>
      <c r="P16" s="2">
        <f>O16+預測IC!P16</f>
        <v>0.52608630187615979</v>
      </c>
      <c r="Q16" s="2">
        <f>P16+預測IC!Q16</f>
        <v>0.57410663242919013</v>
      </c>
      <c r="R16" s="2">
        <f>Q16+預測IC!R16</f>
        <v>0.51181272986638382</v>
      </c>
      <c r="S16" s="2">
        <f>R16+預測IC!S16</f>
        <v>0.70804219240755306</v>
      </c>
      <c r="T16" s="2">
        <f>S16+預測IC!T16</f>
        <v>0.67981813044077055</v>
      </c>
      <c r="U16" s="2">
        <f>T16+預測IC!U16</f>
        <v>0.6251970287501184</v>
      </c>
      <c r="V16" s="2">
        <f>U16+預測IC!V16</f>
        <v>0.54990114652149158</v>
      </c>
      <c r="W16" s="2">
        <f>V16+預測IC!W16</f>
        <v>0.48715710380032762</v>
      </c>
      <c r="X16" s="2">
        <f>W16+預測IC!X16</f>
        <v>0.5889973735579167</v>
      </c>
      <c r="Y16" s="2">
        <f>X16+預測IC!Y16</f>
        <v>0.56212547032619142</v>
      </c>
      <c r="Z16" s="2">
        <f>Y16+預測IC!Z16</f>
        <v>0.61061399914084957</v>
      </c>
      <c r="AA16" s="2">
        <f>Z16+預測IC!AA16</f>
        <v>0.73976552028221554</v>
      </c>
      <c r="AB16" s="2">
        <f>AA16+預測IC!AB16</f>
        <v>0.70665968305659166</v>
      </c>
      <c r="AC16" s="2">
        <f>AB16+預測IC!AC16</f>
        <v>0.73174630519940265</v>
      </c>
      <c r="AD16" s="2">
        <f>AC16+預測IC!AD16</f>
        <v>0.7632486912355414</v>
      </c>
      <c r="AE16" s="2">
        <f>AD16+預測IC!AE16</f>
        <v>0.65154089359096923</v>
      </c>
      <c r="AF16" s="2">
        <f>AE16+預測IC!AF16</f>
        <v>0.73792809072153465</v>
      </c>
      <c r="AG16" s="2">
        <f>AF16+預測IC!AG16</f>
        <v>0.73527103426454488</v>
      </c>
      <c r="AH16" s="2">
        <f>AG16+預測IC!AH16</f>
        <v>0.74767166311830291</v>
      </c>
      <c r="AI16" s="2">
        <f>AH16+預測IC!AI16</f>
        <v>0.80160446669029961</v>
      </c>
      <c r="AJ16" s="2">
        <f>AI16+預測IC!AJ16</f>
        <v>0.77111605774956959</v>
      </c>
      <c r="AK16" s="2">
        <f>AJ16+預測IC!AK16</f>
        <v>0.83553745858194173</v>
      </c>
      <c r="AL16" s="2">
        <f>AK16+預測IC!AL16</f>
        <v>0.86924528370495102</v>
      </c>
      <c r="AM16" s="2">
        <f>AL16+預測IC!AM16</f>
        <v>0.8978365101872211</v>
      </c>
      <c r="AN16" s="2">
        <f>AM16+預測IC!AN16</f>
        <v>1.0352394240947038</v>
      </c>
      <c r="AO16" s="2">
        <f>AN16+預測IC!AO16</f>
        <v>1.0566018322339568</v>
      </c>
      <c r="AP16" s="2">
        <f>AO16+預測IC!AP16</f>
        <v>0.99364635623101438</v>
      </c>
      <c r="AQ16" s="2">
        <f>AP16+預測IC!AQ16</f>
        <v>0.94825076136312048</v>
      </c>
      <c r="AR16" s="2">
        <f>AQ16+預測IC!AR16</f>
        <v>0.97020380839057285</v>
      </c>
      <c r="AS16" s="2">
        <f>AR16+預測IC!AS16</f>
        <v>0.90448371654219517</v>
      </c>
      <c r="AT16" s="2">
        <f>AS16+預測IC!AT16</f>
        <v>1.1258045535862857</v>
      </c>
      <c r="AU16" s="2">
        <f>AT16+預測IC!AU16</f>
        <v>1.2645052026088841</v>
      </c>
      <c r="AV16" s="2">
        <f>AU16+預測IC!AV16</f>
        <v>1.2890983726633565</v>
      </c>
      <c r="AW16" s="2">
        <f>AV16+預測IC!AW16</f>
        <v>1.3839327422774135</v>
      </c>
      <c r="AX16" s="2">
        <f>AW16+預測IC!AX16</f>
        <v>1.2703371453654655</v>
      </c>
      <c r="AY16" s="2">
        <f>AX16+預測IC!AY16</f>
        <v>1.25916900050696</v>
      </c>
      <c r="AZ16" s="2">
        <f>AY16+預測IC!AZ16</f>
        <v>1.2003237313443158</v>
      </c>
      <c r="BA16" s="2">
        <f>AZ16+預測IC!BA16</f>
        <v>1.2124207171524577</v>
      </c>
      <c r="BB16" s="2">
        <f>BA16+預測IC!BB16</f>
        <v>1.3453993739121657</v>
      </c>
      <c r="BC16" s="2">
        <f>BB16+預測IC!BC16</f>
        <v>1.4107917044484655</v>
      </c>
      <c r="BD16" s="2">
        <f>BC16+預測IC!BD16</f>
        <v>1.4078010425407992</v>
      </c>
      <c r="BE16" s="2">
        <f>BD16+預測IC!BE16</f>
        <v>1.3605394329222795</v>
      </c>
      <c r="BF16" s="2">
        <f>BE16+預測IC!BF16</f>
        <v>1.3014915761914561</v>
      </c>
      <c r="BG16" s="2">
        <f>BF16+預測IC!BG16</f>
        <v>1.280136630720569</v>
      </c>
      <c r="BH16" s="2">
        <f>BG16+預測IC!BH16</f>
        <v>1.4016093828280392</v>
      </c>
      <c r="BI16" s="2">
        <f>BH16+預測IC!BI16</f>
        <v>1.441957817357725</v>
      </c>
      <c r="BJ16" s="2">
        <f>BI16+預測IC!BJ16</f>
        <v>1.4931228012889504</v>
      </c>
      <c r="BK16" s="2">
        <f>BJ16+預測IC!BK16</f>
        <v>1.4625835351332868</v>
      </c>
      <c r="BL16" s="2">
        <f>BK16+預測IC!BL16</f>
        <v>1.4516850169398459</v>
      </c>
      <c r="BM16" s="2">
        <f>BL16+預測IC!BM16</f>
        <v>1.4072234227559512</v>
      </c>
      <c r="BN16" s="2">
        <f>BM16+預測IC!BN16</f>
        <v>1.4854215408488578</v>
      </c>
      <c r="BO16" s="2">
        <f>BN16+預測IC!BO16</f>
        <v>1.4552208216634137</v>
      </c>
      <c r="BP16" s="2">
        <f>BO16+預測IC!BP16</f>
        <v>1.4110854265328197</v>
      </c>
      <c r="BQ16" s="2">
        <f>BP16+預測IC!BQ16</f>
        <v>1.4276114601185441</v>
      </c>
      <c r="BR16" s="2">
        <f>BQ16+預測IC!BR16</f>
        <v>1.365533169938411</v>
      </c>
      <c r="BS16" s="2">
        <f>BR16+預測IC!BS16</f>
        <v>1.3562598165202173</v>
      </c>
      <c r="BT16" s="2">
        <f>BS16+預測IC!BT16</f>
        <v>1.3061002222131792</v>
      </c>
      <c r="BU16" s="2">
        <f>BT16+預測IC!BU16</f>
        <v>1.2636149824954128</v>
      </c>
      <c r="BV16" s="2">
        <f>BU16+預測IC!BV16</f>
        <v>1.2897411532747767</v>
      </c>
      <c r="BW16" s="2">
        <f>BV16+預測IC!BW16</f>
        <v>1.0769105120990714</v>
      </c>
      <c r="BX16" s="2">
        <f>BW16+預測IC!BX16</f>
        <v>1.085009755703541</v>
      </c>
      <c r="BY16" s="2">
        <f>BX16+預測IC!BY16</f>
        <v>1.1497871423457728</v>
      </c>
      <c r="BZ16" s="2">
        <f>BY16+預測IC!BZ16</f>
        <v>1.2297217142490149</v>
      </c>
      <c r="CA16" s="2">
        <f>BZ16+預測IC!CA16</f>
        <v>1.4011750377595855</v>
      </c>
      <c r="CB16" s="2">
        <f>CA16+預測IC!CB16</f>
        <v>1.3058195283415341</v>
      </c>
      <c r="CC16" s="2">
        <f>CB16+預測IC!CC16</f>
        <v>1.3748624162618273</v>
      </c>
      <c r="CD16" s="2">
        <f>CC16+預測IC!CD16</f>
        <v>1.4813167580660538</v>
      </c>
      <c r="CE16" s="2">
        <f>CD16+預測IC!CE16</f>
        <v>1.5510799992974678</v>
      </c>
      <c r="CF16" s="2">
        <f>CE16+預測IC!CF16</f>
        <v>1.6340203354942193</v>
      </c>
      <c r="CG16" s="2">
        <f>CF16+預測IC!CG16</f>
        <v>1.7499971547671642</v>
      </c>
      <c r="CH16" s="2">
        <f>CG16+預測IC!CH16</f>
        <v>1.7980516593128735</v>
      </c>
      <c r="CI16" s="2">
        <f>CH16+預測IC!CI16</f>
        <v>1.8776010113215003</v>
      </c>
      <c r="CJ16" s="2">
        <f>CI16+預測IC!CJ16</f>
        <v>1.8208578312003671</v>
      </c>
      <c r="CK16" s="2">
        <f>CJ16+預測IC!CK16</f>
        <v>1.6793879286490159</v>
      </c>
      <c r="CL16" s="2">
        <f>CK16+預測IC!CL16</f>
        <v>1.6174040958954259</v>
      </c>
      <c r="CM16" s="2">
        <f>CL16+預測IC!CM16</f>
        <v>1.6489072401331335</v>
      </c>
      <c r="CN16" s="2">
        <f>CM16+預測IC!CN16</f>
        <v>1.5875273651958082</v>
      </c>
      <c r="CO16" s="2">
        <f>CN16+預測IC!CO16</f>
        <v>1.4986977873586462</v>
      </c>
      <c r="CP16" s="2">
        <f>CO16+預測IC!CP16</f>
        <v>1.5791039303340539</v>
      </c>
      <c r="CQ16" s="2">
        <f>CP16+預測IC!CQ16</f>
        <v>1.5034439617098487</v>
      </c>
      <c r="CR16" s="2">
        <f>CQ16+預測IC!CR16</f>
        <v>1.47183641516205</v>
      </c>
      <c r="CS16" s="2">
        <f>CR16+預測IC!CS16</f>
        <v>1.4604131661023485</v>
      </c>
      <c r="CT16" s="2">
        <f>CS16+預測IC!CT16</f>
        <v>1.5547335737533867</v>
      </c>
      <c r="CU16" s="2">
        <f>CT16+預測IC!CU16</f>
        <v>1.7276297949694217</v>
      </c>
      <c r="CV16" s="2">
        <f>CU16+預測IC!CV16</f>
        <v>1.7531100019175083</v>
      </c>
      <c r="CW16" s="2">
        <f>CV16+預測IC!CW16</f>
        <v>1.6973094808714928</v>
      </c>
      <c r="CX16" s="2">
        <f>CW16+預測IC!CX16</f>
        <v>1.7553932090022406</v>
      </c>
      <c r="CY16" s="2">
        <f>CX16+預測IC!CY16</f>
        <v>1.7057555695974107</v>
      </c>
      <c r="CZ16" s="2">
        <f>CY16+預測IC!CZ16</f>
        <v>1.8244669474110435</v>
      </c>
      <c r="DA16" s="2">
        <f>CZ16+預測IC!DA16</f>
        <v>1.9203554959519005</v>
      </c>
      <c r="DB16" s="2">
        <f>DA16+預測IC!DB16</f>
        <v>1.9777159405075078</v>
      </c>
      <c r="DC16" s="2">
        <f>DB16+預測IC!DC16</f>
        <v>2.054127061474265</v>
      </c>
      <c r="DD16" s="2">
        <f>DC16+預測IC!DD16</f>
        <v>2.2637886187568514</v>
      </c>
      <c r="DE16" s="2">
        <f>DD16+預測IC!DE16</f>
        <v>2.2375748735199301</v>
      </c>
      <c r="DF16" s="2">
        <f>DE16+預測IC!DF16</f>
        <v>2.5595046236864438</v>
      </c>
      <c r="DG16" s="2">
        <f>DF16+預測IC!DG16</f>
        <v>2.5150552307441143</v>
      </c>
      <c r="DH16" s="2">
        <f>DG16+預測IC!DH16</f>
        <v>2.6677615553459462</v>
      </c>
      <c r="DI16" s="2">
        <f>DH16+預測IC!DI16</f>
        <v>2.7079081626597308</v>
      </c>
      <c r="DJ16" s="2">
        <f>DI16+預測IC!DJ16</f>
        <v>2.746208626096017</v>
      </c>
      <c r="DK16" s="2">
        <f>DJ16+預測IC!DK16</f>
        <v>2.6629480321969599</v>
      </c>
      <c r="DL16" s="2">
        <f>DK16+預測IC!DL16</f>
        <v>2.6542711189599868</v>
      </c>
      <c r="DM16" s="2">
        <f>DL16+預測IC!DM16</f>
        <v>2.617511371841005</v>
      </c>
      <c r="DN16" s="2">
        <f>DM16+預測IC!DN16</f>
        <v>2.7205118575533391</v>
      </c>
      <c r="DO16" s="2">
        <f>DN16+預測IC!DO16</f>
        <v>2.6651354170858204</v>
      </c>
      <c r="DP16" s="2">
        <f>DO16+預測IC!DP16</f>
        <v>2.6830583059871271</v>
      </c>
      <c r="DQ16" s="2">
        <f>DP16+預測IC!DQ16</f>
        <v>2.5468162157371221</v>
      </c>
      <c r="DR16" s="2">
        <f>DQ16+預測IC!DR16</f>
        <v>2.5066740505448686</v>
      </c>
      <c r="DS16" s="2">
        <f>DR16+預測IC!DS16</f>
        <v>2.3902274819972247</v>
      </c>
      <c r="DT16" s="2">
        <f>DS16+預測IC!DT16</f>
        <v>2.4066333881326232</v>
      </c>
      <c r="DU16" s="2">
        <f>DT16+預測IC!DU16</f>
        <v>2.5845467264583233</v>
      </c>
      <c r="DV16" s="2">
        <f>DU16+預測IC!DV16</f>
        <v>2.6037200667255336</v>
      </c>
      <c r="DW16" s="2">
        <f>DV16+預測IC!DW16</f>
        <v>2.6322649358029171</v>
      </c>
      <c r="DX16" s="2">
        <f>DW16+預測IC!DX16</f>
        <v>2.659654846206438</v>
      </c>
      <c r="DY16" s="2">
        <f>DX16+預測IC!DY16</f>
        <v>2.7741251485274967</v>
      </c>
      <c r="DZ16" s="2">
        <f>DY16+預測IC!DZ16</f>
        <v>2.787236817341213</v>
      </c>
      <c r="EA16" s="2">
        <f>DZ16+預測IC!EA16</f>
        <v>2.87147133982084</v>
      </c>
      <c r="EB16" s="2">
        <f>EA16+預測IC!EB16</f>
        <v>2.7981523126766028</v>
      </c>
      <c r="EC16" s="2">
        <f>EB16+預測IC!EC16</f>
        <v>2.7024512266291865</v>
      </c>
      <c r="ED16" s="2">
        <f>EC16+預測IC!ED16</f>
        <v>2.5550296587195143</v>
      </c>
      <c r="EE16" s="2">
        <f>ED16+預測IC!EE16</f>
        <v>2.5572782151639681</v>
      </c>
      <c r="EF16" s="2">
        <f>EE16+預測IC!EF16</f>
        <v>2.5283683287045116</v>
      </c>
      <c r="EG16" s="2">
        <f>EF16+預測IC!EG16</f>
        <v>2.9241552870769962</v>
      </c>
      <c r="EH16" s="2">
        <f>EG16+預測IC!EH16</f>
        <v>2.9446892490134005</v>
      </c>
      <c r="EI16" s="2">
        <f>EH16+預測IC!EI16</f>
        <v>2.9188775189076028</v>
      </c>
      <c r="EJ16" s="2">
        <f>EI16+預測IC!EJ16</f>
        <v>2.8634485529700306</v>
      </c>
      <c r="EK16" s="2">
        <f>EJ16+預測IC!EK16</f>
        <v>2.8997220830571799</v>
      </c>
      <c r="EL16" s="2">
        <f>EK16+預測IC!EL16</f>
        <v>2.9200798931100778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7.2845874730196714E-2</v>
      </c>
      <c r="E17" s="2">
        <f>D17+預測IC!E17</f>
        <v>0.14954850115388491</v>
      </c>
      <c r="F17" s="2">
        <f>E17+預測IC!F17</f>
        <v>9.3057474322420591E-2</v>
      </c>
      <c r="G17" s="2">
        <f>F17+預測IC!G17</f>
        <v>0.26185431964045436</v>
      </c>
      <c r="H17" s="2">
        <f>G17+預測IC!H17</f>
        <v>0.30180761486497198</v>
      </c>
      <c r="I17" s="2">
        <f>H17+預測IC!I17</f>
        <v>0.38311124069795666</v>
      </c>
      <c r="J17" s="2">
        <f>I17+預測IC!J17</f>
        <v>0.42699241904292462</v>
      </c>
      <c r="K17" s="2">
        <f>J17+預測IC!K17</f>
        <v>0.4436170267706383</v>
      </c>
      <c r="L17" s="2">
        <f>K17+預測IC!L17</f>
        <v>0.43597862592769743</v>
      </c>
      <c r="M17" s="2">
        <f>L17+預測IC!M17</f>
        <v>0.25542222451505159</v>
      </c>
      <c r="N17" s="2">
        <f>M17+預測IC!N17</f>
        <v>0.3724851211520574</v>
      </c>
      <c r="O17" s="2">
        <f>N17+預測IC!O17</f>
        <v>0.34841782683312456</v>
      </c>
      <c r="P17" s="2">
        <f>O17+預測IC!P17</f>
        <v>0.43561437587396173</v>
      </c>
      <c r="Q17" s="2">
        <f>P17+預測IC!Q17</f>
        <v>0.4858334527672124</v>
      </c>
      <c r="R17" s="2">
        <f>Q17+預測IC!R17</f>
        <v>0.41736167652870343</v>
      </c>
      <c r="S17" s="2">
        <f>R17+預測IC!S17</f>
        <v>0.66332727507492861</v>
      </c>
      <c r="T17" s="2">
        <f>S17+預測IC!T17</f>
        <v>0.63109465152660471</v>
      </c>
      <c r="U17" s="2">
        <f>T17+預測IC!U17</f>
        <v>0.58621609234884298</v>
      </c>
      <c r="V17" s="2">
        <f>U17+預測IC!V17</f>
        <v>0.51475680451631634</v>
      </c>
      <c r="W17" s="2">
        <f>V17+預測IC!W17</f>
        <v>0.4381751078396291</v>
      </c>
      <c r="X17" s="2">
        <f>W17+預測IC!X17</f>
        <v>0.572266412422482</v>
      </c>
      <c r="Y17" s="2">
        <f>X17+預測IC!Y17</f>
        <v>0.53899354863894677</v>
      </c>
      <c r="Z17" s="2">
        <f>Y17+預測IC!Z17</f>
        <v>0.59581793067357347</v>
      </c>
      <c r="AA17" s="2">
        <f>Z17+預測IC!AA17</f>
        <v>0.75550087456481285</v>
      </c>
      <c r="AB17" s="2">
        <f>AA17+預測IC!AB17</f>
        <v>0.73478509570931938</v>
      </c>
      <c r="AC17" s="2">
        <f>AB17+預測IC!AC17</f>
        <v>0.75258918184363721</v>
      </c>
      <c r="AD17" s="2">
        <f>AC17+預測IC!AD17</f>
        <v>0.79271717224497107</v>
      </c>
      <c r="AE17" s="2">
        <f>AD17+預測IC!AE17</f>
        <v>0.66861623609161225</v>
      </c>
      <c r="AF17" s="2">
        <f>AE17+預測IC!AF17</f>
        <v>0.7322617636321056</v>
      </c>
      <c r="AG17" s="2">
        <f>AF17+預測IC!AG17</f>
        <v>0.7309967403845341</v>
      </c>
      <c r="AH17" s="2">
        <f>AG17+預測IC!AH17</f>
        <v>0.73305708264941205</v>
      </c>
      <c r="AI17" s="2">
        <f>AH17+預測IC!AI17</f>
        <v>0.77030081244368032</v>
      </c>
      <c r="AJ17" s="2">
        <f>AI17+預測IC!AJ17</f>
        <v>0.72805078545744895</v>
      </c>
      <c r="AK17" s="2">
        <f>AJ17+預測IC!AK17</f>
        <v>0.75986327145726884</v>
      </c>
      <c r="AL17" s="2">
        <f>AK17+預測IC!AL17</f>
        <v>0.79170474215875697</v>
      </c>
      <c r="AM17" s="2">
        <f>AL17+預測IC!AM17</f>
        <v>0.83623238609376649</v>
      </c>
      <c r="AN17" s="2">
        <f>AM17+預測IC!AN17</f>
        <v>0.95126409362534592</v>
      </c>
      <c r="AO17" s="2">
        <f>AN17+預測IC!AO17</f>
        <v>0.97003041348196328</v>
      </c>
      <c r="AP17" s="2">
        <f>AO17+預測IC!AP17</f>
        <v>0.88482764285994242</v>
      </c>
      <c r="AQ17" s="2">
        <f>AP17+預測IC!AQ17</f>
        <v>0.8489872548714591</v>
      </c>
      <c r="AR17" s="2">
        <f>AQ17+預測IC!AR17</f>
        <v>0.87358738136341008</v>
      </c>
      <c r="AS17" s="2">
        <f>AR17+預測IC!AS17</f>
        <v>0.78748770830712012</v>
      </c>
      <c r="AT17" s="2">
        <f>AS17+預測IC!AT17</f>
        <v>1.0549894401205218</v>
      </c>
      <c r="AU17" s="2">
        <f>AT17+預測IC!AU17</f>
        <v>1.1927626460063623</v>
      </c>
      <c r="AV17" s="2">
        <f>AU17+預測IC!AV17</f>
        <v>1.2164632037034095</v>
      </c>
      <c r="AW17" s="2">
        <f>AV17+預測IC!AW17</f>
        <v>1.3304634630083541</v>
      </c>
      <c r="AX17" s="2">
        <f>AW17+預測IC!AX17</f>
        <v>1.2344523801998113</v>
      </c>
      <c r="AY17" s="2">
        <f>AX17+預測IC!AY17</f>
        <v>1.2236860402770324</v>
      </c>
      <c r="AZ17" s="2">
        <f>AY17+預測IC!AZ17</f>
        <v>1.152784767638962</v>
      </c>
      <c r="BA17" s="2">
        <f>AZ17+預測IC!BA17</f>
        <v>1.1624811708276706</v>
      </c>
      <c r="BB17" s="2">
        <f>BA17+預測IC!BB17</f>
        <v>1.304798546166845</v>
      </c>
      <c r="BC17" s="2">
        <f>BB17+預測IC!BC17</f>
        <v>1.3867164638268425</v>
      </c>
      <c r="BD17" s="2">
        <f>BC17+預測IC!BD17</f>
        <v>1.3640511320946349</v>
      </c>
      <c r="BE17" s="2">
        <f>BD17+預測IC!BE17</f>
        <v>1.3274527395105591</v>
      </c>
      <c r="BF17" s="2">
        <f>BE17+預測IC!BF17</f>
        <v>1.3040948296312023</v>
      </c>
      <c r="BG17" s="2">
        <f>BF17+預測IC!BG17</f>
        <v>1.3149714346053918</v>
      </c>
      <c r="BH17" s="2">
        <f>BG17+預測IC!BH17</f>
        <v>1.4390981494073412</v>
      </c>
      <c r="BI17" s="2">
        <f>BH17+預測IC!BI17</f>
        <v>1.4635463583190325</v>
      </c>
      <c r="BJ17" s="2">
        <f>BI17+預測IC!BJ17</f>
        <v>1.5411321441613375</v>
      </c>
      <c r="BK17" s="2">
        <f>BJ17+預測IC!BK17</f>
        <v>1.4854978260037324</v>
      </c>
      <c r="BL17" s="2">
        <f>BK17+預測IC!BL17</f>
        <v>1.4910804990022923</v>
      </c>
      <c r="BM17" s="2">
        <f>BL17+預測IC!BM17</f>
        <v>1.467394725598705</v>
      </c>
      <c r="BN17" s="2">
        <f>BM17+預測IC!BN17</f>
        <v>1.5262059817559774</v>
      </c>
      <c r="BO17" s="2">
        <f>BN17+預測IC!BO17</f>
        <v>1.4944680964626511</v>
      </c>
      <c r="BP17" s="2">
        <f>BO17+預測IC!BP17</f>
        <v>1.4427810352870065</v>
      </c>
      <c r="BQ17" s="2">
        <f>BP17+預測IC!BQ17</f>
        <v>1.4822945611483347</v>
      </c>
      <c r="BR17" s="2">
        <f>BQ17+預測IC!BR17</f>
        <v>1.3912444374175295</v>
      </c>
      <c r="BS17" s="2">
        <f>BR17+預測IC!BS17</f>
        <v>1.380615936439803</v>
      </c>
      <c r="BT17" s="2">
        <f>BS17+預測IC!BT17</f>
        <v>1.3534799548760719</v>
      </c>
      <c r="BU17" s="2">
        <f>BT17+預測IC!BU17</f>
        <v>1.2815890134113885</v>
      </c>
      <c r="BV17" s="2">
        <f>BU17+預測IC!BV17</f>
        <v>1.3053659335385819</v>
      </c>
      <c r="BW17" s="2">
        <f>BV17+預測IC!BW17</f>
        <v>1.0711152730270659</v>
      </c>
      <c r="BX17" s="2">
        <f>BW17+預測IC!BX17</f>
        <v>1.0735457444904946</v>
      </c>
      <c r="BY17" s="2">
        <f>BX17+預測IC!BY17</f>
        <v>1.1592739309902995</v>
      </c>
      <c r="BZ17" s="2">
        <f>BY17+預測IC!BZ17</f>
        <v>1.246877104146247</v>
      </c>
      <c r="CA17" s="2">
        <f>BZ17+預測IC!CA17</f>
        <v>1.3761301487011126</v>
      </c>
      <c r="CB17" s="2">
        <f>CA17+預測IC!CB17</f>
        <v>1.2753749334742941</v>
      </c>
      <c r="CC17" s="2">
        <f>CB17+預測IC!CC17</f>
        <v>1.3397815076048865</v>
      </c>
      <c r="CD17" s="2">
        <f>CC17+預測IC!CD17</f>
        <v>1.4574353324437124</v>
      </c>
      <c r="CE17" s="2">
        <f>CD17+預測IC!CE17</f>
        <v>1.5463188468109248</v>
      </c>
      <c r="CF17" s="2">
        <f>CE17+預測IC!CF17</f>
        <v>1.621711530895257</v>
      </c>
      <c r="CG17" s="2">
        <f>CF17+預測IC!CG17</f>
        <v>1.7449818134727404</v>
      </c>
      <c r="CH17" s="2">
        <f>CG17+預測IC!CH17</f>
        <v>1.8278541932724093</v>
      </c>
      <c r="CI17" s="2">
        <f>CH17+預測IC!CI17</f>
        <v>1.8997209731393614</v>
      </c>
      <c r="CJ17" s="2">
        <f>CI17+預測IC!CJ17</f>
        <v>1.8180958742661015</v>
      </c>
      <c r="CK17" s="2">
        <f>CJ17+預測IC!CK17</f>
        <v>1.6750524042274872</v>
      </c>
      <c r="CL17" s="2">
        <f>CK17+預測IC!CL17</f>
        <v>1.5580317277754521</v>
      </c>
      <c r="CM17" s="2">
        <f>CL17+預測IC!CM17</f>
        <v>1.5446076094498868</v>
      </c>
      <c r="CN17" s="2">
        <f>CM17+預測IC!CN17</f>
        <v>1.4730058755802617</v>
      </c>
      <c r="CO17" s="2">
        <f>CN17+預測IC!CO17</f>
        <v>1.3406738133926437</v>
      </c>
      <c r="CP17" s="2">
        <f>CO17+預測IC!CP17</f>
        <v>1.4401266743485273</v>
      </c>
      <c r="CQ17" s="2">
        <f>CP17+預測IC!CQ17</f>
        <v>1.3739737231110312</v>
      </c>
      <c r="CR17" s="2">
        <f>CQ17+預測IC!CR17</f>
        <v>1.3360003551695523</v>
      </c>
      <c r="CS17" s="2">
        <f>CR17+預測IC!CS17</f>
        <v>1.3451117764186249</v>
      </c>
      <c r="CT17" s="2">
        <f>CS17+預測IC!CT17</f>
        <v>1.4513513006028165</v>
      </c>
      <c r="CU17" s="2">
        <f>CT17+預測IC!CU17</f>
        <v>1.5936898739298899</v>
      </c>
      <c r="CV17" s="2">
        <f>CU17+預測IC!CV17</f>
        <v>1.6111874457866877</v>
      </c>
      <c r="CW17" s="2">
        <f>CV17+預測IC!CW17</f>
        <v>1.5416252062793032</v>
      </c>
      <c r="CX17" s="2">
        <f>CW17+預測IC!CX17</f>
        <v>1.590690211958262</v>
      </c>
      <c r="CY17" s="2">
        <f>CX17+預測IC!CY17</f>
        <v>1.5326795287188277</v>
      </c>
      <c r="CZ17" s="2">
        <f>CY17+預測IC!CZ17</f>
        <v>1.69891830852911</v>
      </c>
      <c r="DA17" s="2">
        <f>CZ17+預測IC!DA17</f>
        <v>1.7833919862258418</v>
      </c>
      <c r="DB17" s="2">
        <f>DA17+預測IC!DB17</f>
        <v>1.841924669007462</v>
      </c>
      <c r="DC17" s="2">
        <f>DB17+預測IC!DC17</f>
        <v>1.9100672612223961</v>
      </c>
      <c r="DD17" s="2">
        <f>DC17+預測IC!DD17</f>
        <v>1.8615327943112037</v>
      </c>
      <c r="DE17" s="2">
        <f>DD17+預測IC!DE17</f>
        <v>1.8364811419841351</v>
      </c>
      <c r="DF17" s="2">
        <f>DE17+預測IC!DF17</f>
        <v>2.1846006704111387</v>
      </c>
      <c r="DG17" s="2">
        <f>DF17+預測IC!DG17</f>
        <v>2.1336727928019208</v>
      </c>
      <c r="DH17" s="2">
        <f>DG17+預測IC!DH17</f>
        <v>2.3106819654241715</v>
      </c>
      <c r="DI17" s="2">
        <f>DH17+預測IC!DI17</f>
        <v>2.3425936933558034</v>
      </c>
      <c r="DJ17" s="2">
        <f>DI17+預測IC!DJ17</f>
        <v>2.3829798111771989</v>
      </c>
      <c r="DK17" s="2">
        <f>DJ17+預測IC!DK17</f>
        <v>2.2872030258622522</v>
      </c>
      <c r="DL17" s="2">
        <f>DK17+預測IC!DL17</f>
        <v>2.2722122578983099</v>
      </c>
      <c r="DM17" s="2">
        <f>DL17+預測IC!DM17</f>
        <v>2.2287696608756034</v>
      </c>
      <c r="DN17" s="2">
        <f>DM17+預測IC!DN17</f>
        <v>2.3695625048174538</v>
      </c>
      <c r="DO17" s="2">
        <f>DN17+預測IC!DO17</f>
        <v>2.2943978147297917</v>
      </c>
      <c r="DP17" s="2">
        <f>DO17+預測IC!DP17</f>
        <v>2.3261179390661035</v>
      </c>
      <c r="DQ17" s="2">
        <f>DP17+預測IC!DQ17</f>
        <v>2.1814857468045861</v>
      </c>
      <c r="DR17" s="2">
        <f>DQ17+預測IC!DR17</f>
        <v>2.1137920495806899</v>
      </c>
      <c r="DS17" s="2">
        <f>DR17+預測IC!DS17</f>
        <v>1.9639445732732534</v>
      </c>
      <c r="DT17" s="2">
        <f>DS17+預測IC!DT17</f>
        <v>1.9695459979870409</v>
      </c>
      <c r="DU17" s="2">
        <f>DT17+預測IC!DU17</f>
        <v>2.165189964188774</v>
      </c>
      <c r="DV17" s="2">
        <f>DU17+預測IC!DV17</f>
        <v>2.1942028075873776</v>
      </c>
      <c r="DW17" s="2">
        <f>DV17+預測IC!DW17</f>
        <v>2.2334746723300229</v>
      </c>
      <c r="DX17" s="2">
        <f>DW17+預測IC!DX17</f>
        <v>2.2546465487551326</v>
      </c>
      <c r="DY17" s="2">
        <f>DX17+預測IC!DY17</f>
        <v>2.3955768244451061</v>
      </c>
      <c r="DZ17" s="2">
        <f>DY17+預測IC!DZ17</f>
        <v>2.398760269856048</v>
      </c>
      <c r="EA17" s="2">
        <f>DZ17+預測IC!EA17</f>
        <v>2.5039116798143985</v>
      </c>
      <c r="EB17" s="2">
        <f>EA17+預測IC!EB17</f>
        <v>2.4273816788114742</v>
      </c>
      <c r="EC17" s="2">
        <f>EB17+預測IC!EC17</f>
        <v>2.3067100023814722</v>
      </c>
      <c r="ED17" s="2">
        <f>EC17+預測IC!ED17</f>
        <v>2.1423801354904648</v>
      </c>
      <c r="EE17" s="2">
        <f>ED17+預測IC!EE17</f>
        <v>2.1687942774282325</v>
      </c>
      <c r="EF17" s="2">
        <f>EE17+預測IC!EF17</f>
        <v>2.1543192610520006</v>
      </c>
      <c r="EG17" s="2">
        <f>EF17+預測IC!EG17</f>
        <v>2.5964859741608035</v>
      </c>
      <c r="EH17" s="2">
        <f>EG17+預測IC!EH17</f>
        <v>2.6122370573804239</v>
      </c>
      <c r="EI17" s="2">
        <f>EH17+預測IC!EI17</f>
        <v>2.5894077890122005</v>
      </c>
      <c r="EJ17" s="2">
        <f>EI17+預測IC!EJ17</f>
        <v>2.5446194051546471</v>
      </c>
      <c r="EK17" s="2">
        <f>EJ17+預測IC!EK17</f>
        <v>2.5889443998876041</v>
      </c>
      <c r="EL17" s="2">
        <f>EK17+預測IC!EL17</f>
        <v>2.6082840468178956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0.14663916641642327</v>
      </c>
      <c r="E18" s="2">
        <f>D18+預測IC!E18</f>
        <v>0.24682415330027269</v>
      </c>
      <c r="F18" s="2">
        <f>E18+預測IC!F18</f>
        <v>0.21715819608572934</v>
      </c>
      <c r="G18" s="2">
        <f>F18+預測IC!G18</f>
        <v>0.40926238497436773</v>
      </c>
      <c r="H18" s="2">
        <f>G18+預測IC!H18</f>
        <v>0.47131506902391085</v>
      </c>
      <c r="I18" s="2">
        <f>H18+預測IC!I18</f>
        <v>0.52357868414414599</v>
      </c>
      <c r="J18" s="2">
        <f>I18+預測IC!J18</f>
        <v>0.5623077010821067</v>
      </c>
      <c r="K18" s="2">
        <f>J18+預測IC!K18</f>
        <v>0.60788458675613466</v>
      </c>
      <c r="L18" s="2">
        <f>K18+預測IC!L18</f>
        <v>0.5999303479698086</v>
      </c>
      <c r="M18" s="2">
        <f>L18+預測IC!M18</f>
        <v>0.41267879814107999</v>
      </c>
      <c r="N18" s="2">
        <f>M18+預測IC!N18</f>
        <v>0.5340877563792461</v>
      </c>
      <c r="O18" s="2">
        <f>N18+預測IC!O18</f>
        <v>0.53357516722591503</v>
      </c>
      <c r="P18" s="2">
        <f>O18+預測IC!P18</f>
        <v>0.64057993441307681</v>
      </c>
      <c r="Q18" s="2">
        <f>P18+預測IC!Q18</f>
        <v>0.6966462095417395</v>
      </c>
      <c r="R18" s="2">
        <f>Q18+預測IC!R18</f>
        <v>0.62010872928861194</v>
      </c>
      <c r="S18" s="2">
        <f>R18+預測IC!S18</f>
        <v>0.90125194751353699</v>
      </c>
      <c r="T18" s="2">
        <f>S18+預測IC!T18</f>
        <v>0.86719027667777859</v>
      </c>
      <c r="U18" s="2">
        <f>T18+預測IC!U18</f>
        <v>0.73071359171305728</v>
      </c>
      <c r="V18" s="2">
        <f>U18+預測IC!V18</f>
        <v>0.66253166371027516</v>
      </c>
      <c r="W18" s="2">
        <f>V18+預測IC!W18</f>
        <v>0.57350139837574055</v>
      </c>
      <c r="X18" s="2">
        <f>W18+預測IC!X18</f>
        <v>0.70033167934900786</v>
      </c>
      <c r="Y18" s="2">
        <f>X18+預測IC!Y18</f>
        <v>0.65906795301183652</v>
      </c>
      <c r="Z18" s="2">
        <f>Y18+預測IC!Z18</f>
        <v>0.72617337981921914</v>
      </c>
      <c r="AA18" s="2">
        <f>Z18+預測IC!AA18</f>
        <v>0.86893024795756091</v>
      </c>
      <c r="AB18" s="2">
        <f>AA18+預測IC!AB18</f>
        <v>0.87428382737818122</v>
      </c>
      <c r="AC18" s="2">
        <f>AB18+預測IC!AC18</f>
        <v>0.8922280618034153</v>
      </c>
      <c r="AD18" s="2">
        <f>AC18+預測IC!AD18</f>
        <v>0.94156925638695976</v>
      </c>
      <c r="AE18" s="2">
        <f>AD18+預測IC!AE18</f>
        <v>0.79768565878130238</v>
      </c>
      <c r="AF18" s="2">
        <f>AE18+預測IC!AF18</f>
        <v>0.87538422045241338</v>
      </c>
      <c r="AG18" s="2">
        <f>AF18+預測IC!AG18</f>
        <v>0.86746409566456306</v>
      </c>
      <c r="AH18" s="2">
        <f>AG18+預測IC!AH18</f>
        <v>0.87508486709858335</v>
      </c>
      <c r="AI18" s="2">
        <f>AH18+預測IC!AI18</f>
        <v>0.92063123691397075</v>
      </c>
      <c r="AJ18" s="2">
        <f>AI18+預測IC!AJ18</f>
        <v>0.87795807411805504</v>
      </c>
      <c r="AK18" s="2">
        <f>AJ18+預測IC!AK18</f>
        <v>0.87577059314938099</v>
      </c>
      <c r="AL18" s="2">
        <f>AK18+預測IC!AL18</f>
        <v>0.9020164117163405</v>
      </c>
      <c r="AM18" s="2">
        <f>AL18+預測IC!AM18</f>
        <v>0.93438104959337731</v>
      </c>
      <c r="AN18" s="2">
        <f>AM18+預測IC!AN18</f>
        <v>1.061669545894586</v>
      </c>
      <c r="AO18" s="2">
        <f>AN18+預測IC!AO18</f>
        <v>1.0940275298686402</v>
      </c>
      <c r="AP18" s="2">
        <f>AO18+預測IC!AP18</f>
        <v>1.0071344085357599</v>
      </c>
      <c r="AQ18" s="2">
        <f>AP18+預測IC!AQ18</f>
        <v>0.96430422750323108</v>
      </c>
      <c r="AR18" s="2">
        <f>AQ18+預測IC!AR18</f>
        <v>0.99181417395446891</v>
      </c>
      <c r="AS18" s="2">
        <f>AR18+預測IC!AS18</f>
        <v>0.95683331745241751</v>
      </c>
      <c r="AT18" s="2">
        <f>AS18+預測IC!AT18</f>
        <v>1.2543869133665817</v>
      </c>
      <c r="AU18" s="2">
        <f>AT18+預測IC!AU18</f>
        <v>1.392640649439558</v>
      </c>
      <c r="AV18" s="2">
        <f>AU18+預測IC!AV18</f>
        <v>1.406955955626032</v>
      </c>
      <c r="AW18" s="2">
        <f>AV18+預測IC!AW18</f>
        <v>1.5229543036788069</v>
      </c>
      <c r="AX18" s="2">
        <f>AW18+預測IC!AX18</f>
        <v>1.3844704436120172</v>
      </c>
      <c r="AY18" s="2">
        <f>AX18+預測IC!AY18</f>
        <v>1.453455946960641</v>
      </c>
      <c r="AZ18" s="2">
        <f>AY18+預測IC!AZ18</f>
        <v>1.3621120514235727</v>
      </c>
      <c r="BA18" s="2">
        <f>AZ18+預測IC!BA18</f>
        <v>1.3442510230061986</v>
      </c>
      <c r="BB18" s="2">
        <f>BA18+預測IC!BB18</f>
        <v>1.494535009953176</v>
      </c>
      <c r="BC18" s="2">
        <f>BB18+預測IC!BC18</f>
        <v>1.5768238352507107</v>
      </c>
      <c r="BD18" s="2">
        <f>BC18+預測IC!BD18</f>
        <v>1.5673700167528062</v>
      </c>
      <c r="BE18" s="2">
        <f>BD18+預測IC!BE18</f>
        <v>1.5225921378538021</v>
      </c>
      <c r="BF18" s="2">
        <f>BE18+預測IC!BF18</f>
        <v>1.4787109808048757</v>
      </c>
      <c r="BG18" s="2">
        <f>BF18+預測IC!BG18</f>
        <v>1.4784172681954293</v>
      </c>
      <c r="BH18" s="2">
        <f>BG18+預測IC!BH18</f>
        <v>1.6028040250648632</v>
      </c>
      <c r="BI18" s="2">
        <f>BH18+預測IC!BI18</f>
        <v>1.6410438501646396</v>
      </c>
      <c r="BJ18" s="2">
        <f>BI18+預測IC!BJ18</f>
        <v>1.6816756491611</v>
      </c>
      <c r="BK18" s="2">
        <f>BJ18+預測IC!BK18</f>
        <v>1.6346011177833468</v>
      </c>
      <c r="BL18" s="2">
        <f>BK18+預測IC!BL18</f>
        <v>1.6325016554263974</v>
      </c>
      <c r="BM18" s="2">
        <f>BL18+預測IC!BM18</f>
        <v>1.585436922341791</v>
      </c>
      <c r="BN18" s="2">
        <f>BM18+預測IC!BN18</f>
        <v>1.6489200797669368</v>
      </c>
      <c r="BO18" s="2">
        <f>BN18+預測IC!BO18</f>
        <v>1.6394302430625904</v>
      </c>
      <c r="BP18" s="2">
        <f>BO18+預測IC!BP18</f>
        <v>1.5809912220213811</v>
      </c>
      <c r="BQ18" s="2">
        <f>BP18+預測IC!BQ18</f>
        <v>1.5972206054335512</v>
      </c>
      <c r="BR18" s="2">
        <f>BQ18+預測IC!BR18</f>
        <v>1.5068809848642226</v>
      </c>
      <c r="BS18" s="2">
        <f>BR18+預測IC!BS18</f>
        <v>1.4862995851212981</v>
      </c>
      <c r="BT18" s="2">
        <f>BS18+預測IC!BT18</f>
        <v>1.4568354159871364</v>
      </c>
      <c r="BU18" s="2">
        <f>BT18+預測IC!BU18</f>
        <v>1.3674516106859333</v>
      </c>
      <c r="BV18" s="2">
        <f>BU18+預測IC!BV18</f>
        <v>1.3952713799781247</v>
      </c>
      <c r="BW18" s="2">
        <f>BV18+預測IC!BW18</f>
        <v>1.1554800674440804</v>
      </c>
      <c r="BX18" s="2">
        <f>BW18+預測IC!BX18</f>
        <v>1.1864889684966404</v>
      </c>
      <c r="BY18" s="2">
        <f>BX18+預測IC!BY18</f>
        <v>1.3263932538111622</v>
      </c>
      <c r="BZ18" s="2">
        <f>BY18+預測IC!BZ18</f>
        <v>1.4362078249377688</v>
      </c>
      <c r="CA18" s="2">
        <f>BZ18+預測IC!CA18</f>
        <v>1.5960767689102935</v>
      </c>
      <c r="CB18" s="2">
        <f>CA18+預測IC!CB18</f>
        <v>1.5228715531246313</v>
      </c>
      <c r="CC18" s="2">
        <f>CB18+預測IC!CC18</f>
        <v>1.5926872738624247</v>
      </c>
      <c r="CD18" s="2">
        <f>CC18+預測IC!CD18</f>
        <v>1.7156679608940946</v>
      </c>
      <c r="CE18" s="2">
        <f>CD18+預測IC!CE18</f>
        <v>1.7851288594359942</v>
      </c>
      <c r="CF18" s="2">
        <f>CE18+預測IC!CF18</f>
        <v>1.8774432825981522</v>
      </c>
      <c r="CG18" s="2">
        <f>CF18+預測IC!CG18</f>
        <v>2.0481317601170632</v>
      </c>
      <c r="CH18" s="2">
        <f>CG18+預測IC!CH18</f>
        <v>2.1562451713922788</v>
      </c>
      <c r="CI18" s="2">
        <f>CH18+預測IC!CI18</f>
        <v>2.2043266006192459</v>
      </c>
      <c r="CJ18" s="2">
        <f>CI18+預測IC!CJ18</f>
        <v>2.1053870942782376</v>
      </c>
      <c r="CK18" s="2">
        <f>CJ18+預測IC!CK18</f>
        <v>1.9562808769782472</v>
      </c>
      <c r="CL18" s="2">
        <f>CK18+預測IC!CL18</f>
        <v>1.8393250754202988</v>
      </c>
      <c r="CM18" s="2">
        <f>CL18+預測IC!CM18</f>
        <v>1.8332675439528432</v>
      </c>
      <c r="CN18" s="2">
        <f>CM18+預測IC!CN18</f>
        <v>1.7500375791452254</v>
      </c>
      <c r="CO18" s="2">
        <f>CN18+預測IC!CO18</f>
        <v>1.6062939214746814</v>
      </c>
      <c r="CP18" s="2">
        <f>CO18+預測IC!CP18</f>
        <v>1.7188889870485742</v>
      </c>
      <c r="CQ18" s="2">
        <f>CP18+預測IC!CQ18</f>
        <v>1.6709980821499955</v>
      </c>
      <c r="CR18" s="2">
        <f>CQ18+預測IC!CR18</f>
        <v>1.6194540839368317</v>
      </c>
      <c r="CS18" s="2">
        <f>CR18+預測IC!CS18</f>
        <v>1.6245905741657904</v>
      </c>
      <c r="CT18" s="2">
        <f>CS18+預測IC!CT18</f>
        <v>1.741758733581013</v>
      </c>
      <c r="CU18" s="2">
        <f>CT18+預測IC!CU18</f>
        <v>1.88434858117231</v>
      </c>
      <c r="CV18" s="2">
        <f>CU18+預測IC!CV18</f>
        <v>1.9303167519009226</v>
      </c>
      <c r="CW18" s="2">
        <f>CV18+預測IC!CW18</f>
        <v>1.8486032661587923</v>
      </c>
      <c r="CX18" s="2">
        <f>CW18+預測IC!CX18</f>
        <v>1.9012513574209355</v>
      </c>
      <c r="CY18" s="2">
        <f>CX18+預測IC!CY18</f>
        <v>1.8416658697645691</v>
      </c>
      <c r="CZ18" s="2">
        <f>CY18+預測IC!CZ18</f>
        <v>2.0416946710017165</v>
      </c>
      <c r="DA18" s="2">
        <f>CZ18+預測IC!DA18</f>
        <v>2.117742088051608</v>
      </c>
      <c r="DB18" s="2">
        <f>DA18+預測IC!DB18</f>
        <v>2.1732886185087383</v>
      </c>
      <c r="DC18" s="2">
        <f>DB18+預測IC!DC18</f>
        <v>2.2387880805226241</v>
      </c>
      <c r="DD18" s="2">
        <f>DC18+預測IC!DD18</f>
        <v>2.1672552062462827</v>
      </c>
      <c r="DE18" s="2">
        <f>DD18+預測IC!DE18</f>
        <v>2.1333889158327466</v>
      </c>
      <c r="DF18" s="2">
        <f>DE18+預測IC!DF18</f>
        <v>2.4953883244816542</v>
      </c>
      <c r="DG18" s="2">
        <f>DF18+預測IC!DG18</f>
        <v>2.4343236618793789</v>
      </c>
      <c r="DH18" s="2">
        <f>DG18+預測IC!DH18</f>
        <v>2.6401895445030417</v>
      </c>
      <c r="DI18" s="2">
        <f>DH18+預測IC!DI18</f>
        <v>2.6780764990958481</v>
      </c>
      <c r="DJ18" s="2">
        <f>DI18+預測IC!DJ18</f>
        <v>2.7257427658594162</v>
      </c>
      <c r="DK18" s="2">
        <f>DJ18+預測IC!DK18</f>
        <v>2.6579740332603183</v>
      </c>
      <c r="DL18" s="2">
        <f>DK18+預測IC!DL18</f>
        <v>2.6393040618595451</v>
      </c>
      <c r="DM18" s="2">
        <f>DL18+預測IC!DM18</f>
        <v>2.6012765998447716</v>
      </c>
      <c r="DN18" s="2">
        <f>DM18+預測IC!DN18</f>
        <v>2.754742592201314</v>
      </c>
      <c r="DO18" s="2">
        <f>DN18+預測IC!DO18</f>
        <v>2.7132131224697713</v>
      </c>
      <c r="DP18" s="2">
        <f>DO18+預測IC!DP18</f>
        <v>2.7310812540840996</v>
      </c>
      <c r="DQ18" s="2">
        <f>DP18+預測IC!DQ18</f>
        <v>2.5569021475180929</v>
      </c>
      <c r="DR18" s="2">
        <f>DQ18+預測IC!DR18</f>
        <v>2.5095415024403849</v>
      </c>
      <c r="DS18" s="2">
        <f>DR18+預測IC!DS18</f>
        <v>2.33264085655708</v>
      </c>
      <c r="DT18" s="2">
        <f>DS18+預測IC!DT18</f>
        <v>2.3311293140018825</v>
      </c>
      <c r="DU18" s="2">
        <f>DT18+預測IC!DU18</f>
        <v>2.4981232927908237</v>
      </c>
      <c r="DV18" s="2">
        <f>DU18+預測IC!DV18</f>
        <v>2.5442845004779651</v>
      </c>
      <c r="DW18" s="2">
        <f>DV18+預測IC!DW18</f>
        <v>2.5781235960722175</v>
      </c>
      <c r="DX18" s="2">
        <f>DW18+預測IC!DX18</f>
        <v>2.5320456772571358</v>
      </c>
      <c r="DY18" s="2">
        <f>DX18+預測IC!DY18</f>
        <v>2.7028765162302428</v>
      </c>
      <c r="DZ18" s="2">
        <f>DY18+預測IC!DZ18</f>
        <v>2.7130608803466791</v>
      </c>
      <c r="EA18" s="2">
        <f>DZ18+預測IC!EA18</f>
        <v>2.8526128649439686</v>
      </c>
      <c r="EB18" s="2">
        <f>EA18+預測IC!EB18</f>
        <v>2.7524284253613791</v>
      </c>
      <c r="EC18" s="2">
        <f>EB18+預測IC!EC18</f>
        <v>2.6325106616412337</v>
      </c>
      <c r="ED18" s="2">
        <f>EC18+預測IC!ED18</f>
        <v>2.4712841745510703</v>
      </c>
      <c r="EE18" s="2">
        <f>ED18+預測IC!EE18</f>
        <v>2.4892463056477574</v>
      </c>
      <c r="EF18" s="2">
        <f>EE18+預測IC!EF18</f>
        <v>2.4684472247136107</v>
      </c>
      <c r="EG18" s="2">
        <f>EF18+預測IC!EG18</f>
        <v>2.9601892457882042</v>
      </c>
      <c r="EH18" s="2">
        <f>EG18+預測IC!EH18</f>
        <v>2.9771816327502929</v>
      </c>
      <c r="EI18" s="2">
        <f>EH18+預測IC!EI18</f>
        <v>2.9622300654828018</v>
      </c>
      <c r="EJ18" s="2">
        <f>EI18+預測IC!EJ18</f>
        <v>2.8995533803589999</v>
      </c>
      <c r="EK18" s="2">
        <f>EJ18+預測IC!EK18</f>
        <v>2.9451206653015491</v>
      </c>
      <c r="EL18" s="2">
        <f>EK18+預測IC!EL18</f>
        <v>2.9365986666736115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0.14430565152060182</v>
      </c>
      <c r="E19" s="2">
        <f>D19+預測IC!E19</f>
        <v>0.21812450555189439</v>
      </c>
      <c r="F19" s="2">
        <f>E19+預測IC!F19</f>
        <v>0.1995852361579844</v>
      </c>
      <c r="G19" s="2">
        <f>F19+預測IC!G19</f>
        <v>0.42133673154215567</v>
      </c>
      <c r="H19" s="2">
        <f>G19+預測IC!H19</f>
        <v>0.50787052195433247</v>
      </c>
      <c r="I19" s="2">
        <f>H19+預測IC!I19</f>
        <v>0.56491012779360839</v>
      </c>
      <c r="J19" s="2">
        <f>I19+預測IC!J19</f>
        <v>0.60452577477657299</v>
      </c>
      <c r="K19" s="2">
        <f>J19+預測IC!K19</f>
        <v>0.647407015271661</v>
      </c>
      <c r="L19" s="2">
        <f>K19+預測IC!L19</f>
        <v>0.64032545199821511</v>
      </c>
      <c r="M19" s="2">
        <f>L19+預測IC!M19</f>
        <v>0.40741843024293622</v>
      </c>
      <c r="N19" s="2">
        <f>M19+預測IC!N19</f>
        <v>0.47758560204521122</v>
      </c>
      <c r="O19" s="2">
        <f>N19+預測IC!O19</f>
        <v>0.52877551718695637</v>
      </c>
      <c r="P19" s="2">
        <f>O19+預測IC!P19</f>
        <v>0.62071514864403954</v>
      </c>
      <c r="Q19" s="2">
        <f>P19+預測IC!Q19</f>
        <v>0.68827762439126838</v>
      </c>
      <c r="R19" s="2">
        <f>Q19+預測IC!R19</f>
        <v>0.5979785337604121</v>
      </c>
      <c r="S19" s="2">
        <f>R19+預測IC!S19</f>
        <v>0.92252934226237038</v>
      </c>
      <c r="T19" s="2">
        <f>S19+預測IC!T19</f>
        <v>0.9203259447737292</v>
      </c>
      <c r="U19" s="2">
        <f>T19+預測IC!U19</f>
        <v>0.77357720385022666</v>
      </c>
      <c r="V19" s="2">
        <f>U19+預測IC!V19</f>
        <v>0.69678363011637967</v>
      </c>
      <c r="W19" s="2">
        <f>V19+預測IC!W19</f>
        <v>0.58452053646996516</v>
      </c>
      <c r="X19" s="2">
        <f>W19+預測IC!X19</f>
        <v>0.68176813896222299</v>
      </c>
      <c r="Y19" s="2">
        <f>X19+預測IC!Y19</f>
        <v>0.64065663703138209</v>
      </c>
      <c r="Z19" s="2">
        <f>Y19+預測IC!Z19</f>
        <v>0.71352771617245425</v>
      </c>
      <c r="AA19" s="2">
        <f>Z19+預測IC!AA19</f>
        <v>0.81594748831982122</v>
      </c>
      <c r="AB19" s="2">
        <f>AA19+預測IC!AB19</f>
        <v>0.8278406567669705</v>
      </c>
      <c r="AC19" s="2">
        <f>AB19+預測IC!AC19</f>
        <v>0.837335797071593</v>
      </c>
      <c r="AD19" s="2">
        <f>AC19+預測IC!AD19</f>
        <v>0.87784601647802707</v>
      </c>
      <c r="AE19" s="2">
        <f>AD19+預測IC!AE19</f>
        <v>0.72059410427298531</v>
      </c>
      <c r="AF19" s="2">
        <f>AE19+預測IC!AF19</f>
        <v>0.80882086746172632</v>
      </c>
      <c r="AG19" s="2">
        <f>AF19+預測IC!AG19</f>
        <v>0.77919187344462559</v>
      </c>
      <c r="AH19" s="2">
        <f>AG19+預測IC!AH19</f>
        <v>0.74964410539921755</v>
      </c>
      <c r="AI19" s="2">
        <f>AH19+預測IC!AI19</f>
        <v>0.82682795257896025</v>
      </c>
      <c r="AJ19" s="2">
        <f>AI19+預測IC!AJ19</f>
        <v>0.77999186615198246</v>
      </c>
      <c r="AK19" s="2">
        <f>AJ19+預測IC!AK19</f>
        <v>0.78754390865793522</v>
      </c>
      <c r="AL19" s="2">
        <f>AK19+預測IC!AL19</f>
        <v>0.81214141259785855</v>
      </c>
      <c r="AM19" s="2">
        <f>AL19+預測IC!AM19</f>
        <v>0.84472642935512887</v>
      </c>
      <c r="AN19" s="2">
        <f>AM19+預測IC!AN19</f>
        <v>0.96204876773938997</v>
      </c>
      <c r="AO19" s="2">
        <f>AN19+預測IC!AO19</f>
        <v>0.98003534471792841</v>
      </c>
      <c r="AP19" s="2">
        <f>AO19+預測IC!AP19</f>
        <v>0.88431469407008989</v>
      </c>
      <c r="AQ19" s="2">
        <f>AP19+預測IC!AQ19</f>
        <v>0.80572664894127999</v>
      </c>
      <c r="AR19" s="2">
        <f>AQ19+預測IC!AR19</f>
        <v>0.83527173861966286</v>
      </c>
      <c r="AS19" s="2">
        <f>AR19+預測IC!AS19</f>
        <v>0.77824650647478644</v>
      </c>
      <c r="AT19" s="2">
        <f>AS19+預測IC!AT19</f>
        <v>1.1082487313461757</v>
      </c>
      <c r="AU19" s="2">
        <f>AT19+預測IC!AU19</f>
        <v>1.260362413046386</v>
      </c>
      <c r="AV19" s="2">
        <f>AU19+預測IC!AV19</f>
        <v>1.2800052770190538</v>
      </c>
      <c r="AW19" s="2">
        <f>AV19+預測IC!AW19</f>
        <v>1.40882677710786</v>
      </c>
      <c r="AX19" s="2">
        <f>AW19+預測IC!AX19</f>
        <v>1.2282065710617684</v>
      </c>
      <c r="AY19" s="2">
        <f>AX19+預測IC!AY19</f>
        <v>1.1774513344135933</v>
      </c>
      <c r="AZ19" s="2">
        <f>AY19+預測IC!AZ19</f>
        <v>1.0571477675725549</v>
      </c>
      <c r="BA19" s="2">
        <f>AZ19+預測IC!BA19</f>
        <v>1.0275485729466971</v>
      </c>
      <c r="BB19" s="2">
        <f>BA19+預測IC!BB19</f>
        <v>1.2073188239928059</v>
      </c>
      <c r="BC19" s="2">
        <f>BB19+預測IC!BC19</f>
        <v>1.2900444452077411</v>
      </c>
      <c r="BD19" s="2">
        <f>BC19+預測IC!BD19</f>
        <v>1.2459357705962724</v>
      </c>
      <c r="BE19" s="2">
        <f>BD19+預測IC!BE19</f>
        <v>1.1889522679532507</v>
      </c>
      <c r="BF19" s="2">
        <f>BE19+預測IC!BF19</f>
        <v>1.1328214104468528</v>
      </c>
      <c r="BG19" s="2">
        <f>BF19+預測IC!BG19</f>
        <v>1.1288225825897344</v>
      </c>
      <c r="BH19" s="2">
        <f>BG19+預測IC!BH19</f>
        <v>1.2584913101200459</v>
      </c>
      <c r="BI19" s="2">
        <f>BH19+預測IC!BI19</f>
        <v>1.3210752741974359</v>
      </c>
      <c r="BJ19" s="2">
        <f>BI19+預測IC!BJ19</f>
        <v>1.3505166423635788</v>
      </c>
      <c r="BK19" s="2">
        <f>BJ19+預測IC!BK19</f>
        <v>1.2880560284039775</v>
      </c>
      <c r="BL19" s="2">
        <f>BK19+預測IC!BL19</f>
        <v>1.285840330302686</v>
      </c>
      <c r="BM19" s="2">
        <f>BL19+預測IC!BM19</f>
        <v>1.2367295489608043</v>
      </c>
      <c r="BN19" s="2">
        <f>BM19+預測IC!BN19</f>
        <v>1.2849980478957994</v>
      </c>
      <c r="BO19" s="2">
        <f>BN19+預測IC!BO19</f>
        <v>1.3015610643343209</v>
      </c>
      <c r="BP19" s="2">
        <f>BO19+預測IC!BP19</f>
        <v>1.2331700273451105</v>
      </c>
      <c r="BQ19" s="2">
        <f>BP19+預測IC!BQ19</f>
        <v>1.2666276423149576</v>
      </c>
      <c r="BR19" s="2">
        <f>BQ19+預測IC!BR19</f>
        <v>1.2097302925556899</v>
      </c>
      <c r="BS19" s="2">
        <f>BR19+預測IC!BS19</f>
        <v>1.2017451050313768</v>
      </c>
      <c r="BT19" s="2">
        <f>BS19+預測IC!BT19</f>
        <v>1.1792598307825557</v>
      </c>
      <c r="BU19" s="2">
        <f>BT19+預測IC!BU19</f>
        <v>1.0809161111104528</v>
      </c>
      <c r="BV19" s="2">
        <f>BU19+預測IC!BV19</f>
        <v>1.1304206245051325</v>
      </c>
      <c r="BW19" s="2">
        <f>BV19+預測IC!BW19</f>
        <v>0.85288983265346086</v>
      </c>
      <c r="BX19" s="2">
        <f>BW19+預測IC!BX19</f>
        <v>0.89013074694794558</v>
      </c>
      <c r="BY19" s="2">
        <f>BX19+預測IC!BY19</f>
        <v>1.0425047828359919</v>
      </c>
      <c r="BZ19" s="2">
        <f>BY19+預測IC!BZ19</f>
        <v>1.187246804664434</v>
      </c>
      <c r="CA19" s="2">
        <f>BZ19+預測IC!CA19</f>
        <v>1.2599556823250371</v>
      </c>
      <c r="CB19" s="2">
        <f>CA19+預測IC!CB19</f>
        <v>1.2012948714629117</v>
      </c>
      <c r="CC19" s="2">
        <f>CB19+預測IC!CC19</f>
        <v>1.2505384753821787</v>
      </c>
      <c r="CD19" s="2">
        <f>CC19+預測IC!CD19</f>
        <v>1.3390736728326231</v>
      </c>
      <c r="CE19" s="2">
        <f>CD19+預測IC!CE19</f>
        <v>1.3762827962682544</v>
      </c>
      <c r="CF19" s="2">
        <f>CE19+預測IC!CF19</f>
        <v>1.4333320693751705</v>
      </c>
      <c r="CG19" s="2">
        <f>CF19+預測IC!CG19</f>
        <v>1.5746284893590889</v>
      </c>
      <c r="CH19" s="2">
        <f>CG19+預測IC!CH19</f>
        <v>1.7042993016660268</v>
      </c>
      <c r="CI19" s="2">
        <f>CH19+預測IC!CI19</f>
        <v>1.7088637238940949</v>
      </c>
      <c r="CJ19" s="2">
        <f>CI19+預測IC!CJ19</f>
        <v>1.614385956026839</v>
      </c>
      <c r="CK19" s="2">
        <f>CJ19+預測IC!CK19</f>
        <v>1.4621479860954636</v>
      </c>
      <c r="CL19" s="2">
        <f>CK19+預測IC!CL19</f>
        <v>1.2989548394405468</v>
      </c>
      <c r="CM19" s="2">
        <f>CL19+預測IC!CM19</f>
        <v>1.3012573177420628</v>
      </c>
      <c r="CN19" s="2">
        <f>CM19+預測IC!CN19</f>
        <v>1.2246020153528374</v>
      </c>
      <c r="CO19" s="2">
        <f>CN19+預測IC!CO19</f>
        <v>1.0546162017496969</v>
      </c>
      <c r="CP19" s="2">
        <f>CO19+預測IC!CP19</f>
        <v>1.1729917560634857</v>
      </c>
      <c r="CQ19" s="2">
        <f>CP19+預測IC!CQ19</f>
        <v>1.1268627299946634</v>
      </c>
      <c r="CR19" s="2">
        <f>CQ19+預測IC!CR19</f>
        <v>1.0517169146167493</v>
      </c>
      <c r="CS19" s="2">
        <f>CR19+預測IC!CS19</f>
        <v>1.0351762449296646</v>
      </c>
      <c r="CT19" s="2">
        <f>CS19+預測IC!CT19</f>
        <v>1.1573497590274153</v>
      </c>
      <c r="CU19" s="2">
        <f>CT19+預測IC!CU19</f>
        <v>1.201558767296476</v>
      </c>
      <c r="CV19" s="2">
        <f>CU19+預測IC!CV19</f>
        <v>1.2496080271608991</v>
      </c>
      <c r="CW19" s="2">
        <f>CV19+預測IC!CW19</f>
        <v>1.1818769607028075</v>
      </c>
      <c r="CX19" s="2">
        <f>CW19+預測IC!CX19</f>
        <v>1.3007567579494519</v>
      </c>
      <c r="CY19" s="2">
        <f>CX19+預測IC!CY19</f>
        <v>1.237167771234565</v>
      </c>
      <c r="CZ19" s="2">
        <f>CY19+預測IC!CZ19</f>
        <v>1.4598529293998095</v>
      </c>
      <c r="DA19" s="2">
        <f>CZ19+預測IC!DA19</f>
        <v>1.5047512485760697</v>
      </c>
      <c r="DB19" s="2">
        <f>DA19+預測IC!DB19</f>
        <v>1.5634038667070482</v>
      </c>
      <c r="DC19" s="2">
        <f>DB19+預測IC!DC19</f>
        <v>1.6126860175732705</v>
      </c>
      <c r="DD19" s="2">
        <f>DC19+預測IC!DD19</f>
        <v>1.5486000499905268</v>
      </c>
      <c r="DE19" s="2">
        <f>DD19+預測IC!DE19</f>
        <v>1.5682118239912455</v>
      </c>
      <c r="DF19" s="2">
        <f>DE19+預測IC!DF19</f>
        <v>1.7682388684595836</v>
      </c>
      <c r="DG19" s="2">
        <f>DF19+預測IC!DG19</f>
        <v>1.7014474150954608</v>
      </c>
      <c r="DH19" s="2">
        <f>DG19+預測IC!DH19</f>
        <v>1.9477819629972783</v>
      </c>
      <c r="DI19" s="2">
        <f>DH19+預測IC!DI19</f>
        <v>2.0086895584676037</v>
      </c>
      <c r="DJ19" s="2">
        <f>DI19+預測IC!DJ19</f>
        <v>2.0593022167225716</v>
      </c>
      <c r="DK19" s="2">
        <f>DJ19+預測IC!DK19</f>
        <v>1.9967960496132566</v>
      </c>
      <c r="DL19" s="2">
        <f>DK19+預測IC!DL19</f>
        <v>2.0105318206933349</v>
      </c>
      <c r="DM19" s="2">
        <f>DL19+預測IC!DM19</f>
        <v>1.9449670067177611</v>
      </c>
      <c r="DN19" s="2">
        <f>DM19+預測IC!DN19</f>
        <v>2.1407113982008776</v>
      </c>
      <c r="DO19" s="2">
        <f>DN19+預測IC!DO19</f>
        <v>2.1017007466769955</v>
      </c>
      <c r="DP19" s="2">
        <f>DO19+預測IC!DP19</f>
        <v>2.1294119778261797</v>
      </c>
      <c r="DQ19" s="2">
        <f>DP19+預測IC!DQ19</f>
        <v>1.8958895085259388</v>
      </c>
      <c r="DR19" s="2">
        <f>DQ19+預測IC!DR19</f>
        <v>1.8120100340691494</v>
      </c>
      <c r="DS19" s="2">
        <f>DR19+預測IC!DS19</f>
        <v>1.599972731778345</v>
      </c>
      <c r="DT19" s="2">
        <f>DS19+預測IC!DT19</f>
        <v>1.6029610143312174</v>
      </c>
      <c r="DU19" s="2">
        <f>DT19+預測IC!DU19</f>
        <v>1.7975173516805325</v>
      </c>
      <c r="DV19" s="2">
        <f>DU19+預測IC!DV19</f>
        <v>1.851429248924088</v>
      </c>
      <c r="DW19" s="2">
        <f>DV19+預測IC!DW19</f>
        <v>1.8914967975669212</v>
      </c>
      <c r="DX19" s="2">
        <f>DW19+預測IC!DX19</f>
        <v>1.8186235773936685</v>
      </c>
      <c r="DY19" s="2">
        <f>DX19+預測IC!DY19</f>
        <v>2.0223343902342434</v>
      </c>
      <c r="DZ19" s="2">
        <f>DY19+預測IC!DZ19</f>
        <v>2.0289593889071553</v>
      </c>
      <c r="EA19" s="2">
        <f>DZ19+預測IC!EA19</f>
        <v>2.1987550713535065</v>
      </c>
      <c r="EB19" s="2">
        <f>EA19+預測IC!EB19</f>
        <v>2.0888438382810328</v>
      </c>
      <c r="EC19" s="2">
        <f>EB19+預測IC!EC19</f>
        <v>1.9555440101650994</v>
      </c>
      <c r="ED19" s="2">
        <f>EC19+預測IC!ED19</f>
        <v>1.756601462558816</v>
      </c>
      <c r="EE19" s="2">
        <f>ED19+預測IC!EE19</f>
        <v>1.7725099347171598</v>
      </c>
      <c r="EF19" s="2">
        <f>EE19+預測IC!EF19</f>
        <v>1.7944641260452778</v>
      </c>
      <c r="EG19" s="2">
        <f>EF19+預測IC!EG19</f>
        <v>2.3766727420593869</v>
      </c>
      <c r="EH19" s="2">
        <f>EG19+預測IC!EH19</f>
        <v>2.3642917383159423</v>
      </c>
      <c r="EI19" s="2">
        <f>EH19+預測IC!EI19</f>
        <v>2.3849854203361467</v>
      </c>
      <c r="EJ19" s="2">
        <f>EI19+預測IC!EJ19</f>
        <v>2.3361152655618342</v>
      </c>
      <c r="EK19" s="2">
        <f>EJ19+預測IC!EK19</f>
        <v>2.377738853159816</v>
      </c>
      <c r="EL19" s="2">
        <f>EK19+預測IC!EL19</f>
        <v>2.4015070388115003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0.1467052251462328</v>
      </c>
      <c r="E20" s="2">
        <f>D20+預測IC!E20</f>
        <v>0.19552029150983197</v>
      </c>
      <c r="F20" s="2">
        <f>E20+預測IC!F20</f>
        <v>0.22293214002745992</v>
      </c>
      <c r="G20" s="2">
        <f>F20+預測IC!G20</f>
        <v>0.46362408779618225</v>
      </c>
      <c r="H20" s="2">
        <f>G20+預測IC!H20</f>
        <v>0.59095694507719954</v>
      </c>
      <c r="I20" s="2">
        <f>H20+預測IC!I20</f>
        <v>0.61889248672160246</v>
      </c>
      <c r="J20" s="2">
        <f>I20+預測IC!J20</f>
        <v>0.69603230677231265</v>
      </c>
      <c r="K20" s="2">
        <f>J20+預測IC!K20</f>
        <v>0.77673088046972749</v>
      </c>
      <c r="L20" s="2">
        <f>K20+預測IC!L20</f>
        <v>0.81373705693195841</v>
      </c>
      <c r="M20" s="2">
        <f>L20+預測IC!M20</f>
        <v>0.53608289041111423</v>
      </c>
      <c r="N20" s="2">
        <f>M20+預測IC!N20</f>
        <v>0.60779096279150702</v>
      </c>
      <c r="O20" s="2">
        <f>N20+預測IC!O20</f>
        <v>0.65052498754929755</v>
      </c>
      <c r="P20" s="2">
        <f>O20+預測IC!P20</f>
        <v>0.70019068265914164</v>
      </c>
      <c r="Q20" s="2">
        <f>P20+預測IC!Q20</f>
        <v>0.78663120426982358</v>
      </c>
      <c r="R20" s="2">
        <f>Q20+預測IC!R20</f>
        <v>0.67737814863235479</v>
      </c>
      <c r="S20" s="2">
        <f>R20+預測IC!S20</f>
        <v>0.95484585550407342</v>
      </c>
      <c r="T20" s="2">
        <f>S20+預測IC!T20</f>
        <v>0.96728736006180949</v>
      </c>
      <c r="U20" s="2">
        <f>T20+預測IC!U20</f>
        <v>0.83467418915060265</v>
      </c>
      <c r="V20" s="2">
        <f>U20+預測IC!V20</f>
        <v>0.76179390478713715</v>
      </c>
      <c r="W20" s="2">
        <f>V20+預測IC!W20</f>
        <v>0.59518541554399162</v>
      </c>
      <c r="X20" s="2">
        <f>W20+預測IC!X20</f>
        <v>0.72061288547492253</v>
      </c>
      <c r="Y20" s="2">
        <f>X20+預測IC!Y20</f>
        <v>0.67798589004107013</v>
      </c>
      <c r="Z20" s="2">
        <f>Y20+預測IC!Z20</f>
        <v>0.79494479135078011</v>
      </c>
      <c r="AA20" s="2">
        <f>Z20+預測IC!AA20</f>
        <v>0.89036032026380763</v>
      </c>
      <c r="AB20" s="2">
        <f>AA20+預測IC!AB20</f>
        <v>0.94085454482192943</v>
      </c>
      <c r="AC20" s="2">
        <f>AB20+預測IC!AC20</f>
        <v>0.89049837970223789</v>
      </c>
      <c r="AD20" s="2">
        <f>AC20+預測IC!AD20</f>
        <v>0.94723971957997122</v>
      </c>
      <c r="AE20" s="2">
        <f>AD20+預測IC!AE20</f>
        <v>0.7654654008784697</v>
      </c>
      <c r="AF20" s="2">
        <f>AE20+預測IC!AF20</f>
        <v>0.86910285658533382</v>
      </c>
      <c r="AG20" s="2">
        <f>AF20+預測IC!AG20</f>
        <v>0.76870324624883868</v>
      </c>
      <c r="AH20" s="2">
        <f>AG20+預測IC!AH20</f>
        <v>0.72432587060472897</v>
      </c>
      <c r="AI20" s="2">
        <f>AH20+預測IC!AI20</f>
        <v>0.81482483414733531</v>
      </c>
      <c r="AJ20" s="2">
        <f>AI20+預測IC!AJ20</f>
        <v>0.75283479959978772</v>
      </c>
      <c r="AK20" s="2">
        <f>AJ20+預測IC!AK20</f>
        <v>0.73923968410378482</v>
      </c>
      <c r="AL20" s="2">
        <f>AK20+預測IC!AL20</f>
        <v>0.80297522505826302</v>
      </c>
      <c r="AM20" s="2">
        <f>AL20+預測IC!AM20</f>
        <v>0.83832646216003059</v>
      </c>
      <c r="AN20" s="2">
        <f>AM20+預測IC!AN20</f>
        <v>0.95916792863322975</v>
      </c>
      <c r="AO20" s="2">
        <f>AN20+預測IC!AO20</f>
        <v>1.0145670870162626</v>
      </c>
      <c r="AP20" s="2">
        <f>AO20+預測IC!AP20</f>
        <v>0.92782184892336739</v>
      </c>
      <c r="AQ20" s="2">
        <f>AP20+預測IC!AQ20</f>
        <v>0.83563452608209754</v>
      </c>
      <c r="AR20" s="2">
        <f>AQ20+預測IC!AR20</f>
        <v>0.83353673387187455</v>
      </c>
      <c r="AS20" s="2">
        <f>AR20+預測IC!AS20</f>
        <v>0.7602903781835566</v>
      </c>
      <c r="AT20" s="2">
        <f>AS20+預測IC!AT20</f>
        <v>0.9633529688273289</v>
      </c>
      <c r="AU20" s="2">
        <f>AT20+預測IC!AU20</f>
        <v>1.1373273176699028</v>
      </c>
      <c r="AV20" s="2">
        <f>AU20+預測IC!AV20</f>
        <v>1.1501802810460466</v>
      </c>
      <c r="AW20" s="2">
        <f>AV20+預測IC!AW20</f>
        <v>1.3045613844838102</v>
      </c>
      <c r="AX20" s="2">
        <f>AW20+預測IC!AX20</f>
        <v>1.1255474364631415</v>
      </c>
      <c r="AY20" s="2">
        <f>AX20+預測IC!AY20</f>
        <v>1.0509200832594165</v>
      </c>
      <c r="AZ20" s="2">
        <f>AY20+預測IC!AZ20</f>
        <v>0.9170089136748909</v>
      </c>
      <c r="BA20" s="2">
        <f>AZ20+預測IC!BA20</f>
        <v>0.86868140685844231</v>
      </c>
      <c r="BB20" s="2">
        <f>BA20+預測IC!BB20</f>
        <v>1.0603656926034242</v>
      </c>
      <c r="BC20" s="2">
        <f>BB20+預測IC!BC20</f>
        <v>1.0998880927280694</v>
      </c>
      <c r="BD20" s="2">
        <f>BC20+預測IC!BD20</f>
        <v>1.0426395566758335</v>
      </c>
      <c r="BE20" s="2">
        <f>BD20+預測IC!BE20</f>
        <v>0.96839576969466235</v>
      </c>
      <c r="BF20" s="2">
        <f>BE20+預測IC!BF20</f>
        <v>0.90514566117532624</v>
      </c>
      <c r="BG20" s="2">
        <f>BF20+預測IC!BG20</f>
        <v>0.95323012519493244</v>
      </c>
      <c r="BH20" s="2">
        <f>BG20+預測IC!BH20</f>
        <v>1.0442489853777959</v>
      </c>
      <c r="BI20" s="2">
        <f>BH20+預測IC!BI20</f>
        <v>1.1332969432076432</v>
      </c>
      <c r="BJ20" s="2">
        <f>BI20+預測IC!BJ20</f>
        <v>1.1624368142729513</v>
      </c>
      <c r="BK20" s="2">
        <f>BJ20+預測IC!BK20</f>
        <v>1.0975742637466377</v>
      </c>
      <c r="BL20" s="2">
        <f>BK20+預測IC!BL20</f>
        <v>1.0857638984069091</v>
      </c>
      <c r="BM20" s="2">
        <f>BL20+預測IC!BM20</f>
        <v>1.0292830356739953</v>
      </c>
      <c r="BN20" s="2">
        <f>BM20+預測IC!BN20</f>
        <v>1.0884779009265688</v>
      </c>
      <c r="BO20" s="2">
        <f>BN20+預測IC!BO20</f>
        <v>1.0837069055235082</v>
      </c>
      <c r="BP20" s="2">
        <f>BO20+預測IC!BP20</f>
        <v>1.0830010432513428</v>
      </c>
      <c r="BQ20" s="2">
        <f>BP20+預測IC!BQ20</f>
        <v>1.125905989836842</v>
      </c>
      <c r="BR20" s="2">
        <f>BQ20+預測IC!BR20</f>
        <v>1.0761221711555005</v>
      </c>
      <c r="BS20" s="2">
        <f>BR20+預測IC!BS20</f>
        <v>1.0511813090280071</v>
      </c>
      <c r="BT20" s="2">
        <f>BS20+預測IC!BT20</f>
        <v>1.0151259042265763</v>
      </c>
      <c r="BU20" s="2">
        <f>BT20+預測IC!BU20</f>
        <v>0.90846911688022935</v>
      </c>
      <c r="BV20" s="2">
        <f>BU20+預測IC!BV20</f>
        <v>0.96062778420778916</v>
      </c>
      <c r="BW20" s="2">
        <f>BV20+預測IC!BW20</f>
        <v>0.63257598778996715</v>
      </c>
      <c r="BX20" s="2">
        <f>BW20+預測IC!BX20</f>
        <v>0.65483340291158632</v>
      </c>
      <c r="BY20" s="2">
        <f>BX20+預測IC!BY20</f>
        <v>0.82166726108347532</v>
      </c>
      <c r="BZ20" s="2">
        <f>BY20+預測IC!BZ20</f>
        <v>1.0063923485728274</v>
      </c>
      <c r="CA20" s="2">
        <f>BZ20+預測IC!CA20</f>
        <v>1.0942442476553365</v>
      </c>
      <c r="CB20" s="2">
        <f>CA20+預測IC!CB20</f>
        <v>1.0602974917993566</v>
      </c>
      <c r="CC20" s="2">
        <f>CB20+預測IC!CC20</f>
        <v>1.0946029373302399</v>
      </c>
      <c r="CD20" s="2">
        <f>CC20+預測IC!CD20</f>
        <v>1.1945993438013132</v>
      </c>
      <c r="CE20" s="2">
        <f>CD20+預測IC!CE20</f>
        <v>1.2274569682333554</v>
      </c>
      <c r="CF20" s="2">
        <f>CE20+預測IC!CF20</f>
        <v>1.293387834288211</v>
      </c>
      <c r="CG20" s="2">
        <f>CF20+預測IC!CG20</f>
        <v>1.4251015880754883</v>
      </c>
      <c r="CH20" s="2">
        <f>CG20+預測IC!CH20</f>
        <v>1.5642529888224384</v>
      </c>
      <c r="CI20" s="2">
        <f>CH20+預測IC!CI20</f>
        <v>1.5647667638638825</v>
      </c>
      <c r="CJ20" s="2">
        <f>CI20+預測IC!CJ20</f>
        <v>1.4226403188281027</v>
      </c>
      <c r="CK20" s="2">
        <f>CJ20+預測IC!CK20</f>
        <v>1.3092473855299707</v>
      </c>
      <c r="CL20" s="2">
        <f>CK20+預測IC!CL20</f>
        <v>1.0204673195256162</v>
      </c>
      <c r="CM20" s="2">
        <f>CL20+預測IC!CM20</f>
        <v>1.0650549985387869</v>
      </c>
      <c r="CN20" s="2">
        <f>CM20+預測IC!CN20</f>
        <v>0.98636180257361472</v>
      </c>
      <c r="CO20" s="2">
        <f>CN20+預測IC!CO20</f>
        <v>0.6933527766350418</v>
      </c>
      <c r="CP20" s="2">
        <f>CO20+預測IC!CP20</f>
        <v>0.85786443620294506</v>
      </c>
      <c r="CQ20" s="2">
        <f>CP20+預測IC!CQ20</f>
        <v>0.81268779202392794</v>
      </c>
      <c r="CR20" s="2">
        <f>CQ20+預測IC!CR20</f>
        <v>0.73642385882812023</v>
      </c>
      <c r="CS20" s="2">
        <f>CR20+預測IC!CS20</f>
        <v>0.73209831113763424</v>
      </c>
      <c r="CT20" s="2">
        <f>CS20+預測IC!CT20</f>
        <v>0.80158640763155298</v>
      </c>
      <c r="CU20" s="2">
        <f>CT20+預測IC!CU20</f>
        <v>0.80287607193768751</v>
      </c>
      <c r="CV20" s="2">
        <f>CU20+預測IC!CV20</f>
        <v>0.84524295055609988</v>
      </c>
      <c r="CW20" s="2">
        <f>CV20+預測IC!CW20</f>
        <v>0.79165575869623828</v>
      </c>
      <c r="CX20" s="2">
        <f>CW20+預測IC!CX20</f>
        <v>0.91235040434866999</v>
      </c>
      <c r="CY20" s="2">
        <f>CX20+預測IC!CY20</f>
        <v>0.8228377560982576</v>
      </c>
      <c r="CZ20" s="2">
        <f>CY20+預測IC!CZ20</f>
        <v>1.0246376192446829</v>
      </c>
      <c r="DA20" s="2">
        <f>CZ20+預測IC!DA20</f>
        <v>1.0466795966097431</v>
      </c>
      <c r="DB20" s="2">
        <f>DA20+預測IC!DB20</f>
        <v>1.123647666380527</v>
      </c>
      <c r="DC20" s="2">
        <f>DB20+預測IC!DC20</f>
        <v>1.175355659508813</v>
      </c>
      <c r="DD20" s="2">
        <f>DC20+預測IC!DD20</f>
        <v>1.1065464430787395</v>
      </c>
      <c r="DE20" s="2">
        <f>DD20+預測IC!DE20</f>
        <v>1.0631202573700007</v>
      </c>
      <c r="DF20" s="2">
        <f>DE20+預測IC!DF20</f>
        <v>1.2929480703518037</v>
      </c>
      <c r="DG20" s="2">
        <f>DF20+預測IC!DG20</f>
        <v>1.2185764981698879</v>
      </c>
      <c r="DH20" s="2">
        <f>DG20+預測IC!DH20</f>
        <v>1.5229690719576257</v>
      </c>
      <c r="DI20" s="2">
        <f>DH20+預測IC!DI20</f>
        <v>1.5504636127521747</v>
      </c>
      <c r="DJ20" s="2">
        <f>DI20+預測IC!DJ20</f>
        <v>1.6681832632227591</v>
      </c>
      <c r="DK20" s="2">
        <f>DJ20+預測IC!DK20</f>
        <v>1.5948734832889984</v>
      </c>
      <c r="DL20" s="2">
        <f>DK20+預測IC!DL20</f>
        <v>1.6055241701951724</v>
      </c>
      <c r="DM20" s="2">
        <f>DL20+預測IC!DM20</f>
        <v>1.5979975659201764</v>
      </c>
      <c r="DN20" s="2">
        <f>DM20+預測IC!DN20</f>
        <v>1.824839807601641</v>
      </c>
      <c r="DO20" s="2">
        <f>DN20+預測IC!DO20</f>
        <v>1.8426949276961082</v>
      </c>
      <c r="DP20" s="2">
        <f>DO20+預測IC!DP20</f>
        <v>1.8792680063903655</v>
      </c>
      <c r="DQ20" s="2">
        <f>DP20+預測IC!DQ20</f>
        <v>1.6226251554173343</v>
      </c>
      <c r="DR20" s="2">
        <f>DQ20+預測IC!DR20</f>
        <v>1.5481166236698793</v>
      </c>
      <c r="DS20" s="2">
        <f>DR20+預測IC!DS20</f>
        <v>1.3011854196873236</v>
      </c>
      <c r="DT20" s="2">
        <f>DS20+預測IC!DT20</f>
        <v>1.2789863163088455</v>
      </c>
      <c r="DU20" s="2">
        <f>DT20+預測IC!DU20</f>
        <v>1.5216421690593132</v>
      </c>
      <c r="DV20" s="2">
        <f>DU20+預測IC!DV20</f>
        <v>1.5309896526427329</v>
      </c>
      <c r="DW20" s="2">
        <f>DV20+預測IC!DW20</f>
        <v>1.5804131242994834</v>
      </c>
      <c r="DX20" s="2">
        <f>DW20+預測IC!DX20</f>
        <v>1.4615141825768063</v>
      </c>
      <c r="DY20" s="2">
        <f>DX20+預測IC!DY20</f>
        <v>1.6193709896080122</v>
      </c>
      <c r="DZ20" s="2">
        <f>DY20+預測IC!DZ20</f>
        <v>1.6182380523398869</v>
      </c>
      <c r="EA20" s="2">
        <f>DZ20+預測IC!EA20</f>
        <v>1.8177114061455044</v>
      </c>
      <c r="EB20" s="2">
        <f>EA20+預測IC!EB20</f>
        <v>1.7070006892387826</v>
      </c>
      <c r="EC20" s="2">
        <f>EB20+預測IC!EC20</f>
        <v>1.5651280434435602</v>
      </c>
      <c r="ED20" s="2">
        <f>EC20+預測IC!ED20</f>
        <v>1.3581214492396301</v>
      </c>
      <c r="EE20" s="2">
        <f>ED20+預測IC!EE20</f>
        <v>1.3833818755321743</v>
      </c>
      <c r="EF20" s="2">
        <f>EE20+預測IC!EF20</f>
        <v>1.4103100903763268</v>
      </c>
      <c r="EG20" s="2">
        <f>EF20+預測IC!EG20</f>
        <v>2.0531765917505242</v>
      </c>
      <c r="EH20" s="2">
        <f>EG20+預測IC!EH20</f>
        <v>2.0444081507261944</v>
      </c>
      <c r="EI20" s="2">
        <f>EH20+預測IC!EI20</f>
        <v>2.0607309355871912</v>
      </c>
      <c r="EJ20" s="2">
        <f>EI20+預測IC!EJ20</f>
        <v>1.9987122376177908</v>
      </c>
      <c r="EK20" s="2">
        <f>EJ20+預測IC!EK20</f>
        <v>2.0478888593031011</v>
      </c>
      <c r="EL20" s="2">
        <f>EK20+預測IC!EL20</f>
        <v>2.0924867120143791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0.19915039658974448</v>
      </c>
      <c r="E21" s="2">
        <f>D21+預測IC!E21</f>
        <v>0.26943267048419123</v>
      </c>
      <c r="F21" s="2">
        <f>E21+預測IC!F21</f>
        <v>0.20002339339323472</v>
      </c>
      <c r="G21" s="2">
        <f>F21+預測IC!G21</f>
        <v>0.41348878614920648</v>
      </c>
      <c r="H21" s="2">
        <f>G21+預測IC!H21</f>
        <v>0.49699798535231621</v>
      </c>
      <c r="I21" s="2">
        <f>H21+預測IC!I21</f>
        <v>0.51110926383329813</v>
      </c>
      <c r="J21" s="2">
        <f>I21+預測IC!J21</f>
        <v>0.60167590307774499</v>
      </c>
      <c r="K21" s="2">
        <f>J21+預測IC!K21</f>
        <v>0.66601088374724937</v>
      </c>
      <c r="L21" s="2">
        <f>K21+預測IC!L21</f>
        <v>0.75344471427593174</v>
      </c>
      <c r="M21" s="2">
        <f>L21+預測IC!M21</f>
        <v>0.45654012629782492</v>
      </c>
      <c r="N21" s="2">
        <f>M21+預測IC!N21</f>
        <v>0.54253003895589169</v>
      </c>
      <c r="O21" s="2">
        <f>N21+預測IC!O21</f>
        <v>0.60138517906832933</v>
      </c>
      <c r="P21" s="2">
        <f>O21+預測IC!P21</f>
        <v>0.67287939269462915</v>
      </c>
      <c r="Q21" s="2">
        <f>P21+預測IC!Q21</f>
        <v>0.79392577892798499</v>
      </c>
      <c r="R21" s="2">
        <f>Q21+預測IC!R21</f>
        <v>0.69835046782135479</v>
      </c>
      <c r="S21" s="2">
        <f>R21+預測IC!S21</f>
        <v>0.95303327032723506</v>
      </c>
      <c r="T21" s="2">
        <f>S21+預測IC!T21</f>
        <v>1.0028950209839504</v>
      </c>
      <c r="U21" s="2">
        <f>T21+預測IC!U21</f>
        <v>0.88191815582963418</v>
      </c>
      <c r="V21" s="2">
        <f>U21+預測IC!V21</f>
        <v>0.8534204697889396</v>
      </c>
      <c r="W21" s="2">
        <f>V21+預測IC!W21</f>
        <v>0.69036458996236272</v>
      </c>
      <c r="X21" s="2">
        <f>W21+預測IC!X21</f>
        <v>0.82419462669347499</v>
      </c>
      <c r="Y21" s="2">
        <f>X21+預測IC!Y21</f>
        <v>0.73018263088329949</v>
      </c>
      <c r="Z21" s="2">
        <f>Y21+預測IC!Z21</f>
        <v>0.86204648597643985</v>
      </c>
      <c r="AA21" s="2">
        <f>Z21+預測IC!AA21</f>
        <v>0.95415466757636347</v>
      </c>
      <c r="AB21" s="2">
        <f>AA21+預測IC!AB21</f>
        <v>1.0458300443507187</v>
      </c>
      <c r="AC21" s="2">
        <f>AB21+預測IC!AC21</f>
        <v>0.98383211508834933</v>
      </c>
      <c r="AD21" s="2">
        <f>AC21+預測IC!AD21</f>
        <v>1.0196223027636742</v>
      </c>
      <c r="AE21" s="2">
        <f>AD21+預測IC!AE21</f>
        <v>0.83595008541642424</v>
      </c>
      <c r="AF21" s="2">
        <f>AE21+預測IC!AF21</f>
        <v>0.93960049140364454</v>
      </c>
      <c r="AG21" s="2">
        <f>AF21+預測IC!AG21</f>
        <v>0.85305550100942151</v>
      </c>
      <c r="AH21" s="2">
        <f>AG21+預測IC!AH21</f>
        <v>0.83707279893918751</v>
      </c>
      <c r="AI21" s="2">
        <f>AH21+預測IC!AI21</f>
        <v>0.9166670082724786</v>
      </c>
      <c r="AJ21" s="2">
        <f>AI21+預測IC!AJ21</f>
        <v>0.84626166632600985</v>
      </c>
      <c r="AK21" s="2">
        <f>AJ21+預測IC!AK21</f>
        <v>0.81561823258857857</v>
      </c>
      <c r="AL21" s="2">
        <f>AK21+預測IC!AL21</f>
        <v>0.88099805532168918</v>
      </c>
      <c r="AM21" s="2">
        <f>AL21+預測IC!AM21</f>
        <v>0.93229999443759104</v>
      </c>
      <c r="AN21" s="2">
        <f>AM21+預測IC!AN21</f>
        <v>1.0387311324073929</v>
      </c>
      <c r="AO21" s="2">
        <f>AN21+預測IC!AO21</f>
        <v>1.1134660615607366</v>
      </c>
      <c r="AP21" s="2">
        <f>AO21+預測IC!AP21</f>
        <v>1.0086578886591409</v>
      </c>
      <c r="AQ21" s="2">
        <f>AP21+預測IC!AQ21</f>
        <v>0.93421404307960976</v>
      </c>
      <c r="AR21" s="2">
        <f>AQ21+預測IC!AR21</f>
        <v>0.89599494676904656</v>
      </c>
      <c r="AS21" s="2">
        <f>AR21+預測IC!AS21</f>
        <v>0.77857762611045278</v>
      </c>
      <c r="AT21" s="2">
        <f>AS21+預測IC!AT21</f>
        <v>0.98976169584060636</v>
      </c>
      <c r="AU21" s="2">
        <f>AT21+預測IC!AU21</f>
        <v>1.1861585950775209</v>
      </c>
      <c r="AV21" s="2">
        <f>AU21+預測IC!AV21</f>
        <v>1.1379682143240801</v>
      </c>
      <c r="AW21" s="2">
        <f>AV21+預測IC!AW21</f>
        <v>1.3210025709138042</v>
      </c>
      <c r="AX21" s="2">
        <f>AW21+預測IC!AX21</f>
        <v>1.1636912064952409</v>
      </c>
      <c r="AY21" s="2">
        <f>AX21+預測IC!AY21</f>
        <v>1.0950474369659968</v>
      </c>
      <c r="AZ21" s="2">
        <f>AY21+預測IC!AZ21</f>
        <v>0.94000024405956428</v>
      </c>
      <c r="BA21" s="2">
        <f>AZ21+預測IC!BA21</f>
        <v>0.89193268565792372</v>
      </c>
      <c r="BB21" s="2">
        <f>BA21+預測IC!BB21</f>
        <v>1.1473148986567776</v>
      </c>
      <c r="BC21" s="2">
        <f>BB21+預測IC!BC21</f>
        <v>1.207211099451176</v>
      </c>
      <c r="BD21" s="2">
        <f>BC21+預測IC!BD21</f>
        <v>1.0992206849317792</v>
      </c>
      <c r="BE21" s="2">
        <f>BD21+預測IC!BE21</f>
        <v>1.0139111592582992</v>
      </c>
      <c r="BF21" s="2">
        <f>BE21+預測IC!BF21</f>
        <v>0.94157969945177733</v>
      </c>
      <c r="BG21" s="2">
        <f>BF21+預測IC!BG21</f>
        <v>0.98876518792773449</v>
      </c>
      <c r="BH21" s="2">
        <f>BG21+預測IC!BH21</f>
        <v>1.1635443829379353</v>
      </c>
      <c r="BI21" s="2">
        <f>BH21+預測IC!BI21</f>
        <v>1.2225994963354261</v>
      </c>
      <c r="BJ21" s="2">
        <f>BI21+預測IC!BJ21</f>
        <v>1.2249090865609225</v>
      </c>
      <c r="BK21" s="2">
        <f>BJ21+預測IC!BK21</f>
        <v>1.1477687726619195</v>
      </c>
      <c r="BL21" s="2">
        <f>BK21+預測IC!BL21</f>
        <v>1.1438734254034724</v>
      </c>
      <c r="BM21" s="2">
        <f>BL21+預測IC!BM21</f>
        <v>1.1030781393747517</v>
      </c>
      <c r="BN21" s="2">
        <f>BM21+預測IC!BN21</f>
        <v>1.2376660345385038</v>
      </c>
      <c r="BO21" s="2">
        <f>BN21+預測IC!BO21</f>
        <v>1.2048676923605623</v>
      </c>
      <c r="BP21" s="2">
        <f>BO21+預測IC!BP21</f>
        <v>1.2121233954760204</v>
      </c>
      <c r="BQ21" s="2">
        <f>BP21+預測IC!BQ21</f>
        <v>1.2701337404079882</v>
      </c>
      <c r="BR21" s="2">
        <f>BQ21+預測IC!BR21</f>
        <v>1.2565082317387839</v>
      </c>
      <c r="BS21" s="2">
        <f>BR21+預測IC!BS21</f>
        <v>1.1911718058313647</v>
      </c>
      <c r="BT21" s="2">
        <f>BS21+預測IC!BT21</f>
        <v>1.1794077229378719</v>
      </c>
      <c r="BU21" s="2">
        <f>BT21+預測IC!BU21</f>
        <v>1.0519417686235573</v>
      </c>
      <c r="BV21" s="2">
        <f>BU21+預測IC!BV21</f>
        <v>1.0478752753170941</v>
      </c>
      <c r="BW21" s="2">
        <f>BV21+預測IC!BW21</f>
        <v>0.67769952297388669</v>
      </c>
      <c r="BX21" s="2">
        <f>BW21+預測IC!BX21</f>
        <v>0.72593742669792771</v>
      </c>
      <c r="BY21" s="2">
        <f>BX21+預測IC!BY21</f>
        <v>0.8294944942692748</v>
      </c>
      <c r="BZ21" s="2">
        <f>BY21+預測IC!BZ21</f>
        <v>1.0808962721518611</v>
      </c>
      <c r="CA21" s="2">
        <f>BZ21+預測IC!CA21</f>
        <v>1.2305701655764094</v>
      </c>
      <c r="CB21" s="2">
        <f>CA21+預測IC!CB21</f>
        <v>1.2138996180065971</v>
      </c>
      <c r="CC21" s="2">
        <f>CB21+預測IC!CC21</f>
        <v>1.2058806637356307</v>
      </c>
      <c r="CD21" s="2">
        <f>CC21+預測IC!CD21</f>
        <v>1.3194152938461534</v>
      </c>
      <c r="CE21" s="2">
        <f>CD21+預測IC!CE21</f>
        <v>1.3505452556372515</v>
      </c>
      <c r="CF21" s="2">
        <f>CE21+預測IC!CF21</f>
        <v>1.4047277009860017</v>
      </c>
      <c r="CG21" s="2">
        <f>CF21+預測IC!CG21</f>
        <v>1.5576004970579729</v>
      </c>
      <c r="CH21" s="2">
        <f>CG21+預測IC!CH21</f>
        <v>1.5578965751264142</v>
      </c>
      <c r="CI21" s="2">
        <f>CH21+預測IC!CI21</f>
        <v>1.5654584882662199</v>
      </c>
      <c r="CJ21" s="2">
        <f>CI21+預測IC!CJ21</f>
        <v>1.3264107820613606</v>
      </c>
      <c r="CK21" s="2">
        <f>CJ21+預測IC!CK21</f>
        <v>1.089779449705564</v>
      </c>
      <c r="CL21" s="2">
        <f>CK21+預測IC!CL21</f>
        <v>0.73958133777191892</v>
      </c>
      <c r="CM21" s="2">
        <f>CL21+預測IC!CM21</f>
        <v>0.8463213337751474</v>
      </c>
      <c r="CN21" s="2">
        <f>CM21+預測IC!CN21</f>
        <v>0.73982611333867865</v>
      </c>
      <c r="CO21" s="2">
        <f>CN21+預測IC!CO21</f>
        <v>0.37116456584667806</v>
      </c>
      <c r="CP21" s="2">
        <f>CO21+預測IC!CP21</f>
        <v>0.49337491141128564</v>
      </c>
      <c r="CQ21" s="2">
        <f>CP21+預測IC!CQ21</f>
        <v>0.44630249093545371</v>
      </c>
      <c r="CR21" s="2">
        <f>CQ21+預測IC!CR21</f>
        <v>0.35040154678806079</v>
      </c>
      <c r="CS21" s="2">
        <f>CR21+預測IC!CS21</f>
        <v>0.30418566205639819</v>
      </c>
      <c r="CT21" s="2">
        <f>CS21+預測IC!CT21</f>
        <v>0.35080899955319983</v>
      </c>
      <c r="CU21" s="2">
        <f>CT21+預測IC!CU21</f>
        <v>0.35890578075844987</v>
      </c>
      <c r="CV21" s="2">
        <f>CU21+預測IC!CV21</f>
        <v>0.39445116643356953</v>
      </c>
      <c r="CW21" s="2">
        <f>CV21+預測IC!CW21</f>
        <v>0.35060957712147961</v>
      </c>
      <c r="CX21" s="2">
        <f>CW21+預測IC!CX21</f>
        <v>0.4907268712597207</v>
      </c>
      <c r="CY21" s="2">
        <f>CX21+預測IC!CY21</f>
        <v>0.45138396225109684</v>
      </c>
      <c r="CZ21" s="2">
        <f>CY21+預測IC!CZ21</f>
        <v>0.74688874515736126</v>
      </c>
      <c r="DA21" s="2">
        <f>CZ21+預測IC!DA21</f>
        <v>0.76522439700180545</v>
      </c>
      <c r="DB21" s="2">
        <f>DA21+預測IC!DB21</f>
        <v>0.83668561077580361</v>
      </c>
      <c r="DC21" s="2">
        <f>DB21+預測IC!DC21</f>
        <v>0.89982787603654313</v>
      </c>
      <c r="DD21" s="2">
        <f>DC21+預測IC!DD21</f>
        <v>0.822315197618536</v>
      </c>
      <c r="DE21" s="2">
        <f>DD21+預測IC!DE21</f>
        <v>0.76921850633810707</v>
      </c>
      <c r="DF21" s="2">
        <f>DE21+預測IC!DF21</f>
        <v>1.0553493696610501</v>
      </c>
      <c r="DG21" s="2">
        <f>DF21+預測IC!DG21</f>
        <v>1.0053072454412377</v>
      </c>
      <c r="DH21" s="2">
        <f>DG21+預測IC!DH21</f>
        <v>1.3635189146954452</v>
      </c>
      <c r="DI21" s="2">
        <f>DH21+預測IC!DI21</f>
        <v>1.4174452093625152</v>
      </c>
      <c r="DJ21" s="2">
        <f>DI21+預測IC!DJ21</f>
        <v>1.536301288753068</v>
      </c>
      <c r="DK21" s="2">
        <f>DJ21+預測IC!DK21</f>
        <v>1.4594549032628339</v>
      </c>
      <c r="DL21" s="2">
        <f>DK21+預測IC!DL21</f>
        <v>1.4976106739682102</v>
      </c>
      <c r="DM21" s="2">
        <f>DL21+預測IC!DM21</f>
        <v>1.4734093714404353</v>
      </c>
      <c r="DN21" s="2">
        <f>DM21+預測IC!DN21</f>
        <v>1.7953250510072238</v>
      </c>
      <c r="DO21" s="2">
        <f>DN21+預測IC!DO21</f>
        <v>1.781258640851934</v>
      </c>
      <c r="DP21" s="2">
        <f>DO21+預測IC!DP21</f>
        <v>1.7436118778194583</v>
      </c>
      <c r="DQ21" s="2">
        <f>DP21+預測IC!DQ21</f>
        <v>1.6340587261348827</v>
      </c>
      <c r="DR21" s="2">
        <f>DQ21+預測IC!DR21</f>
        <v>1.5286722683727785</v>
      </c>
      <c r="DS21" s="2">
        <f>DR21+預測IC!DS21</f>
        <v>1.2767056537244295</v>
      </c>
      <c r="DT21" s="2">
        <f>DS21+預測IC!DT21</f>
        <v>1.2478147311163017</v>
      </c>
      <c r="DU21" s="2">
        <f>DT21+預測IC!DU21</f>
        <v>1.5687053153106416</v>
      </c>
      <c r="DV21" s="2">
        <f>DU21+預測IC!DV21</f>
        <v>1.6063940028177559</v>
      </c>
      <c r="DW21" s="2">
        <f>DV21+預測IC!DW21</f>
        <v>1.7265916592673762</v>
      </c>
      <c r="DX21" s="2">
        <f>DW21+預測IC!DX21</f>
        <v>1.6097627693925938</v>
      </c>
      <c r="DY21" s="2">
        <f>DX21+預測IC!DY21</f>
        <v>1.844561188845409</v>
      </c>
      <c r="DZ21" s="2">
        <f>DY21+預測IC!DZ21</f>
        <v>1.8510421558716699</v>
      </c>
      <c r="EA21" s="2">
        <f>DZ21+預測IC!EA21</f>
        <v>1.9993282004528234</v>
      </c>
      <c r="EB21" s="2">
        <f>EA21+預測IC!EB21</f>
        <v>1.8905345788582721</v>
      </c>
      <c r="EC21" s="2">
        <f>EB21+預測IC!EC21</f>
        <v>1.7504405609060463</v>
      </c>
      <c r="ED21" s="2">
        <f>EC21+預測IC!ED21</f>
        <v>1.6583320381367155</v>
      </c>
      <c r="EE21" s="2">
        <f>ED21+預測IC!EE21</f>
        <v>1.6971693979899074</v>
      </c>
      <c r="EF21" s="2">
        <f>EE21+預測IC!EF21</f>
        <v>1.7489307484681955</v>
      </c>
      <c r="EG21" s="2">
        <f>EF21+預測IC!EG21</f>
        <v>2.5144290027473941</v>
      </c>
      <c r="EH21" s="2">
        <f>EG21+預測IC!EH21</f>
        <v>2.4880023331321977</v>
      </c>
      <c r="EI21" s="2">
        <f>EH21+預測IC!EI21</f>
        <v>2.4902742031913778</v>
      </c>
      <c r="EJ21" s="2">
        <f>EI21+預測IC!EJ21</f>
        <v>2.4389142300971849</v>
      </c>
      <c r="EK21" s="2">
        <f>EJ21+預測IC!EK21</f>
        <v>2.5074103305598654</v>
      </c>
      <c r="EL21" s="2">
        <f>EK21+預測IC!EL21</f>
        <v>2.5516048830678555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4.7404615808948891E-2</v>
      </c>
      <c r="E22" s="2">
        <f>D22+預測IC!E22</f>
        <v>3.004951689248991E-2</v>
      </c>
      <c r="F22" s="2">
        <f>E22+預測IC!F22</f>
        <v>-0.10981793341689708</v>
      </c>
      <c r="G22" s="2">
        <f>F22+預測IC!G22</f>
        <v>0.12312749117842561</v>
      </c>
      <c r="H22" s="2">
        <f>G22+預測IC!H22</f>
        <v>0.19163818471892488</v>
      </c>
      <c r="I22" s="2">
        <f>H22+預測IC!I22</f>
        <v>0.20907552792521505</v>
      </c>
      <c r="J22" s="2">
        <f>I22+預測IC!J22</f>
        <v>0.32745380910750316</v>
      </c>
      <c r="K22" s="2">
        <f>J22+預測IC!K22</f>
        <v>0.35611058922389716</v>
      </c>
      <c r="L22" s="2">
        <f>K22+預測IC!L22</f>
        <v>0.42455752830150917</v>
      </c>
      <c r="M22" s="2">
        <f>L22+預測IC!M22</f>
        <v>0.23989474095855906</v>
      </c>
      <c r="N22" s="2">
        <f>M22+預測IC!N22</f>
        <v>0.35504516069530589</v>
      </c>
      <c r="O22" s="2">
        <f>N22+預測IC!O22</f>
        <v>0.43921160928896241</v>
      </c>
      <c r="P22" s="2">
        <f>O22+預測IC!P22</f>
        <v>0.52984248371559672</v>
      </c>
      <c r="Q22" s="2">
        <f>P22+預測IC!Q22</f>
        <v>0.64658361582409707</v>
      </c>
      <c r="R22" s="2">
        <f>Q22+預測IC!R22</f>
        <v>0.60995518155250905</v>
      </c>
      <c r="S22" s="2">
        <f>R22+預測IC!S22</f>
        <v>0.68279600806751295</v>
      </c>
      <c r="T22" s="2">
        <f>S22+預測IC!T22</f>
        <v>0.56930901495890951</v>
      </c>
      <c r="U22" s="2">
        <f>T22+預測IC!U22</f>
        <v>0.34099375475345395</v>
      </c>
      <c r="V22" s="2">
        <f>U22+預測IC!V22</f>
        <v>0.40225898198619486</v>
      </c>
      <c r="W22" s="2">
        <f>V22+預測IC!W22</f>
        <v>0.24601632840004045</v>
      </c>
      <c r="X22" s="2">
        <f>W22+預測IC!X22</f>
        <v>0.37624018699289263</v>
      </c>
      <c r="Y22" s="2">
        <f>X22+預測IC!Y22</f>
        <v>0.22673174033450882</v>
      </c>
      <c r="Z22" s="2">
        <f>Y22+預測IC!Z22</f>
        <v>0.35321977644090402</v>
      </c>
      <c r="AA22" s="2">
        <f>Z22+預測IC!AA22</f>
        <v>0.40572774828646341</v>
      </c>
      <c r="AB22" s="2">
        <f>AA22+預測IC!AB22</f>
        <v>0.57810900081861738</v>
      </c>
      <c r="AC22" s="2">
        <f>AB22+預測IC!AC22</f>
        <v>0.51688104688315817</v>
      </c>
      <c r="AD22" s="2">
        <f>AC22+預測IC!AD22</f>
        <v>0.58656186534493748</v>
      </c>
      <c r="AE22" s="2">
        <f>AD22+預測IC!AE22</f>
        <v>0.34872385474662815</v>
      </c>
      <c r="AF22" s="2">
        <f>AE22+預測IC!AF22</f>
        <v>0.48434625329806524</v>
      </c>
      <c r="AG22" s="2">
        <f>AF22+預測IC!AG22</f>
        <v>0.37588110671786495</v>
      </c>
      <c r="AH22" s="2">
        <f>AG22+預測IC!AH22</f>
        <v>0.34816722520232707</v>
      </c>
      <c r="AI22" s="2">
        <f>AH22+預測IC!AI22</f>
        <v>0.44230848585971311</v>
      </c>
      <c r="AJ22" s="2">
        <f>AI22+預測IC!AJ22</f>
        <v>0.41060863653330482</v>
      </c>
      <c r="AK22" s="2">
        <f>AJ22+預測IC!AK22</f>
        <v>0.51189719727370053</v>
      </c>
      <c r="AL22" s="2">
        <f>AK22+預測IC!AL22</f>
        <v>0.55223816408060089</v>
      </c>
      <c r="AM22" s="2">
        <f>AL22+預測IC!AM22</f>
        <v>0.63632706754830448</v>
      </c>
      <c r="AN22" s="2">
        <f>AM22+預測IC!AN22</f>
        <v>0.81353427128255817</v>
      </c>
      <c r="AO22" s="2">
        <f>AN22+預測IC!AO22</f>
        <v>0.90404785209097827</v>
      </c>
      <c r="AP22" s="2">
        <f>AO22+預測IC!AP22</f>
        <v>0.71948726273715113</v>
      </c>
      <c r="AQ22" s="2">
        <f>AP22+預測IC!AQ22</f>
        <v>0.80216514944569528</v>
      </c>
      <c r="AR22" s="2">
        <f>AQ22+預測IC!AR22</f>
        <v>0.67740154010610543</v>
      </c>
      <c r="AS22" s="2">
        <f>AR22+預測IC!AS22</f>
        <v>0.65523105799382475</v>
      </c>
      <c r="AT22" s="2">
        <f>AS22+預測IC!AT22</f>
        <v>0.76883540285333385</v>
      </c>
      <c r="AU22" s="2">
        <f>AT22+預測IC!AU22</f>
        <v>1.0486715486804594</v>
      </c>
      <c r="AV22" s="2">
        <f>AU22+預測IC!AV22</f>
        <v>0.99863223774950338</v>
      </c>
      <c r="AW22" s="2">
        <f>AV22+預測IC!AW22</f>
        <v>1.2281254709954537</v>
      </c>
      <c r="AX22" s="2">
        <f>AW22+預測IC!AX22</f>
        <v>1.275863311966934</v>
      </c>
      <c r="AY22" s="2">
        <f>AX22+預測IC!AY22</f>
        <v>1.2348481293065385</v>
      </c>
      <c r="AZ22" s="2">
        <f>AY22+預測IC!AZ22</f>
        <v>1.2130964536396582</v>
      </c>
      <c r="BA22" s="2">
        <f>AZ22+預測IC!BA22</f>
        <v>1.135841909175459</v>
      </c>
      <c r="BB22" s="2">
        <f>BA22+預測IC!BB22</f>
        <v>1.4377718537158821</v>
      </c>
      <c r="BC22" s="2">
        <f>BB22+預測IC!BC22</f>
        <v>1.3222301279031952</v>
      </c>
      <c r="BD22" s="2">
        <f>BC22+預測IC!BD22</f>
        <v>1.2358678106196259</v>
      </c>
      <c r="BE22" s="2">
        <f>BD22+預測IC!BE22</f>
        <v>1.1077565161919676</v>
      </c>
      <c r="BF22" s="2">
        <f>BE22+預測IC!BF22</f>
        <v>1.0394818218620498</v>
      </c>
      <c r="BG22" s="2">
        <f>BF22+預測IC!BG22</f>
        <v>1.0852231184967776</v>
      </c>
      <c r="BH22" s="2">
        <f>BG22+預測IC!BH22</f>
        <v>1.2129301278931937</v>
      </c>
      <c r="BI22" s="2">
        <f>BH22+預測IC!BI22</f>
        <v>1.1953893328606005</v>
      </c>
      <c r="BJ22" s="2">
        <f>BI22+預測IC!BJ22</f>
        <v>1.2661038975824515</v>
      </c>
      <c r="BK22" s="2">
        <f>BJ22+預測IC!BK22</f>
        <v>1.1562078201251753</v>
      </c>
      <c r="BL22" s="2">
        <f>BK22+預測IC!BL22</f>
        <v>1.0849132808531443</v>
      </c>
      <c r="BM22" s="2">
        <f>BL22+預測IC!BM22</f>
        <v>1.0824827976076112</v>
      </c>
      <c r="BN22" s="2">
        <f>BM22+預測IC!BN22</f>
        <v>1.053963991143636</v>
      </c>
      <c r="BO22" s="2">
        <f>BN22+預測IC!BO22</f>
        <v>1.0394059942452329</v>
      </c>
      <c r="BP22" s="2">
        <f>BO22+預測IC!BP22</f>
        <v>1.0417436844360526</v>
      </c>
      <c r="BQ22" s="2">
        <f>BP22+預測IC!BQ22</f>
        <v>1.1190956627077988</v>
      </c>
      <c r="BR22" s="2">
        <f>BQ22+預測IC!BR22</f>
        <v>1.0861589928434616</v>
      </c>
      <c r="BS22" s="2">
        <f>BR22+預測IC!BS22</f>
        <v>1.0545527905642225</v>
      </c>
      <c r="BT22" s="2">
        <f>BS22+預測IC!BT22</f>
        <v>1.1302062098192978</v>
      </c>
      <c r="BU22" s="2">
        <f>BT22+預測IC!BU22</f>
        <v>0.97753880477132493</v>
      </c>
      <c r="BV22" s="2">
        <f>BU22+預測IC!BV22</f>
        <v>0.97702784840417145</v>
      </c>
      <c r="BW22" s="2">
        <f>BV22+預測IC!BW22</f>
        <v>0.4594942655533677</v>
      </c>
      <c r="BX22" s="2">
        <f>BW22+預測IC!BX22</f>
        <v>0.53147228385843537</v>
      </c>
      <c r="BY22" s="2">
        <f>BX22+預測IC!BY22</f>
        <v>0.74161396261725498</v>
      </c>
      <c r="BZ22" s="2">
        <f>BY22+預測IC!BZ22</f>
        <v>1.0212433014644096</v>
      </c>
      <c r="CA22" s="2">
        <f>BZ22+預測IC!CA22</f>
        <v>1.2742179806524387</v>
      </c>
      <c r="CB22" s="2">
        <f>CA22+預測IC!CB22</f>
        <v>1.285275878038006</v>
      </c>
      <c r="CC22" s="2">
        <f>CB22+預測IC!CC22</f>
        <v>1.160171882717973</v>
      </c>
      <c r="CD22" s="2">
        <f>CC22+預測IC!CD22</f>
        <v>1.258911510353206</v>
      </c>
      <c r="CE22" s="2">
        <f>CD22+預測IC!CE22</f>
        <v>1.2724149592856788</v>
      </c>
      <c r="CF22" s="2">
        <f>CE22+預測IC!CF22</f>
        <v>1.3749230626346409</v>
      </c>
      <c r="CG22" s="2">
        <f>CF22+預測IC!CG22</f>
        <v>1.6988461460804145</v>
      </c>
      <c r="CH22" s="2">
        <f>CG22+預測IC!CH22</f>
        <v>1.6724189835765848</v>
      </c>
      <c r="CI22" s="2">
        <f>CH22+預測IC!CI22</f>
        <v>1.708032342720271</v>
      </c>
      <c r="CJ22" s="2">
        <f>CI22+預測IC!CJ22</f>
        <v>1.4993630516513161</v>
      </c>
      <c r="CK22" s="2">
        <f>CJ22+預測IC!CK22</f>
        <v>1.3229238435014705</v>
      </c>
      <c r="CL22" s="2">
        <f>CK22+預測IC!CL22</f>
        <v>0.86486658405055084</v>
      </c>
      <c r="CM22" s="2">
        <f>CL22+預測IC!CM22</f>
        <v>0.99694040528902561</v>
      </c>
      <c r="CN22" s="2">
        <f>CM22+預測IC!CN22</f>
        <v>1.0277209886718011</v>
      </c>
      <c r="CO22" s="2">
        <f>CN22+預測IC!CO22</f>
        <v>0.57270278856343459</v>
      </c>
      <c r="CP22" s="2">
        <f>CO22+預測IC!CP22</f>
        <v>0.79123208879231521</v>
      </c>
      <c r="CQ22" s="2">
        <f>CP22+預測IC!CQ22</f>
        <v>0.69906618038402035</v>
      </c>
      <c r="CR22" s="2">
        <f>CQ22+預測IC!CR22</f>
        <v>0.61194963884931564</v>
      </c>
      <c r="CS22" s="2">
        <f>CR22+預測IC!CS22</f>
        <v>0.55200523445762373</v>
      </c>
      <c r="CT22" s="2">
        <f>CS22+預測IC!CT22</f>
        <v>0.59977133368221336</v>
      </c>
      <c r="CU22" s="2">
        <f>CT22+預測IC!CU22</f>
        <v>0.59403748313672444</v>
      </c>
      <c r="CV22" s="2">
        <f>CU22+預測IC!CV22</f>
        <v>0.62885442049042006</v>
      </c>
      <c r="CW22" s="2">
        <f>CV22+預測IC!CW22</f>
        <v>0.63908096678686677</v>
      </c>
      <c r="CX22" s="2">
        <f>CW22+預測IC!CX22</f>
        <v>0.76586649347747482</v>
      </c>
      <c r="CY22" s="2">
        <f>CX22+預測IC!CY22</f>
        <v>0.7228996140412518</v>
      </c>
      <c r="CZ22" s="2">
        <f>CY22+預測IC!CZ22</f>
        <v>1.0750511840101447</v>
      </c>
      <c r="DA22" s="2">
        <f>CZ22+預測IC!DA22</f>
        <v>1.0975242821763866</v>
      </c>
      <c r="DB22" s="2">
        <f>DA22+預測IC!DB22</f>
        <v>1.1515659038869086</v>
      </c>
      <c r="DC22" s="2">
        <f>DB22+預測IC!DC22</f>
        <v>1.2357344689324119</v>
      </c>
      <c r="DD22" s="2">
        <f>DC22+預測IC!DD22</f>
        <v>1.1790133173275548</v>
      </c>
      <c r="DE22" s="2">
        <f>DD22+預測IC!DE22</f>
        <v>1.2146468368055747</v>
      </c>
      <c r="DF22" s="2">
        <f>DE22+預測IC!DF22</f>
        <v>1.6043144704996983</v>
      </c>
      <c r="DG22" s="2">
        <f>DF22+預測IC!DG22</f>
        <v>1.529523438716992</v>
      </c>
      <c r="DH22" s="2">
        <f>DG22+預測IC!DH22</f>
        <v>1.6559277888848032</v>
      </c>
      <c r="DI22" s="2">
        <f>DH22+預測IC!DI22</f>
        <v>1.654244351614955</v>
      </c>
      <c r="DJ22" s="2">
        <f>DI22+預測IC!DJ22</f>
        <v>1.7577589909242703</v>
      </c>
      <c r="DK22" s="2">
        <f>DJ22+預測IC!DK22</f>
        <v>1.6850628597537078</v>
      </c>
      <c r="DL22" s="2">
        <f>DK22+預測IC!DL22</f>
        <v>1.7345951478085897</v>
      </c>
      <c r="DM22" s="2">
        <f>DL22+預測IC!DM22</f>
        <v>1.7114508120384573</v>
      </c>
      <c r="DN22" s="2">
        <f>DM22+預測IC!DN22</f>
        <v>2.0119465941779668</v>
      </c>
      <c r="DO22" s="2">
        <f>DN22+預測IC!DO22</f>
        <v>2.0734072674631503</v>
      </c>
      <c r="DP22" s="2">
        <f>DO22+預測IC!DP22</f>
        <v>2.070662523577568</v>
      </c>
      <c r="DQ22" s="2">
        <f>DP22+預測IC!DQ22</f>
        <v>1.9154006517791435</v>
      </c>
      <c r="DR22" s="2">
        <f>DQ22+預測IC!DR22</f>
        <v>1.786356675902403</v>
      </c>
      <c r="DS22" s="2">
        <f>DR22+預測IC!DS22</f>
        <v>1.5212222436663754</v>
      </c>
      <c r="DT22" s="2">
        <f>DS22+預測IC!DT22</f>
        <v>1.4775407973422872</v>
      </c>
      <c r="DU22" s="2">
        <f>DT22+預測IC!DU22</f>
        <v>1.8770172161967693</v>
      </c>
      <c r="DV22" s="2">
        <f>DU22+預測IC!DV22</f>
        <v>1.7845107958555937</v>
      </c>
      <c r="DW22" s="2">
        <f>DV22+預測IC!DW22</f>
        <v>1.7596331055540291</v>
      </c>
      <c r="DX22" s="2">
        <f>DW22+預測IC!DX22</f>
        <v>1.5952809815124898</v>
      </c>
      <c r="DY22" s="2">
        <f>DX22+預測IC!DY22</f>
        <v>1.8332412706598693</v>
      </c>
      <c r="DZ22" s="2">
        <f>DY22+預測IC!DZ22</f>
        <v>1.8543879750285543</v>
      </c>
      <c r="EA22" s="2">
        <f>DZ22+預測IC!EA22</f>
        <v>1.8377164200983247</v>
      </c>
      <c r="EB22" s="2">
        <f>EA22+預測IC!EB22</f>
        <v>1.7137819864196686</v>
      </c>
      <c r="EC22" s="2">
        <f>EB22+預測IC!EC22</f>
        <v>1.7422107981977195</v>
      </c>
      <c r="ED22" s="2">
        <f>EC22+預測IC!ED22</f>
        <v>1.6146510092452453</v>
      </c>
      <c r="EE22" s="2">
        <f>ED22+預測IC!EE22</f>
        <v>1.6582110592396921</v>
      </c>
      <c r="EF22" s="2">
        <f>EE22+預測IC!EF22</f>
        <v>1.7173968777311919</v>
      </c>
      <c r="EG22" s="2">
        <f>EF22+預測IC!EG22</f>
        <v>2.657486316293113</v>
      </c>
      <c r="EH22" s="2">
        <f>EG22+預測IC!EH22</f>
        <v>2.6453191087004906</v>
      </c>
      <c r="EI22" s="2">
        <f>EH22+預測IC!EI22</f>
        <v>2.6354823789542365</v>
      </c>
      <c r="EJ22" s="2">
        <f>EI22+預測IC!EJ22</f>
        <v>2.5922139216210751</v>
      </c>
      <c r="EK22" s="2">
        <f>EJ22+預測IC!EK22</f>
        <v>2.7002030174006744</v>
      </c>
      <c r="EL22" s="2">
        <f>EK22+預測IC!EL22</f>
        <v>2.6748957936617663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5.6898423179088789E-2</v>
      </c>
      <c r="E23" s="2">
        <f>D23+預測IC!E23</f>
        <v>0.18990361723525978</v>
      </c>
      <c r="F23" s="2">
        <f>E23+預測IC!F23</f>
        <v>0.18616338429334908</v>
      </c>
      <c r="G23" s="2">
        <f>F23+預測IC!G23</f>
        <v>0.54779550507178187</v>
      </c>
      <c r="H23" s="2">
        <f>G23+預測IC!H23</f>
        <v>0.5296070342302972</v>
      </c>
      <c r="I23" s="2">
        <f>H23+預測IC!I23</f>
        <v>0.49322054536389009</v>
      </c>
      <c r="J23" s="2">
        <f>I23+預測IC!J23</f>
        <v>0.64851436226687331</v>
      </c>
      <c r="K23" s="2">
        <f>J23+預測IC!K23</f>
        <v>0.58859647775881041</v>
      </c>
      <c r="L23" s="2">
        <f>K23+預測IC!L23</f>
        <v>0.75280850187714143</v>
      </c>
      <c r="M23" s="2">
        <f>L23+預測IC!M23</f>
        <v>0.60552153384964447</v>
      </c>
      <c r="N23" s="2">
        <f>M23+預測IC!N23</f>
        <v>0.75286453997327563</v>
      </c>
      <c r="O23" s="2">
        <f>N23+預測IC!O23</f>
        <v>0.75056238822106491</v>
      </c>
      <c r="P23" s="2">
        <f>O23+預測IC!P23</f>
        <v>0.80524391425561281</v>
      </c>
      <c r="Q23" s="2">
        <f>P23+預測IC!Q23</f>
        <v>0.68494170882604455</v>
      </c>
      <c r="R23" s="2">
        <f>Q23+預測IC!R23</f>
        <v>0.6287305655127895</v>
      </c>
      <c r="S23" s="2">
        <f>R23+預測IC!S23</f>
        <v>0.71274204863226309</v>
      </c>
      <c r="T23" s="2">
        <f>S23+預測IC!T23</f>
        <v>0.62806587286353444</v>
      </c>
      <c r="U23" s="2">
        <f>T23+預測IC!U23</f>
        <v>0.40619638082711884</v>
      </c>
      <c r="V23" s="2">
        <f>U23+預測IC!V23</f>
        <v>0.57148914655100658</v>
      </c>
      <c r="W23" s="2">
        <f>V23+預測IC!W23</f>
        <v>0.43495424299107827</v>
      </c>
      <c r="X23" s="2">
        <f>W23+預測IC!X23</f>
        <v>0.57202565424930651</v>
      </c>
      <c r="Y23" s="2">
        <f>X23+預測IC!Y23</f>
        <v>0.3378416901944491</v>
      </c>
      <c r="Z23" s="2">
        <f>Y23+預測IC!Z23</f>
        <v>0.44998898891795408</v>
      </c>
      <c r="AA23" s="2">
        <f>Z23+預測IC!AA23</f>
        <v>0.58009423316251518</v>
      </c>
      <c r="AB23" s="2">
        <f>AA23+預測IC!AB23</f>
        <v>0.79032952334626883</v>
      </c>
      <c r="AC23" s="2">
        <f>AB23+預測IC!AC23</f>
        <v>0.61766137646797348</v>
      </c>
      <c r="AD23" s="2">
        <f>AC23+預測IC!AD23</f>
        <v>0.70127420637688009</v>
      </c>
      <c r="AE23" s="2">
        <f>AD23+預測IC!AE23</f>
        <v>0.40623237846880111</v>
      </c>
      <c r="AF23" s="2">
        <f>AE23+預測IC!AF23</f>
        <v>0.47313863855855243</v>
      </c>
      <c r="AG23" s="2">
        <f>AF23+預測IC!AG23</f>
        <v>0.26253308473129594</v>
      </c>
      <c r="AH23" s="2">
        <f>AG23+預測IC!AH23</f>
        <v>0.29981257510196563</v>
      </c>
      <c r="AI23" s="2">
        <f>AH23+預測IC!AI23</f>
        <v>0.32304084172444758</v>
      </c>
      <c r="AJ23" s="2">
        <f>AI23+預測IC!AJ23</f>
        <v>0.3712364419145765</v>
      </c>
      <c r="AK23" s="2">
        <f>AJ23+預測IC!AK23</f>
        <v>0.48534754126176749</v>
      </c>
      <c r="AL23" s="2">
        <f>AK23+預測IC!AL23</f>
        <v>0.61677925445430315</v>
      </c>
      <c r="AM23" s="2">
        <f>AL23+預測IC!AM23</f>
        <v>0.62454874345916844</v>
      </c>
      <c r="AN23" s="2">
        <f>AM23+預測IC!AN23</f>
        <v>0.86686344281646921</v>
      </c>
      <c r="AO23" s="2">
        <f>AN23+預測IC!AO23</f>
        <v>0.98724408759269555</v>
      </c>
      <c r="AP23" s="2">
        <f>AO23+預測IC!AP23</f>
        <v>0.8943263210753416</v>
      </c>
      <c r="AQ23" s="2">
        <f>AP23+預測IC!AQ23</f>
        <v>0.98375131333495225</v>
      </c>
      <c r="AR23" s="2">
        <f>AQ23+預測IC!AR23</f>
        <v>0.73695819684422281</v>
      </c>
      <c r="AS23" s="2">
        <f>AR23+預測IC!AS23</f>
        <v>0.67417435318629793</v>
      </c>
      <c r="AT23" s="2">
        <f>AS23+預測IC!AT23</f>
        <v>0.78368025615119818</v>
      </c>
      <c r="AU23" s="2">
        <f>AT23+預測IC!AU23</f>
        <v>1.1023577865828893</v>
      </c>
      <c r="AV23" s="2">
        <f>AU23+預測IC!AV23</f>
        <v>1.0893795910029012</v>
      </c>
      <c r="AW23" s="2">
        <f>AV23+預測IC!AW23</f>
        <v>1.4158078637080156</v>
      </c>
      <c r="AX23" s="2">
        <f>AW23+預測IC!AX23</f>
        <v>1.4306206427165564</v>
      </c>
      <c r="AY23" s="2">
        <f>AX23+預測IC!AY23</f>
        <v>1.3044920029859601</v>
      </c>
      <c r="AZ23" s="2">
        <f>AY23+預測IC!AZ23</f>
        <v>1.2407383855848999</v>
      </c>
      <c r="BA23" s="2">
        <f>AZ23+預測IC!BA23</f>
        <v>1.2503851656650007</v>
      </c>
      <c r="BB23" s="2">
        <f>BA23+預測IC!BB23</f>
        <v>1.1993356815621157</v>
      </c>
      <c r="BC23" s="2">
        <f>BB23+預測IC!BC23</f>
        <v>0.89850743238904984</v>
      </c>
      <c r="BD23" s="2">
        <f>BC23+預測IC!BD23</f>
        <v>0.88315676316461567</v>
      </c>
      <c r="BE23" s="2">
        <f>BD23+預測IC!BE23</f>
        <v>0.70718198203527616</v>
      </c>
      <c r="BF23" s="2">
        <f>BE23+預測IC!BF23</f>
        <v>0.65707102001366546</v>
      </c>
      <c r="BG23" s="2">
        <f>BF23+預測IC!BG23</f>
        <v>0.68048043190276153</v>
      </c>
      <c r="BH23" s="2">
        <f>BG23+預測IC!BH23</f>
        <v>0.7438456276059997</v>
      </c>
      <c r="BI23" s="2">
        <f>BH23+預測IC!BI23</f>
        <v>0.82526250747755836</v>
      </c>
      <c r="BJ23" s="2">
        <f>BI23+預測IC!BJ23</f>
        <v>0.8967004166397462</v>
      </c>
      <c r="BK23" s="2">
        <f>BJ23+預測IC!BK23</f>
        <v>0.83391862784991411</v>
      </c>
      <c r="BL23" s="2">
        <f>BK23+預測IC!BL23</f>
        <v>0.74368259165299211</v>
      </c>
      <c r="BM23" s="2">
        <f>BL23+預測IC!BM23</f>
        <v>0.81317805367744267</v>
      </c>
      <c r="BN23" s="2">
        <f>BM23+預測IC!BN23</f>
        <v>0.78657458365546506</v>
      </c>
      <c r="BO23" s="2">
        <f>BN23+預測IC!BO23</f>
        <v>0.90031071494481607</v>
      </c>
      <c r="BP23" s="2">
        <f>BO23+預測IC!BP23</f>
        <v>0.890447676920604</v>
      </c>
      <c r="BQ23" s="2">
        <f>BP23+預測IC!BQ23</f>
        <v>0.99470713760432727</v>
      </c>
      <c r="BR23" s="2">
        <f>BQ23+預測IC!BR23</f>
        <v>0.98635495135144913</v>
      </c>
      <c r="BS23" s="2">
        <f>BR23+預測IC!BS23</f>
        <v>0.93714722796496497</v>
      </c>
      <c r="BT23" s="2">
        <f>BS23+預測IC!BT23</f>
        <v>1.2795008345814907</v>
      </c>
      <c r="BU23" s="2">
        <f>BT23+預測IC!BU23</f>
        <v>1.0478679644047522</v>
      </c>
      <c r="BV23" s="2">
        <f>BU23+預測IC!BV23</f>
        <v>1.0308490135288244</v>
      </c>
      <c r="BW23" s="2">
        <f>BV23+預測IC!BW23</f>
        <v>0.27912449197264533</v>
      </c>
      <c r="BX23" s="2">
        <f>BW23+預測IC!BX23</f>
        <v>0.19932190138082159</v>
      </c>
      <c r="BY23" s="2">
        <f>BX23+預測IC!BY23</f>
        <v>0.4369455686724667</v>
      </c>
      <c r="BZ23" s="2">
        <f>BY23+預測IC!BZ23</f>
        <v>0.78934343573748933</v>
      </c>
      <c r="CA23" s="2">
        <f>BZ23+預測IC!CA23</f>
        <v>1.2856372682269122</v>
      </c>
      <c r="CB23" s="2">
        <f>CA23+預測IC!CB23</f>
        <v>1.4236850145830195</v>
      </c>
      <c r="CC23" s="2">
        <f>CB23+預測IC!CC23</f>
        <v>1.3391403998672442</v>
      </c>
      <c r="CD23" s="2">
        <f>CC23+預測IC!CD23</f>
        <v>1.4566087163481958</v>
      </c>
      <c r="CE23" s="2">
        <f>CD23+預測IC!CE23</f>
        <v>1.441674777648756</v>
      </c>
      <c r="CF23" s="2">
        <f>CE23+預測IC!CF23</f>
        <v>1.6092891589590823</v>
      </c>
      <c r="CG23" s="2">
        <f>CF23+預測IC!CG23</f>
        <v>2.0025659067511907</v>
      </c>
      <c r="CH23" s="2">
        <f>CG23+預測IC!CH23</f>
        <v>1.9295198088208161</v>
      </c>
      <c r="CI23" s="2">
        <f>CH23+預測IC!CI23</f>
        <v>1.9945174727097079</v>
      </c>
      <c r="CJ23" s="2">
        <f>CI23+預測IC!CJ23</f>
        <v>1.745908359055423</v>
      </c>
      <c r="CK23" s="2">
        <f>CJ23+預測IC!CK23</f>
        <v>1.4311040678476132</v>
      </c>
      <c r="CL23" s="2">
        <f>CK23+預測IC!CL23</f>
        <v>0.73166497563040978</v>
      </c>
      <c r="CM23" s="2">
        <f>CL23+預測IC!CM23</f>
        <v>0.86750698892579881</v>
      </c>
      <c r="CN23" s="2">
        <f>CM23+預測IC!CN23</f>
        <v>0.87010941793754804</v>
      </c>
      <c r="CO23" s="2">
        <f>CN23+預測IC!CO23</f>
        <v>0.25359353278311225</v>
      </c>
      <c r="CP23" s="2">
        <f>CO23+預測IC!CP23</f>
        <v>0.47140156792459942</v>
      </c>
      <c r="CQ23" s="2">
        <f>CP23+預測IC!CQ23</f>
        <v>0.3600695130754632</v>
      </c>
      <c r="CR23" s="2">
        <f>CQ23+預測IC!CR23</f>
        <v>0.35196347132490274</v>
      </c>
      <c r="CS23" s="2">
        <f>CR23+預測IC!CS23</f>
        <v>0.24259778742179505</v>
      </c>
      <c r="CT23" s="2">
        <f>CS23+預測IC!CT23</f>
        <v>0.28524900726120617</v>
      </c>
      <c r="CU23" s="2">
        <f>CT23+預測IC!CU23</f>
        <v>0.30177426294337867</v>
      </c>
      <c r="CV23" s="2">
        <f>CU23+預測IC!CV23</f>
        <v>0.32889948290513005</v>
      </c>
      <c r="CW23" s="2">
        <f>CV23+預測IC!CW23</f>
        <v>0.34795301200480183</v>
      </c>
      <c r="CX23" s="2">
        <f>CW23+預測IC!CX23</f>
        <v>0.30510063060021725</v>
      </c>
      <c r="CY23" s="2">
        <f>CX23+預測IC!CY23</f>
        <v>0.245630905593448</v>
      </c>
      <c r="CZ23" s="2">
        <f>CY23+預測IC!CZ23</f>
        <v>0.69333624579398545</v>
      </c>
      <c r="DA23" s="2">
        <f>CZ23+預測IC!DA23</f>
        <v>0.71835475678814142</v>
      </c>
      <c r="DB23" s="2">
        <f>DA23+預測IC!DB23</f>
        <v>0.73710182323136109</v>
      </c>
      <c r="DC23" s="2">
        <f>DB23+預測IC!DC23</f>
        <v>0.80951785688778699</v>
      </c>
      <c r="DD23" s="2">
        <f>DC23+預測IC!DD23</f>
        <v>0.78701926774413455</v>
      </c>
      <c r="DE23" s="2">
        <f>DD23+預測IC!DE23</f>
        <v>0.77762404179248967</v>
      </c>
      <c r="DF23" s="2">
        <f>DE23+預測IC!DF23</f>
        <v>1.18641896235341</v>
      </c>
      <c r="DG23" s="2">
        <f>DF23+預測IC!DG23</f>
        <v>1.1567934614335171</v>
      </c>
      <c r="DH23" s="2">
        <f>DG23+預測IC!DH23</f>
        <v>1.2960203549456255</v>
      </c>
      <c r="DI23" s="2">
        <f>DH23+預測IC!DI23</f>
        <v>1.2668585127247889</v>
      </c>
      <c r="DJ23" s="2">
        <f>DI23+預測IC!DJ23</f>
        <v>1.3241405122063477</v>
      </c>
      <c r="DK23" s="2">
        <f>DJ23+預測IC!DK23</f>
        <v>1.260993934298944</v>
      </c>
      <c r="DL23" s="2">
        <f>DK23+預測IC!DL23</f>
        <v>1.2461645428133552</v>
      </c>
      <c r="DM23" s="2">
        <f>DL23+預測IC!DM23</f>
        <v>1.2127977871035107</v>
      </c>
      <c r="DN23" s="2">
        <f>DM23+預測IC!DN23</f>
        <v>1.6569905733275496</v>
      </c>
      <c r="DO23" s="2">
        <f>DN23+預測IC!DO23</f>
        <v>1.7060679002431458</v>
      </c>
      <c r="DP23" s="2">
        <f>DO23+預測IC!DP23</f>
        <v>1.7776963739336535</v>
      </c>
      <c r="DQ23" s="2">
        <f>DP23+預測IC!DQ23</f>
        <v>1.6492519337367679</v>
      </c>
      <c r="DR23" s="2">
        <f>DQ23+預測IC!DR23</f>
        <v>1.5316964493342111</v>
      </c>
      <c r="DS23" s="2">
        <f>DR23+預測IC!DS23</f>
        <v>1.3139606073827932</v>
      </c>
      <c r="DT23" s="2">
        <f>DS23+預測IC!DT23</f>
        <v>1.2597101467141805</v>
      </c>
      <c r="DU23" s="2">
        <f>DT23+預測IC!DU23</f>
        <v>1.7936318337985209</v>
      </c>
      <c r="DV23" s="2">
        <f>DU23+預測IC!DV23</f>
        <v>1.8017650874137952</v>
      </c>
      <c r="DW23" s="2">
        <f>DV23+預測IC!DW23</f>
        <v>1.5231887155903783</v>
      </c>
      <c r="DX23" s="2">
        <f>DW23+預測IC!DX23</f>
        <v>1.3521859286219238</v>
      </c>
      <c r="DY23" s="2">
        <f>DX23+預測IC!DY23</f>
        <v>1.5544700551588702</v>
      </c>
      <c r="DZ23" s="2">
        <f>DY23+預測IC!DZ23</f>
        <v>1.6008809161291366</v>
      </c>
      <c r="EA23" s="2">
        <f>DZ23+預測IC!EA23</f>
        <v>1.5721221363527316</v>
      </c>
      <c r="EB23" s="2">
        <f>EA23+預測IC!EB23</f>
        <v>1.4562955536223421</v>
      </c>
      <c r="EC23" s="2">
        <f>EB23+預測IC!EC23</f>
        <v>1.5795004965780068</v>
      </c>
      <c r="ED23" s="2">
        <f>EC23+預測IC!ED23</f>
        <v>1.4632281292223659</v>
      </c>
      <c r="EE23" s="2">
        <f>ED23+預測IC!EE23</f>
        <v>1.5329890995047668</v>
      </c>
      <c r="EF23" s="2">
        <f>EE23+預測IC!EF23</f>
        <v>1.5620319523316579</v>
      </c>
      <c r="EG23" s="2">
        <f>EF23+預測IC!EG23</f>
        <v>2.8489829715827257</v>
      </c>
      <c r="EH23" s="2">
        <f>EG23+預測IC!EH23</f>
        <v>2.9481923432395063</v>
      </c>
      <c r="EI23" s="2">
        <f>EH23+預測IC!EI23</f>
        <v>2.9340894939734548</v>
      </c>
      <c r="EJ23" s="2">
        <f>EI23+預測IC!EJ23</f>
        <v>2.8957465691390434</v>
      </c>
      <c r="EK23" s="2">
        <f>EJ23+預測IC!EK23</f>
        <v>3.0197092774970709</v>
      </c>
      <c r="EL23" s="2">
        <f>EK23+預測IC!EL23</f>
        <v>2.9699831931836118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0.12837688020966961</v>
      </c>
      <c r="E24" s="2">
        <f>D24+預測IC!E24</f>
        <v>0.41288937790017155</v>
      </c>
      <c r="F24" s="2">
        <f>E24+預測IC!F24</f>
        <v>0.48821587173187825</v>
      </c>
      <c r="G24" s="2">
        <f>F24+預測IC!G24</f>
        <v>0.71782292359004207</v>
      </c>
      <c r="H24" s="2">
        <f>G24+預測IC!H24</f>
        <v>0.75367872024499871</v>
      </c>
      <c r="I24" s="2">
        <f>H24+預測IC!I24</f>
        <v>0.77060580942574253</v>
      </c>
      <c r="J24" s="2">
        <f>I24+預測IC!J24</f>
        <v>0.77464153436500216</v>
      </c>
      <c r="K24" s="2">
        <f>J24+預測IC!K24</f>
        <v>0.82837453103323622</v>
      </c>
      <c r="L24" s="2">
        <f>K24+預測IC!L24</f>
        <v>0.85667296715566388</v>
      </c>
      <c r="M24" s="2">
        <f>L24+預測IC!M24</f>
        <v>0.63888729411792244</v>
      </c>
      <c r="N24" s="2">
        <f>M24+預測IC!N24</f>
        <v>0.69946541403939699</v>
      </c>
      <c r="O24" s="2">
        <f>N24+預測IC!O24</f>
        <v>0.73611420477894074</v>
      </c>
      <c r="P24" s="2">
        <f>O24+預測IC!P24</f>
        <v>0.73785049364328792</v>
      </c>
      <c r="Q24" s="2">
        <f>P24+預測IC!Q24</f>
        <v>0.73500335804089068</v>
      </c>
      <c r="R24" s="2">
        <f>Q24+預測IC!R24</f>
        <v>0.48930598726163099</v>
      </c>
      <c r="S24" s="2">
        <f>R24+預測IC!S24</f>
        <v>0.5901147825492784</v>
      </c>
      <c r="T24" s="2">
        <f>S24+預測IC!T24</f>
        <v>0.30229817902979061</v>
      </c>
      <c r="U24" s="2">
        <f>T24+預測IC!U24</f>
        <v>-0.11356302302788357</v>
      </c>
      <c r="V24" s="2">
        <f>U24+預測IC!V24</f>
        <v>2.9772936889672363E-3</v>
      </c>
      <c r="W24" s="2">
        <f>V24+預測IC!W24</f>
        <v>-0.63995623491669218</v>
      </c>
      <c r="X24" s="2">
        <f>W24+預測IC!X24</f>
        <v>-0.52193380241068832</v>
      </c>
      <c r="Y24" s="2">
        <f>X24+預測IC!Y24</f>
        <v>-0.51245678748427126</v>
      </c>
      <c r="Z24" s="2">
        <f>Y24+預測IC!Z24</f>
        <v>-0.43303308323501866</v>
      </c>
      <c r="AA24" s="2">
        <f>Z24+預測IC!AA24</f>
        <v>-0.14801291583732185</v>
      </c>
      <c r="AB24" s="2">
        <f>AA24+預測IC!AB24</f>
        <v>0.20092444036507856</v>
      </c>
      <c r="AC24" s="2">
        <f>AB24+預測IC!AC24</f>
        <v>-0.27325884316621096</v>
      </c>
      <c r="AD24" s="2">
        <f>AC24+預測IC!AD24</f>
        <v>-0.16080716718292096</v>
      </c>
      <c r="AE24" s="2">
        <f>AD24+預測IC!AE24</f>
        <v>-0.10918709692412884</v>
      </c>
      <c r="AF24" s="2">
        <f>AE24+預測IC!AF24</f>
        <v>-8.6665086889338341E-2</v>
      </c>
      <c r="AG24" s="2">
        <f>AF24+預測IC!AG24</f>
        <v>-0.5758815468939561</v>
      </c>
      <c r="AH24" s="2">
        <f>AG24+預測IC!AH24</f>
        <v>-0.64449534635535377</v>
      </c>
      <c r="AI24" s="2">
        <f>AH24+預測IC!AI24</f>
        <v>-0.65330367745378104</v>
      </c>
      <c r="AJ24" s="2">
        <f>AI24+預測IC!AJ24</f>
        <v>-0.73419492145315646</v>
      </c>
      <c r="AK24" s="2">
        <f>AJ24+預測IC!AK24</f>
        <v>-0.64931096838496416</v>
      </c>
      <c r="AL24" s="2">
        <f>AK24+預測IC!AL24</f>
        <v>-0.70398790387559951</v>
      </c>
      <c r="AM24" s="2">
        <f>AL24+預測IC!AM24</f>
        <v>-0.72290718529612619</v>
      </c>
      <c r="AN24" s="2">
        <f>AM24+預測IC!AN24</f>
        <v>-0.50171772015069482</v>
      </c>
      <c r="AO24" s="2">
        <f>AN24+預測IC!AO24</f>
        <v>-0.43562760832170477</v>
      </c>
      <c r="AP24" s="2">
        <f>AO24+預測IC!AP24</f>
        <v>-0.4584793238108012</v>
      </c>
      <c r="AQ24" s="2">
        <f>AP24+預測IC!AQ24</f>
        <v>-0.41140235097655553</v>
      </c>
      <c r="AR24" s="2">
        <f>AQ24+預測IC!AR24</f>
        <v>-0.63972284396432699</v>
      </c>
      <c r="AS24" s="2">
        <f>AR24+預測IC!AS24</f>
        <v>-0.69923697149673469</v>
      </c>
      <c r="AT24" s="2">
        <f>AS24+預測IC!AT24</f>
        <v>-0.54846799157105386</v>
      </c>
      <c r="AU24" s="2">
        <f>AT24+預測IC!AU24</f>
        <v>-7.1413804328651576E-2</v>
      </c>
      <c r="AV24" s="2">
        <f>AU24+預測IC!AV24</f>
        <v>-0.15856575651554747</v>
      </c>
      <c r="AW24" s="2">
        <f>AV24+預測IC!AW24</f>
        <v>-3.8262833108699268E-2</v>
      </c>
      <c r="AX24" s="2">
        <f>AW24+預測IC!AX24</f>
        <v>-0.14975417002491476</v>
      </c>
      <c r="AY24" s="2">
        <f>AX24+預測IC!AY24</f>
        <v>-0.26776954889835497</v>
      </c>
      <c r="AZ24" s="2">
        <f>AY24+預測IC!AZ24</f>
        <v>-0.22990247529868979</v>
      </c>
      <c r="BA24" s="2">
        <f>AZ24+預測IC!BA24</f>
        <v>-0.28369720738332294</v>
      </c>
      <c r="BB24" s="2">
        <f>BA24+預測IC!BB24</f>
        <v>-0.36985624077865775</v>
      </c>
      <c r="BC24" s="2">
        <f>BB24+預測IC!BC24</f>
        <v>-1.1730722538230351</v>
      </c>
      <c r="BD24" s="2">
        <f>BC24+預測IC!BD24</f>
        <v>-1.0005021151096949</v>
      </c>
      <c r="BE24" s="2">
        <f>BD24+預測IC!BE24</f>
        <v>-1.1899911106679602</v>
      </c>
      <c r="BF24" s="2">
        <f>BE24+預測IC!BF24</f>
        <v>-1.2700030609404946</v>
      </c>
      <c r="BG24" s="2">
        <f>BF24+預測IC!BG24</f>
        <v>-1.0933795252611778</v>
      </c>
      <c r="BH24" s="2">
        <f>BG24+預測IC!BH24</f>
        <v>-0.94570596000945806</v>
      </c>
      <c r="BI24" s="2">
        <f>BH24+預測IC!BI24</f>
        <v>-0.80549203125081348</v>
      </c>
      <c r="BJ24" s="2">
        <f>BI24+預測IC!BJ24</f>
        <v>-0.87064612643059935</v>
      </c>
      <c r="BK24" s="2">
        <f>BJ24+預測IC!BK24</f>
        <v>-0.86662257953631316</v>
      </c>
      <c r="BL24" s="2">
        <f>BK24+預測IC!BL24</f>
        <v>-0.897521191055487</v>
      </c>
      <c r="BM24" s="2">
        <f>BL24+預測IC!BM24</f>
        <v>-0.98230413089447521</v>
      </c>
      <c r="BN24" s="2">
        <f>BM24+預測IC!BN24</f>
        <v>-1.0021942893736948</v>
      </c>
      <c r="BO24" s="2">
        <f>BN24+預測IC!BO24</f>
        <v>-0.79411795714257227</v>
      </c>
      <c r="BP24" s="2">
        <f>BO24+預測IC!BP24</f>
        <v>-0.76232385281268245</v>
      </c>
      <c r="BQ24" s="2">
        <f>BP24+預測IC!BQ24</f>
        <v>-0.8264934861427975</v>
      </c>
      <c r="BR24" s="2">
        <f>BQ24+預測IC!BR24</f>
        <v>-0.8167940890540839</v>
      </c>
      <c r="BS24" s="2">
        <f>BR24+預測IC!BS24</f>
        <v>-0.81807880653854081</v>
      </c>
      <c r="BT24" s="2">
        <f>BS24+預測IC!BT24</f>
        <v>-0.51861436319527754</v>
      </c>
      <c r="BU24" s="2">
        <f>BT24+預測IC!BU24</f>
        <v>-0.52736285551012296</v>
      </c>
      <c r="BV24" s="2">
        <f>BU24+預測IC!BV24</f>
        <v>-0.73066700734057333</v>
      </c>
      <c r="BW24" s="2">
        <f>BV24+預測IC!BW24</f>
        <v>-1.8396790773779355</v>
      </c>
      <c r="BX24" s="2">
        <f>BW24+預測IC!BX24</f>
        <v>-1.9071137987619258</v>
      </c>
      <c r="BY24" s="2">
        <f>BX24+預測IC!BY24</f>
        <v>-1.9325455733541228</v>
      </c>
      <c r="BZ24" s="2">
        <f>BY24+預測IC!BZ24</f>
        <v>-1.1185875466116011</v>
      </c>
      <c r="CA24" s="2">
        <f>BZ24+預測IC!CA24</f>
        <v>-1.033235407824368</v>
      </c>
      <c r="CB24" s="2">
        <f>CA24+預測IC!CB24</f>
        <v>-1.0973624909804101</v>
      </c>
      <c r="CC24" s="2">
        <f>CB24+預測IC!CC24</f>
        <v>-1.2798323708679717</v>
      </c>
      <c r="CD24" s="2">
        <f>CC24+預測IC!CD24</f>
        <v>-1.2613890201172027</v>
      </c>
      <c r="CE24" s="2">
        <f>CD24+預測IC!CE24</f>
        <v>-1.3163937474195553</v>
      </c>
      <c r="CF24" s="2">
        <f>CE24+預測IC!CF24</f>
        <v>-1.1995783527869623</v>
      </c>
      <c r="CG24" s="2">
        <f>CF24+預測IC!CG24</f>
        <v>-0.55899371891434413</v>
      </c>
      <c r="CH24" s="2">
        <f>CG24+預測IC!CH24</f>
        <v>-0.66026864669365459</v>
      </c>
      <c r="CI24" s="2">
        <f>CH24+預測IC!CI24</f>
        <v>-0.61319602198864953</v>
      </c>
      <c r="CJ24" s="2">
        <f>CI24+預測IC!CJ24</f>
        <v>-1.0219544026157255</v>
      </c>
      <c r="CK24" s="2">
        <f>CJ24+預測IC!CK24</f>
        <v>-1.0131670266187225</v>
      </c>
      <c r="CL24" s="2">
        <f>CK24+預測IC!CL24</f>
        <v>-1.8009390329708328</v>
      </c>
      <c r="CM24" s="2">
        <f>CL24+預測IC!CM24</f>
        <v>-1.4845664680561228</v>
      </c>
      <c r="CN24" s="2">
        <f>CM24+預測IC!CN24</f>
        <v>-1.575115125031306</v>
      </c>
      <c r="CO24" s="2">
        <f>CN24+預測IC!CO24</f>
        <v>-1.7669535389451692</v>
      </c>
      <c r="CP24" s="2">
        <f>CO24+預測IC!CP24</f>
        <v>-1.5014946032780985</v>
      </c>
      <c r="CQ24" s="2">
        <f>CP24+預測IC!CQ24</f>
        <v>-1.6324218014783263</v>
      </c>
      <c r="CR24" s="2">
        <f>CQ24+預測IC!CR24</f>
        <v>-1.8649998222531348</v>
      </c>
      <c r="CS24" s="2">
        <f>CR24+預測IC!CS24</f>
        <v>-2.0956779848235989</v>
      </c>
      <c r="CT24" s="2">
        <f>CS24+預測IC!CT24</f>
        <v>-2.0052816204198884</v>
      </c>
      <c r="CU24" s="2">
        <f>CT24+預測IC!CU24</f>
        <v>-2.1517372640253463</v>
      </c>
      <c r="CV24" s="2">
        <f>CU24+預測IC!CV24</f>
        <v>-2.0379325015848568</v>
      </c>
      <c r="CW24" s="2">
        <f>CV24+預測IC!CW24</f>
        <v>-1.742209440104465</v>
      </c>
      <c r="CX24" s="2">
        <f>CW24+預測IC!CX24</f>
        <v>-1.5952730210118946</v>
      </c>
      <c r="CY24" s="2">
        <f>CX24+預測IC!CY24</f>
        <v>-1.5567568899496633</v>
      </c>
      <c r="CZ24" s="2">
        <f>CY24+預測IC!CZ24</f>
        <v>-1.2104436757924728</v>
      </c>
      <c r="DA24" s="2">
        <f>CZ24+預測IC!DA24</f>
        <v>-1.1764640907000194</v>
      </c>
      <c r="DB24" s="2">
        <f>DA24+預測IC!DB24</f>
        <v>-1.1929659565490158</v>
      </c>
      <c r="DC24" s="2">
        <f>DB24+預測IC!DC24</f>
        <v>-1.0134128413096677</v>
      </c>
      <c r="DD24" s="2">
        <f>DC24+預測IC!DD24</f>
        <v>-1.0157797063199339</v>
      </c>
      <c r="DE24" s="2">
        <f>DD24+預測IC!DE24</f>
        <v>-1.1918424638294689</v>
      </c>
      <c r="DF24" s="2">
        <f>DE24+預測IC!DF24</f>
        <v>-0.66625745768497091</v>
      </c>
      <c r="DG24" s="2">
        <f>DF24+預測IC!DG24</f>
        <v>-0.78580274408510364</v>
      </c>
      <c r="DH24" s="2">
        <f>DG24+預測IC!DH24</f>
        <v>-0.52000006809259136</v>
      </c>
      <c r="DI24" s="2">
        <f>DH24+預測IC!DI24</f>
        <v>-0.15522495280592558</v>
      </c>
      <c r="DJ24" s="2">
        <f>DI24+預測IC!DJ24</f>
        <v>-0.13414348164807416</v>
      </c>
      <c r="DK24" s="2">
        <f>DJ24+預測IC!DK24</f>
        <v>-0.19762684118941748</v>
      </c>
      <c r="DL24" s="2">
        <f>DK24+預測IC!DL24</f>
        <v>-0.14581965381302417</v>
      </c>
      <c r="DM24" s="2">
        <f>DL24+預測IC!DM24</f>
        <v>-0.12001197849929708</v>
      </c>
      <c r="DN24" s="2">
        <f>DM24+預測IC!DN24</f>
        <v>0.54707669710269291</v>
      </c>
      <c r="DO24" s="2">
        <f>DN24+預測IC!DO24</f>
        <v>0.58797098656003355</v>
      </c>
      <c r="DP24" s="2">
        <f>DO24+預測IC!DP24</f>
        <v>0.46186122244672495</v>
      </c>
      <c r="DQ24" s="2">
        <f>DP24+預測IC!DQ24</f>
        <v>0.33203879011198306</v>
      </c>
      <c r="DR24" s="2">
        <f>DQ24+預測IC!DR24</f>
        <v>-2.1834886237811713E-2</v>
      </c>
      <c r="DS24" s="2">
        <f>DR24+預測IC!DS24</f>
        <v>-0.54166356609542088</v>
      </c>
      <c r="DT24" s="2">
        <f>DS24+預測IC!DT24</f>
        <v>-0.6163969113614256</v>
      </c>
      <c r="DU24" s="2">
        <f>DT24+預測IC!DU24</f>
        <v>0.13454144944877622</v>
      </c>
      <c r="DV24" s="2">
        <f>DU24+預測IC!DV24</f>
        <v>0.23258828425140207</v>
      </c>
      <c r="DW24" s="2">
        <f>DV24+預測IC!DW24</f>
        <v>-0.15077495669380384</v>
      </c>
      <c r="DX24" s="2">
        <f>DW24+預測IC!DX24</f>
        <v>-0.32451228714188307</v>
      </c>
      <c r="DY24" s="2">
        <f>DX24+預測IC!DY24</f>
        <v>-0.32775216375042604</v>
      </c>
      <c r="DZ24" s="2">
        <f>DY24+預測IC!DZ24</f>
        <v>-0.40986085564922914</v>
      </c>
      <c r="EA24" s="2">
        <f>DZ24+預測IC!EA24</f>
        <v>-0.46478103949073174</v>
      </c>
      <c r="EB24" s="2">
        <f>EA24+預測IC!EB24</f>
        <v>-0.57400981186353806</v>
      </c>
      <c r="EC24" s="2">
        <f>EB24+預測IC!EC24</f>
        <v>-0.31735843190001167</v>
      </c>
      <c r="ED24" s="2">
        <f>EC24+預測IC!ED24</f>
        <v>-0.4321075334026141</v>
      </c>
      <c r="EE24" s="2">
        <f>ED24+預測IC!EE24</f>
        <v>-0.31867809421139531</v>
      </c>
      <c r="EF24" s="2">
        <f>EE24+預測IC!EF24</f>
        <v>-0.3859547712553637</v>
      </c>
      <c r="EG24" s="2">
        <f>EF24+預測IC!EG24</f>
        <v>1.9294065091133212</v>
      </c>
      <c r="EH24" s="2">
        <f>EG24+預測IC!EH24</f>
        <v>2.1347920878058351</v>
      </c>
      <c r="EI24" s="2">
        <f>EH24+預測IC!EI24</f>
        <v>2.023047806784402</v>
      </c>
      <c r="EJ24" s="2">
        <f>EI24+預測IC!EJ24</f>
        <v>2.0297737888600791</v>
      </c>
      <c r="EK24" s="2">
        <f>EJ24+預測IC!EK24</f>
        <v>2.1696863954134402</v>
      </c>
      <c r="EL24" s="2">
        <f>EK24+預測IC!EL24</f>
        <v>1.9130949100316903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workbookViewId="0">
      <selection activeCell="ED16" sqref="ED16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6" width="16.19921875" style="12" customWidth="1"/>
    <col min="7" max="16384" width="16.19921875" style="12"/>
  </cols>
  <sheetData>
    <row r="1" spans="1:142" x14ac:dyDescent="0.55000000000000004">
      <c r="A1" s="11" t="s">
        <v>299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5">
        <v>2.1384622901678089E-2</v>
      </c>
      <c r="D3" s="15">
        <v>6.2085315585136414E-3</v>
      </c>
      <c r="E3" s="15">
        <v>3.5493887960910797E-2</v>
      </c>
      <c r="F3" s="15">
        <v>2.6995036751031879E-2</v>
      </c>
      <c r="G3" s="15">
        <v>1.9322143867611889E-2</v>
      </c>
      <c r="H3" s="15">
        <v>-4.8867595614865422E-4</v>
      </c>
      <c r="I3" s="15">
        <v>2.2219710052013401E-2</v>
      </c>
      <c r="J3" s="15">
        <v>8.1882821395993233E-3</v>
      </c>
      <c r="K3" s="15">
        <v>3.7730719894170761E-2</v>
      </c>
      <c r="L3" s="15">
        <v>8.0356046557426453E-2</v>
      </c>
      <c r="M3" s="15">
        <v>3.820226714015007E-2</v>
      </c>
      <c r="N3" s="15">
        <v>3.3819951117038727E-2</v>
      </c>
      <c r="O3" s="15">
        <v>2.6821058243513111E-2</v>
      </c>
      <c r="P3" s="15">
        <v>4.8989016562700272E-2</v>
      </c>
      <c r="Q3" s="15">
        <v>5.1116403192281723E-2</v>
      </c>
      <c r="R3" s="15">
        <v>2.8836483135819439E-2</v>
      </c>
      <c r="S3" s="15">
        <v>-1.1045613326132299E-2</v>
      </c>
      <c r="T3" s="15">
        <v>-5.4997783154249191E-3</v>
      </c>
      <c r="U3" s="15">
        <v>1.916555501520634E-2</v>
      </c>
      <c r="V3" s="15">
        <v>-2.3617833852767941E-2</v>
      </c>
      <c r="W3" s="15">
        <v>1.6766401007771489E-2</v>
      </c>
      <c r="X3" s="15">
        <v>6.8642176687717438E-2</v>
      </c>
      <c r="Y3" s="15">
        <v>3.7944957613945007E-2</v>
      </c>
      <c r="Z3" s="15">
        <v>2.6601735502481461E-2</v>
      </c>
      <c r="AA3" s="15">
        <v>-1.044304668903351E-2</v>
      </c>
      <c r="AB3" s="15">
        <v>6.0451116412878043E-2</v>
      </c>
      <c r="AC3" s="15">
        <v>1.2645645998418329E-2</v>
      </c>
      <c r="AD3" s="15">
        <v>3.1133845448493961E-2</v>
      </c>
      <c r="AE3" s="15">
        <v>3.1886115670204163E-2</v>
      </c>
      <c r="AF3" s="15">
        <v>6.3942134380340576E-2</v>
      </c>
      <c r="AG3" s="15">
        <v>-1.074034254997969E-2</v>
      </c>
      <c r="AH3" s="15">
        <v>1.93442776799202E-2</v>
      </c>
      <c r="AI3" s="15">
        <v>4.4364981353282928E-2</v>
      </c>
      <c r="AJ3" s="15">
        <v>5.9207383543252938E-2</v>
      </c>
      <c r="AK3" s="15">
        <v>3.8927238434553153E-2</v>
      </c>
      <c r="AL3" s="15">
        <v>5.3689334541559219E-2</v>
      </c>
      <c r="AM3" s="15">
        <v>5.2407745271921158E-2</v>
      </c>
      <c r="AN3" s="15">
        <v>5.1848378032445908E-2</v>
      </c>
      <c r="AO3" s="15">
        <v>5.6688833981752403E-2</v>
      </c>
      <c r="AP3" s="15">
        <v>7.7263422310352325E-2</v>
      </c>
      <c r="AQ3" s="15">
        <v>4.8698432743549347E-2</v>
      </c>
      <c r="AR3" s="15">
        <v>3.1827423721551902E-2</v>
      </c>
      <c r="AS3" s="15">
        <v>-5.3263027220964432E-3</v>
      </c>
      <c r="AT3" s="15">
        <v>6.8274345248937607E-3</v>
      </c>
      <c r="AU3" s="15">
        <v>2.8391312807798389E-2</v>
      </c>
      <c r="AV3" s="15">
        <v>6.589217483997345E-2</v>
      </c>
      <c r="AW3" s="15">
        <v>3.1806275248527527E-2</v>
      </c>
      <c r="AX3" s="15">
        <v>2.3136453703045849E-2</v>
      </c>
      <c r="AY3" s="15">
        <v>1.720385625958443E-2</v>
      </c>
      <c r="AZ3" s="15">
        <v>4.8162486404180527E-2</v>
      </c>
      <c r="BA3" s="15">
        <v>4.5020870864391327E-2</v>
      </c>
      <c r="BB3" s="15">
        <v>5.8584816753864288E-2</v>
      </c>
      <c r="BC3" s="15">
        <v>3.2960090786218643E-2</v>
      </c>
      <c r="BD3" s="15">
        <v>1.4948392286896711E-2</v>
      </c>
      <c r="BE3" s="15">
        <v>1.206005364656448E-2</v>
      </c>
      <c r="BF3" s="15">
        <v>4.1460148990154273E-2</v>
      </c>
      <c r="BG3" s="15">
        <v>2.717349678277969E-2</v>
      </c>
      <c r="BH3" s="15">
        <v>4.8242643475532532E-2</v>
      </c>
      <c r="BI3" s="15">
        <v>5.7555802166461938E-2</v>
      </c>
      <c r="BJ3" s="15">
        <v>5.4008647799491882E-2</v>
      </c>
      <c r="BK3" s="15">
        <v>5.9487193822860718E-2</v>
      </c>
      <c r="BL3" s="15">
        <v>4.4882841408252723E-2</v>
      </c>
      <c r="BM3" s="15">
        <v>1.869392208755016E-2</v>
      </c>
      <c r="BN3" s="15">
        <v>2.8275258839130402E-2</v>
      </c>
      <c r="BO3" s="15">
        <v>1.656997017562389E-2</v>
      </c>
      <c r="BP3" s="15">
        <v>3.0568450689315799E-2</v>
      </c>
      <c r="BQ3" s="15">
        <v>3.1830046325922012E-2</v>
      </c>
      <c r="BR3" s="15">
        <v>2.2769121453166011E-2</v>
      </c>
      <c r="BS3" s="15">
        <v>2.8570586815476421E-2</v>
      </c>
      <c r="BT3" s="15">
        <v>3.9114817976951599E-2</v>
      </c>
      <c r="BU3" s="15">
        <v>8.9526018127799034E-3</v>
      </c>
      <c r="BV3" s="15">
        <v>1.219893246889114E-2</v>
      </c>
      <c r="BW3" s="15">
        <v>2.1470315754413601E-2</v>
      </c>
      <c r="BX3" s="15">
        <v>2.493099682033062E-2</v>
      </c>
      <c r="BY3" s="15">
        <v>1.2077592313289641E-2</v>
      </c>
      <c r="BZ3" s="15">
        <v>3.645806759595871E-2</v>
      </c>
      <c r="CA3" s="15">
        <v>1.6028642654418949E-2</v>
      </c>
      <c r="CB3" s="15">
        <v>2.7871729806065559E-2</v>
      </c>
      <c r="CC3" s="15">
        <v>-1.566923339851201E-3</v>
      </c>
      <c r="CD3" s="15">
        <v>6.1749620363116256E-3</v>
      </c>
      <c r="CE3" s="15">
        <v>6.4363791607320309E-3</v>
      </c>
      <c r="CF3" s="15">
        <v>6.619059294462204E-2</v>
      </c>
      <c r="CG3" s="15">
        <v>2.8865136206150051E-2</v>
      </c>
      <c r="CH3" s="15">
        <v>5.1061570644378662E-2</v>
      </c>
      <c r="CI3" s="15">
        <v>5.7563208043575287E-2</v>
      </c>
      <c r="CJ3" s="15">
        <v>8.8996067643165588E-2</v>
      </c>
      <c r="CK3" s="15">
        <v>2.3406891152262691E-2</v>
      </c>
      <c r="CL3" s="15">
        <v>3.9076175540685647E-2</v>
      </c>
      <c r="CM3" s="15">
        <v>4.4518075883388519E-2</v>
      </c>
      <c r="CN3" s="15">
        <v>0.11028569936752319</v>
      </c>
      <c r="CO3" s="15">
        <v>3.7435531616210938E-2</v>
      </c>
      <c r="CP3" s="15">
        <v>1.222133636474609E-2</v>
      </c>
      <c r="CQ3" s="15">
        <v>2.380294352769852E-2</v>
      </c>
      <c r="CR3" s="15">
        <v>7.6876550912857056E-2</v>
      </c>
      <c r="CS3" s="15">
        <v>0.10389680415391921</v>
      </c>
      <c r="CT3" s="15">
        <v>6.6643297672271729E-2</v>
      </c>
      <c r="CU3" s="15">
        <v>4.6993248164653778E-2</v>
      </c>
      <c r="CV3" s="15">
        <v>2.871822752058506E-2</v>
      </c>
      <c r="CW3" s="15">
        <v>7.0636175572872162E-2</v>
      </c>
      <c r="CX3" s="15">
        <v>4.5363247394561768E-2</v>
      </c>
      <c r="CY3" s="15">
        <v>6.0462243854999542E-2</v>
      </c>
      <c r="CZ3" s="15">
        <v>6.0128804296255112E-2</v>
      </c>
      <c r="DA3" s="15">
        <v>4.1078437119722373E-2</v>
      </c>
      <c r="DB3" s="15">
        <v>2.6134224608540532E-2</v>
      </c>
      <c r="DC3" s="15">
        <v>4.5154552906751633E-2</v>
      </c>
      <c r="DD3" s="15">
        <v>4.1204877197742462E-2</v>
      </c>
      <c r="DE3" s="15">
        <v>7.9255074262619019E-2</v>
      </c>
      <c r="DF3" s="15">
        <v>3.7982180714607239E-2</v>
      </c>
      <c r="DG3" s="15">
        <v>1.8428875133395198E-2</v>
      </c>
      <c r="DH3" s="15">
        <v>3.6969806998968117E-2</v>
      </c>
      <c r="DI3" s="15">
        <v>1.331676170229912E-2</v>
      </c>
      <c r="DJ3" s="15">
        <v>1.356823276728392E-2</v>
      </c>
      <c r="DK3" s="15">
        <v>1.8075281754136089E-2</v>
      </c>
      <c r="DL3" s="15">
        <v>1.831196807324886E-2</v>
      </c>
      <c r="DM3" s="15">
        <v>-5.2976803854107857E-3</v>
      </c>
      <c r="DN3" s="15">
        <v>3.1424559652805328E-2</v>
      </c>
      <c r="DO3" s="15">
        <v>-5.9854225255548954E-3</v>
      </c>
      <c r="DP3" s="15">
        <v>3.073384054005146E-2</v>
      </c>
      <c r="DQ3" s="15">
        <v>3.8263808935880661E-2</v>
      </c>
      <c r="DR3" s="15">
        <v>5.8564659208059311E-2</v>
      </c>
      <c r="DS3" s="15">
        <v>3.6518916487693787E-2</v>
      </c>
      <c r="DT3" s="15">
        <v>2.9084345325827599E-2</v>
      </c>
      <c r="DU3" s="15">
        <v>9.2715034261345863E-3</v>
      </c>
      <c r="DV3" s="15">
        <v>-2.876596711575985E-2</v>
      </c>
      <c r="DW3" s="15">
        <v>6.1656545847654343E-2</v>
      </c>
      <c r="DX3" s="15">
        <v>3.319497918710113E-3</v>
      </c>
      <c r="DY3" s="15">
        <v>1.3810926117002961E-2</v>
      </c>
      <c r="DZ3" s="15">
        <v>-3.2365705817937851E-2</v>
      </c>
      <c r="EA3" s="15">
        <v>2.656497759744525E-3</v>
      </c>
      <c r="EB3" s="15">
        <v>5.3087126463651657E-2</v>
      </c>
      <c r="EC3" s="15">
        <v>7.0435956120491028E-2</v>
      </c>
      <c r="ED3" s="15">
        <v>7.5781151652336121E-2</v>
      </c>
      <c r="EE3" s="15">
        <v>7.4293278157711029E-2</v>
      </c>
      <c r="EF3" s="15">
        <v>-2.3859791457653049E-2</v>
      </c>
      <c r="EG3" s="15">
        <v>2.0955521613359451E-2</v>
      </c>
      <c r="EH3" s="15">
        <v>-4.9046785570681104E-3</v>
      </c>
      <c r="EI3" s="15">
        <v>1.7493529245257381E-2</v>
      </c>
      <c r="EJ3" s="15">
        <v>2.7235755696892738E-3</v>
      </c>
      <c r="EK3" s="15">
        <v>2.5114959571510549E-3</v>
      </c>
      <c r="EL3" s="15">
        <v>-3.6372389644384377E-2</v>
      </c>
    </row>
    <row r="4" spans="1:142" x14ac:dyDescent="0.55000000000000004">
      <c r="B4" s="11" t="s">
        <v>144</v>
      </c>
      <c r="C4" s="15">
        <v>-2.0116182044148449E-2</v>
      </c>
      <c r="D4" s="15">
        <v>-4.1433513164520257E-2</v>
      </c>
      <c r="E4" s="15">
        <v>-0.1054108068346977</v>
      </c>
      <c r="F4" s="15">
        <v>-0.14115726947784421</v>
      </c>
      <c r="G4" s="15">
        <v>-0.1358892023563385</v>
      </c>
      <c r="H4" s="15">
        <v>-3.2324142754077911E-2</v>
      </c>
      <c r="I4" s="15">
        <v>-5.608823150396347E-2</v>
      </c>
      <c r="J4" s="15">
        <v>-6.0880199074745178E-2</v>
      </c>
      <c r="K4" s="15">
        <v>-4.1457630693912513E-2</v>
      </c>
      <c r="L4" s="15">
        <v>-1.8936943262815479E-2</v>
      </c>
      <c r="M4" s="15">
        <v>-4.3679680675268173E-2</v>
      </c>
      <c r="N4" s="15">
        <v>-2.1250296384096149E-2</v>
      </c>
      <c r="O4" s="15">
        <v>3.028000239282846E-3</v>
      </c>
      <c r="P4" s="15">
        <v>-5.2210021764039993E-2</v>
      </c>
      <c r="Q4" s="15">
        <v>-6.0307271778583527E-2</v>
      </c>
      <c r="R4" s="15">
        <v>-1.6635529696941379E-2</v>
      </c>
      <c r="S4" s="15">
        <v>-3.5245604813098907E-2</v>
      </c>
      <c r="T4" s="15">
        <v>-2.4626178666949269E-2</v>
      </c>
      <c r="U4" s="15">
        <v>4.8858420923352242E-3</v>
      </c>
      <c r="V4" s="15">
        <v>4.4351727701723584E-3</v>
      </c>
      <c r="W4" s="15">
        <v>2.1335095167160031E-2</v>
      </c>
      <c r="X4" s="15">
        <v>1.1508151888847349E-2</v>
      </c>
      <c r="Y4" s="15">
        <v>-3.3528175204992287E-2</v>
      </c>
      <c r="Z4" s="15">
        <v>-3.5066407173871987E-2</v>
      </c>
      <c r="AA4" s="15">
        <v>-1.8956955522298809E-2</v>
      </c>
      <c r="AB4" s="15">
        <v>-2.0634789019823071E-2</v>
      </c>
      <c r="AC4" s="15">
        <v>4.5430758036673069E-3</v>
      </c>
      <c r="AD4" s="15">
        <v>-7.8803729265928268E-3</v>
      </c>
      <c r="AE4" s="15">
        <v>-9.6710836514830589E-3</v>
      </c>
      <c r="AF4" s="15">
        <v>-3.119556233286858E-2</v>
      </c>
      <c r="AG4" s="15">
        <v>1.9589569419622421E-2</v>
      </c>
      <c r="AH4" s="15">
        <v>-2.1153058856725689E-2</v>
      </c>
      <c r="AI4" s="15">
        <v>-1.8485292792320251E-2</v>
      </c>
      <c r="AJ4" s="15">
        <v>-4.4810216873884201E-2</v>
      </c>
      <c r="AK4" s="15">
        <v>-3.8480717688798897E-2</v>
      </c>
      <c r="AL4" s="15">
        <v>-2.8241811320185661E-2</v>
      </c>
      <c r="AM4" s="15">
        <v>1.071570627391338E-2</v>
      </c>
      <c r="AN4" s="15">
        <v>-3.4469529986381531E-2</v>
      </c>
      <c r="AO4" s="15">
        <v>-2.5418078526854519E-2</v>
      </c>
      <c r="AP4" s="15">
        <v>-3.076112270355225E-2</v>
      </c>
      <c r="AQ4" s="15">
        <v>-3.7217754870653152E-2</v>
      </c>
      <c r="AR4" s="15">
        <v>-2.5028873234987259E-2</v>
      </c>
      <c r="AS4" s="15">
        <v>-2.6712249964475632E-2</v>
      </c>
      <c r="AT4" s="15">
        <v>1.9948748871684071E-2</v>
      </c>
      <c r="AU4" s="15">
        <v>-3.4190982580184943E-2</v>
      </c>
      <c r="AV4" s="15">
        <v>-1.5953699126839641E-2</v>
      </c>
      <c r="AW4" s="15">
        <v>-8.0705069005489349E-2</v>
      </c>
      <c r="AX4" s="15">
        <v>-1.6966873779892921E-2</v>
      </c>
      <c r="AY4" s="15">
        <v>-2.6864064857363701E-2</v>
      </c>
      <c r="AZ4" s="15">
        <v>-1.3301976025104519E-2</v>
      </c>
      <c r="BA4" s="15">
        <v>-2.7144066989421841E-2</v>
      </c>
      <c r="BB4" s="15">
        <v>-5.8215323835611343E-2</v>
      </c>
      <c r="BC4" s="15">
        <v>-3.1292259693145752E-2</v>
      </c>
      <c r="BD4" s="15">
        <v>-1.7290608957409859E-2</v>
      </c>
      <c r="BE4" s="15">
        <v>-4.8348080366849899E-2</v>
      </c>
      <c r="BF4" s="15">
        <v>-4.3041668832302087E-2</v>
      </c>
      <c r="BG4" s="15">
        <v>5.6051533669233322E-2</v>
      </c>
      <c r="BH4" s="15">
        <v>1.3574806973338131E-2</v>
      </c>
      <c r="BI4" s="15">
        <v>1.954366452991962E-3</v>
      </c>
      <c r="BJ4" s="15">
        <v>1.611663959920406E-2</v>
      </c>
      <c r="BK4" s="15">
        <v>-3.4451618790626533E-2</v>
      </c>
      <c r="BL4" s="15">
        <v>-4.8494916409254067E-2</v>
      </c>
      <c r="BM4" s="15">
        <v>1.8059739843010899E-2</v>
      </c>
      <c r="BN4" s="15">
        <v>-4.6812752261757851E-3</v>
      </c>
      <c r="BO4" s="15">
        <v>1.687155920080841E-3</v>
      </c>
      <c r="BP4" s="15">
        <v>3.3530544489622123E-2</v>
      </c>
      <c r="BQ4" s="15">
        <v>9.9907955154776573E-3</v>
      </c>
      <c r="BR4" s="15">
        <v>4.0667824447154999E-2</v>
      </c>
      <c r="BS4" s="15">
        <v>2.3329269140958789E-2</v>
      </c>
      <c r="BT4" s="15">
        <v>-4.4324260205030441E-2</v>
      </c>
      <c r="BU4" s="15">
        <v>-7.1650400757789612E-2</v>
      </c>
      <c r="BV4" s="15">
        <v>-1.7102757468819622E-2</v>
      </c>
      <c r="BW4" s="15">
        <v>4.0029857307672501E-2</v>
      </c>
      <c r="BX4" s="15">
        <v>1.7527525778859849E-3</v>
      </c>
      <c r="BY4" s="15">
        <v>-2.404789254069328E-2</v>
      </c>
      <c r="BZ4" s="15">
        <v>-3.7445716559886932E-2</v>
      </c>
      <c r="CA4" s="15">
        <v>-4.6248454600572593E-2</v>
      </c>
      <c r="CB4" s="15">
        <v>-9.6187498420476913E-3</v>
      </c>
      <c r="CC4" s="15">
        <v>-4.7657586634159088E-2</v>
      </c>
      <c r="CD4" s="15">
        <v>-4.3317254632711411E-2</v>
      </c>
      <c r="CE4" s="15">
        <v>-6.9234132766723633E-2</v>
      </c>
      <c r="CF4" s="15">
        <v>-3.8890421390533447E-2</v>
      </c>
      <c r="CG4" s="15">
        <v>-5.9534341096878052E-2</v>
      </c>
      <c r="CH4" s="15">
        <v>-5.0186887383460999E-2</v>
      </c>
      <c r="CI4" s="15">
        <v>-5.3663581609725952E-2</v>
      </c>
      <c r="CJ4" s="15">
        <v>-3.3301092684268951E-2</v>
      </c>
      <c r="CK4" s="15">
        <v>-2.4340655654668811E-2</v>
      </c>
      <c r="CL4" s="15">
        <v>-1.6147250309586521E-2</v>
      </c>
      <c r="CM4" s="15">
        <v>-4.1242804378271103E-2</v>
      </c>
      <c r="CN4" s="15">
        <v>-3.162054717540741E-2</v>
      </c>
      <c r="CO4" s="15">
        <v>3.3149775117635727E-2</v>
      </c>
      <c r="CP4" s="15">
        <v>6.3154622912406921E-2</v>
      </c>
      <c r="CQ4" s="15">
        <v>-4.0926769375801093E-2</v>
      </c>
      <c r="CR4" s="15">
        <v>4.1355922818183899E-2</v>
      </c>
      <c r="CS4" s="15">
        <v>-9.8862186074256897E-2</v>
      </c>
      <c r="CT4" s="15">
        <v>-6.5789952874183655E-2</v>
      </c>
      <c r="CU4" s="15">
        <v>-5.2493758499622338E-2</v>
      </c>
      <c r="CV4" s="15">
        <v>1.4395703328773379E-3</v>
      </c>
      <c r="CW4" s="15">
        <v>-2.5382401421666149E-2</v>
      </c>
      <c r="CX4" s="15">
        <v>-1.497303880751133E-2</v>
      </c>
      <c r="CY4" s="15">
        <v>-2.5147143751382831E-2</v>
      </c>
      <c r="CZ4" s="15">
        <v>-3.8899973034858697E-2</v>
      </c>
      <c r="DA4" s="15">
        <v>-6.6368021070957184E-2</v>
      </c>
      <c r="DB4" s="15">
        <v>-9.9088206887245178E-2</v>
      </c>
      <c r="DC4" s="15">
        <v>-8.7841019034385681E-2</v>
      </c>
      <c r="DD4" s="15">
        <v>-9.5149271190166473E-2</v>
      </c>
      <c r="DE4" s="15">
        <v>-7.5684666633605957E-2</v>
      </c>
      <c r="DF4" s="15">
        <v>-6.1269368976354599E-2</v>
      </c>
      <c r="DG4" s="15">
        <v>-6.4791887998580933E-2</v>
      </c>
      <c r="DH4" s="15">
        <v>-4.2990855872631073E-2</v>
      </c>
      <c r="DI4" s="15">
        <v>1.6611326485872269E-2</v>
      </c>
      <c r="DJ4" s="15">
        <v>-5.498785525560379E-2</v>
      </c>
      <c r="DK4" s="15">
        <v>-8.0709442496299744E-2</v>
      </c>
      <c r="DL4" s="15">
        <v>-8.7292157113552094E-2</v>
      </c>
      <c r="DM4" s="15">
        <v>2.5429284200072289E-2</v>
      </c>
      <c r="DN4" s="15">
        <v>1.348613388836384E-2</v>
      </c>
      <c r="DO4" s="15">
        <v>2.691176533699036E-2</v>
      </c>
      <c r="DP4" s="15">
        <v>-2.0206337794661518E-2</v>
      </c>
      <c r="DQ4" s="15">
        <v>-2.807299792766571E-2</v>
      </c>
      <c r="DR4" s="15">
        <v>-7.4518457055091858E-2</v>
      </c>
      <c r="DS4" s="15">
        <v>-1.5364203136414289E-4</v>
      </c>
      <c r="DT4" s="15">
        <v>-3.2376378774642937E-2</v>
      </c>
      <c r="DU4" s="15">
        <v>-4.4630087912082672E-2</v>
      </c>
      <c r="DV4" s="15">
        <v>-6.5195851027965546E-2</v>
      </c>
      <c r="DW4" s="15">
        <v>9.7361684311181307E-4</v>
      </c>
      <c r="DX4" s="15">
        <v>-4.8191780224442482E-3</v>
      </c>
      <c r="DY4" s="15">
        <v>-6.2778793275356293E-2</v>
      </c>
      <c r="DZ4" s="15">
        <v>-3.5209164023399353E-2</v>
      </c>
      <c r="EA4" s="15">
        <v>-6.0484454035758972E-2</v>
      </c>
      <c r="EB4" s="15">
        <v>-6.5868578851222992E-2</v>
      </c>
      <c r="EC4" s="15">
        <v>-6.4344577491283417E-2</v>
      </c>
      <c r="ED4" s="15">
        <v>-6.2420867383480072E-2</v>
      </c>
      <c r="EE4" s="15">
        <v>-3.765815868973732E-2</v>
      </c>
      <c r="EF4" s="15">
        <v>-1.969143562018871E-2</v>
      </c>
      <c r="EG4" s="15">
        <v>1.0347722098231321E-2</v>
      </c>
      <c r="EH4" s="15">
        <v>-7.5388825498521328E-3</v>
      </c>
      <c r="EI4" s="15">
        <v>-3.7975464016199112E-2</v>
      </c>
      <c r="EJ4" s="15">
        <v>-2.6498528197407719E-2</v>
      </c>
      <c r="EK4" s="15">
        <v>2.7714299038052559E-2</v>
      </c>
      <c r="EL4" s="15">
        <v>5.3217515349388123E-2</v>
      </c>
    </row>
    <row r="5" spans="1:142" x14ac:dyDescent="0.55000000000000004">
      <c r="B5" s="14" t="s">
        <v>145</v>
      </c>
      <c r="C5" s="15">
        <v>5.5741846561431878E-2</v>
      </c>
      <c r="D5" s="15">
        <v>1.5730537474155429E-2</v>
      </c>
      <c r="E5" s="15">
        <v>-8.4050968289375305E-3</v>
      </c>
      <c r="F5" s="15">
        <v>7.0764519274234772E-2</v>
      </c>
      <c r="G5" s="15">
        <v>6.1796344816684723E-2</v>
      </c>
      <c r="H5" s="15">
        <v>1.9191207364201549E-2</v>
      </c>
      <c r="I5" s="15">
        <v>2.7801195159554482E-2</v>
      </c>
      <c r="J5" s="15">
        <v>6.3844837248325348E-2</v>
      </c>
      <c r="K5" s="15">
        <v>8.7833143770694733E-3</v>
      </c>
      <c r="L5" s="15">
        <v>2.9632467776536942E-2</v>
      </c>
      <c r="M5" s="15">
        <v>3.1051227822899818E-2</v>
      </c>
      <c r="N5" s="15">
        <v>8.4429970011115074E-3</v>
      </c>
      <c r="O5" s="15">
        <v>3.6712147295475013E-2</v>
      </c>
      <c r="P5" s="15">
        <v>1.7434984445571899E-2</v>
      </c>
      <c r="Q5" s="15">
        <v>3.7053599953651428E-2</v>
      </c>
      <c r="R5" s="15">
        <v>2.1478258073329929E-2</v>
      </c>
      <c r="S5" s="15">
        <v>4.6521492302417762E-2</v>
      </c>
      <c r="T5" s="15">
        <v>1.8265387043356899E-2</v>
      </c>
      <c r="U5" s="15">
        <v>2.9996473342180249E-2</v>
      </c>
      <c r="V5" s="15">
        <v>8.2199856638908386E-2</v>
      </c>
      <c r="W5" s="15">
        <v>5.1936138421297073E-2</v>
      </c>
      <c r="X5" s="15">
        <v>1.8651567399501801E-2</v>
      </c>
      <c r="Y5" s="15">
        <v>-2.8840977698564529E-2</v>
      </c>
      <c r="Z5" s="15">
        <v>-4.8936635255813599E-2</v>
      </c>
      <c r="AA5" s="15">
        <v>7.4104063212871552E-2</v>
      </c>
      <c r="AB5" s="15">
        <v>-7.9052217304706573E-2</v>
      </c>
      <c r="AC5" s="15">
        <v>4.592437669634819E-2</v>
      </c>
      <c r="AD5" s="15">
        <v>-1.2192311696708201E-2</v>
      </c>
      <c r="AE5" s="15">
        <v>6.8174158222973347E-3</v>
      </c>
      <c r="AF5" s="15">
        <v>2.5050153955817219E-2</v>
      </c>
      <c r="AG5" s="15">
        <v>4.8616897314786911E-2</v>
      </c>
      <c r="AH5" s="15">
        <v>1.1846562847495079E-3</v>
      </c>
      <c r="AI5" s="15">
        <v>-2.8516151360236108E-4</v>
      </c>
      <c r="AJ5" s="15">
        <v>5.6431600823998451E-3</v>
      </c>
      <c r="AK5" s="15">
        <v>3.1767126172780991E-2</v>
      </c>
      <c r="AL5" s="15">
        <v>2.2000886965543032E-3</v>
      </c>
      <c r="AM5" s="15">
        <v>1.528516598045826E-2</v>
      </c>
      <c r="AN5" s="15">
        <v>-1.262857671827078E-2</v>
      </c>
      <c r="AO5" s="15">
        <v>2.365807443857193E-2</v>
      </c>
      <c r="AP5" s="15">
        <v>4.5001458376646042E-2</v>
      </c>
      <c r="AQ5" s="15">
        <v>4.8620425164699548E-2</v>
      </c>
      <c r="AR5" s="15">
        <v>5.3666368126869202E-2</v>
      </c>
      <c r="AS5" s="15">
        <v>3.9547394961118698E-2</v>
      </c>
      <c r="AT5" s="15">
        <v>2.9460180550813671E-2</v>
      </c>
      <c r="AU5" s="15">
        <v>2.2005906328558918E-2</v>
      </c>
      <c r="AV5" s="15">
        <v>5.57871013879776E-2</v>
      </c>
      <c r="AW5" s="15">
        <v>4.1573628783226013E-2</v>
      </c>
      <c r="AX5" s="15">
        <v>5.7690292596817017E-2</v>
      </c>
      <c r="AY5" s="15">
        <v>5.2581634372472763E-2</v>
      </c>
      <c r="AZ5" s="15">
        <v>-8.5635492578148842E-3</v>
      </c>
      <c r="BA5" s="15">
        <v>4.225115105509758E-2</v>
      </c>
      <c r="BB5" s="15">
        <v>-1.6324453055858609E-2</v>
      </c>
      <c r="BC5" s="15">
        <v>6.4180669141933322E-4</v>
      </c>
      <c r="BD5" s="15">
        <v>-5.6817673146724701E-2</v>
      </c>
      <c r="BE5" s="15">
        <v>-2.9879733920097351E-2</v>
      </c>
      <c r="BF5" s="15">
        <v>1.893253996968269E-2</v>
      </c>
      <c r="BG5" s="15">
        <v>-3.5026323050260537E-2</v>
      </c>
      <c r="BH5" s="15">
        <v>-6.5759293735027313E-2</v>
      </c>
      <c r="BI5" s="15">
        <v>-7.9368360340595245E-2</v>
      </c>
      <c r="BJ5" s="15">
        <v>-8.5684239864349365E-2</v>
      </c>
      <c r="BK5" s="15">
        <v>-4.9413099884986877E-2</v>
      </c>
      <c r="BL5" s="15">
        <v>-1.1686298530548811E-3</v>
      </c>
      <c r="BM5" s="15">
        <v>-2.3616783320903782E-2</v>
      </c>
      <c r="BN5" s="15">
        <v>-3.0536096543073651E-2</v>
      </c>
      <c r="BO5" s="15">
        <v>2.686824090778828E-2</v>
      </c>
      <c r="BP5" s="15">
        <v>2.7123436331748959E-2</v>
      </c>
      <c r="BQ5" s="15">
        <v>9.7388895228505135E-3</v>
      </c>
      <c r="BR5" s="15">
        <v>2.0006326958537098E-2</v>
      </c>
      <c r="BS5" s="15">
        <v>1.4250755775719881E-3</v>
      </c>
      <c r="BT5" s="15">
        <v>4.8925049602985382E-2</v>
      </c>
      <c r="BU5" s="15">
        <v>4.7599527984857559E-2</v>
      </c>
      <c r="BV5" s="15">
        <v>-2.8521495405584569E-3</v>
      </c>
      <c r="BW5" s="15">
        <v>3.047716990113258E-2</v>
      </c>
      <c r="BX5" s="15">
        <v>3.2435460016131401E-3</v>
      </c>
      <c r="BY5" s="15">
        <v>-4.4437490403652191E-2</v>
      </c>
      <c r="BZ5" s="15">
        <v>3.372203791514039E-4</v>
      </c>
      <c r="CA5" s="15">
        <v>5.1361106336116791E-2</v>
      </c>
      <c r="CB5" s="15">
        <v>4.0368124842643738E-2</v>
      </c>
      <c r="CC5" s="15">
        <v>2.743220329284668E-2</v>
      </c>
      <c r="CD5" s="15">
        <v>2.207928895950317E-2</v>
      </c>
      <c r="CE5" s="15">
        <v>2.3870967328548431E-2</v>
      </c>
      <c r="CF5" s="15">
        <v>-3.202897310256958E-2</v>
      </c>
      <c r="CG5" s="15">
        <v>-7.1231015026569366E-2</v>
      </c>
      <c r="CH5" s="15">
        <v>-4.6868059784173972E-2</v>
      </c>
      <c r="CI5" s="15">
        <v>-6.7858822643756866E-2</v>
      </c>
      <c r="CJ5" s="15">
        <v>-6.4342252910137177E-2</v>
      </c>
      <c r="CK5" s="15">
        <v>-5.9413556009531021E-2</v>
      </c>
      <c r="CL5" s="15">
        <v>8.4330163896083832E-2</v>
      </c>
      <c r="CM5" s="15">
        <v>6.5344303846359253E-2</v>
      </c>
      <c r="CN5" s="15">
        <v>4.4891763478517532E-2</v>
      </c>
      <c r="CO5" s="15">
        <v>1.0420361533761019E-2</v>
      </c>
      <c r="CP5" s="15">
        <v>0.1182377934455872</v>
      </c>
      <c r="CQ5" s="15">
        <v>5.0723213702440262E-2</v>
      </c>
      <c r="CR5" s="15">
        <v>3.3173959702253342E-2</v>
      </c>
      <c r="CS5" s="15">
        <v>-3.7132888101041321E-3</v>
      </c>
      <c r="CT5" s="15">
        <v>-1.008150540292263E-2</v>
      </c>
      <c r="CU5" s="15">
        <v>4.6655397862195969E-2</v>
      </c>
      <c r="CV5" s="15">
        <v>-5.5946167558431634E-3</v>
      </c>
      <c r="CW5" s="15">
        <v>-0.1470402330160141</v>
      </c>
      <c r="CX5" s="15">
        <v>-2.894680388271809E-2</v>
      </c>
      <c r="CY5" s="15">
        <v>8.4989266470074654E-3</v>
      </c>
      <c r="CZ5" s="15">
        <v>-2.2278601303696629E-2</v>
      </c>
      <c r="DA5" s="15">
        <v>3.0063033103942871E-2</v>
      </c>
      <c r="DB5" s="15">
        <v>-1.368775591254234E-2</v>
      </c>
      <c r="DC5" s="15">
        <v>3.7013180553913123E-2</v>
      </c>
      <c r="DD5" s="15">
        <v>4.2487449944019318E-2</v>
      </c>
      <c r="DE5" s="15">
        <v>3.5419993102550507E-2</v>
      </c>
      <c r="DF5" s="15">
        <v>5.0845975056290627E-3</v>
      </c>
      <c r="DG5" s="15">
        <v>3.7272726185619831E-3</v>
      </c>
      <c r="DH5" s="15">
        <v>-6.6102910786867142E-3</v>
      </c>
      <c r="DI5" s="15">
        <v>-5.582159012556076E-2</v>
      </c>
      <c r="DJ5" s="15">
        <v>4.8400323837995529E-2</v>
      </c>
      <c r="DK5" s="15">
        <v>1.1602438054978849E-2</v>
      </c>
      <c r="DL5" s="15">
        <v>1.8670994788408279E-2</v>
      </c>
      <c r="DM5" s="15">
        <v>1.2823298573493959E-2</v>
      </c>
      <c r="DN5" s="15">
        <v>3.3588364720344543E-2</v>
      </c>
      <c r="DO5" s="15">
        <v>3.080024570226669E-2</v>
      </c>
      <c r="DP5" s="15">
        <v>4.4318786822259426E-3</v>
      </c>
      <c r="DQ5" s="15">
        <v>-2.750279009342194E-2</v>
      </c>
      <c r="DR5" s="15">
        <v>-0.1000711172819138</v>
      </c>
      <c r="DS5" s="15">
        <v>2.2957990877330299E-3</v>
      </c>
      <c r="DT5" s="15">
        <v>4.5962766744196406E-3</v>
      </c>
      <c r="DU5" s="15">
        <v>4.9048192799091339E-2</v>
      </c>
      <c r="DV5" s="15">
        <v>4.9711555242538452E-2</v>
      </c>
      <c r="DW5" s="15">
        <v>6.2132958322763443E-2</v>
      </c>
      <c r="DX5" s="15">
        <v>3.4120500087738037E-2</v>
      </c>
      <c r="DY5" s="15">
        <v>-4.3345347046852112E-2</v>
      </c>
      <c r="DZ5" s="15">
        <v>1.6171941533684731E-2</v>
      </c>
      <c r="EA5" s="15">
        <v>2.0687229931354519E-2</v>
      </c>
      <c r="EB5" s="15">
        <v>2.4651791900396351E-2</v>
      </c>
      <c r="EC5" s="15">
        <v>-7.1213126182556152E-2</v>
      </c>
      <c r="ED5" s="15">
        <v>-6.88604936003685E-2</v>
      </c>
      <c r="EE5" s="15">
        <v>-2.8207767754793171E-2</v>
      </c>
      <c r="EF5" s="15">
        <v>1.9379980862140659E-2</v>
      </c>
      <c r="EG5" s="15">
        <v>-1.8364094197750092E-2</v>
      </c>
      <c r="EH5" s="15">
        <v>-4.4609863311052322E-2</v>
      </c>
      <c r="EI5" s="15">
        <v>-8.8491691276431084E-3</v>
      </c>
      <c r="EJ5" s="15">
        <v>1.1057978495955471E-2</v>
      </c>
      <c r="EK5" s="15">
        <v>-3.502532839775085E-3</v>
      </c>
      <c r="EL5" s="15">
        <v>1.083044148981571E-2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x14ac:dyDescent="0.55000000000000004">
      <c r="A13" s="12" t="s">
        <v>300</v>
      </c>
      <c r="B13" s="11" t="s">
        <v>143</v>
      </c>
      <c r="C13" s="12">
        <f t="shared" ref="C13:AH13" si="0">(C3-C9)^2</f>
        <v>8.3099458319308376E-3</v>
      </c>
      <c r="D13" s="12">
        <f t="shared" si="0"/>
        <v>7.7777184113499772E-4</v>
      </c>
      <c r="E13" s="12">
        <f t="shared" si="0"/>
        <v>4.8422320853759009E-3</v>
      </c>
      <c r="F13" s="12">
        <f t="shared" si="0"/>
        <v>1.8536201195681831E-3</v>
      </c>
      <c r="G13" s="12">
        <f t="shared" si="0"/>
        <v>5.0898308484886834E-4</v>
      </c>
      <c r="H13" s="12">
        <f t="shared" si="0"/>
        <v>1.4737750654239602E-3</v>
      </c>
      <c r="I13" s="12">
        <f t="shared" si="0"/>
        <v>3.0401658823562223E-2</v>
      </c>
      <c r="J13" s="12">
        <f t="shared" si="0"/>
        <v>1.335404895945274E-2</v>
      </c>
      <c r="K13" s="12">
        <f t="shared" si="0"/>
        <v>1.695691758597936E-3</v>
      </c>
      <c r="L13" s="12">
        <f t="shared" si="0"/>
        <v>5.7892587249962029E-4</v>
      </c>
      <c r="M13" s="12">
        <f t="shared" si="0"/>
        <v>5.1083708517895175E-3</v>
      </c>
      <c r="N13" s="12">
        <f t="shared" si="0"/>
        <v>1.0303205642060104E-2</v>
      </c>
      <c r="O13" s="12">
        <f t="shared" si="0"/>
        <v>8.2613249758457341E-6</v>
      </c>
      <c r="P13" s="12">
        <f t="shared" si="0"/>
        <v>1.5602146437119676E-2</v>
      </c>
      <c r="Q13" s="12">
        <f t="shared" si="0"/>
        <v>1.2965012612965125E-2</v>
      </c>
      <c r="R13" s="12">
        <f t="shared" si="0"/>
        <v>3.0231196905721416E-5</v>
      </c>
      <c r="S13" s="12">
        <f t="shared" si="0"/>
        <v>1.070057161934475E-2</v>
      </c>
      <c r="T13" s="12">
        <f t="shared" si="0"/>
        <v>1.5107167801202621E-2</v>
      </c>
      <c r="U13" s="12">
        <f t="shared" si="0"/>
        <v>1.3927514011308907E-3</v>
      </c>
      <c r="V13" s="12">
        <f t="shared" si="0"/>
        <v>1.4617308068849054E-2</v>
      </c>
      <c r="W13" s="12">
        <f t="shared" si="0"/>
        <v>2.2771658799743827E-3</v>
      </c>
      <c r="X13" s="12">
        <f t="shared" si="0"/>
        <v>4.1038921153341151E-3</v>
      </c>
      <c r="Y13" s="12">
        <f t="shared" si="0"/>
        <v>3.3491880553710315E-2</v>
      </c>
      <c r="Z13" s="12">
        <f t="shared" si="0"/>
        <v>1.775190850303188E-2</v>
      </c>
      <c r="AA13" s="12">
        <f t="shared" si="0"/>
        <v>4.7605346129552398E-3</v>
      </c>
      <c r="AB13" s="12">
        <f t="shared" si="0"/>
        <v>2.512670594321849E-5</v>
      </c>
      <c r="AC13" s="12">
        <f t="shared" si="0"/>
        <v>9.1722618992216148E-3</v>
      </c>
      <c r="AD13" s="12">
        <f t="shared" si="0"/>
        <v>1.6226785779512604E-5</v>
      </c>
      <c r="AE13" s="12">
        <f t="shared" si="0"/>
        <v>2.7053699822191215E-2</v>
      </c>
      <c r="AF13" s="12">
        <f t="shared" si="0"/>
        <v>2.3180511506981123E-4</v>
      </c>
      <c r="AG13" s="12">
        <f t="shared" si="0"/>
        <v>2.5023298644155954E-2</v>
      </c>
      <c r="AH13" s="12">
        <f t="shared" si="0"/>
        <v>7.89197677033039E-3</v>
      </c>
      <c r="AI13" s="12">
        <f t="shared" ref="AI13:BN13" si="1">(AI3-AI9)^2</f>
        <v>1.653779424677658E-4</v>
      </c>
      <c r="AJ13" s="12">
        <f t="shared" si="1"/>
        <v>8.3123164373172581E-5</v>
      </c>
      <c r="AK13" s="12">
        <f t="shared" si="1"/>
        <v>1.009084170851113E-2</v>
      </c>
      <c r="AL13" s="12">
        <f t="shared" si="1"/>
        <v>2.7140546723739083E-3</v>
      </c>
      <c r="AM13" s="12">
        <f t="shared" si="1"/>
        <v>4.1712852432121269E-3</v>
      </c>
      <c r="AN13" s="12">
        <f t="shared" si="1"/>
        <v>1.732900503552413E-2</v>
      </c>
      <c r="AO13" s="12">
        <f t="shared" si="1"/>
        <v>4.9439835924239353E-3</v>
      </c>
      <c r="AP13" s="12">
        <f t="shared" si="1"/>
        <v>3.3720330685077501E-2</v>
      </c>
      <c r="AQ13" s="12">
        <f t="shared" si="1"/>
        <v>5.719541104196835E-3</v>
      </c>
      <c r="AR13" s="12">
        <f t="shared" si="1"/>
        <v>1.0422586408736637E-4</v>
      </c>
      <c r="AS13" s="12">
        <f t="shared" si="1"/>
        <v>5.7709921046599985E-4</v>
      </c>
      <c r="AT13" s="12">
        <f t="shared" si="1"/>
        <v>1.9195852298658975E-3</v>
      </c>
      <c r="AU13" s="12">
        <f t="shared" si="1"/>
        <v>1.0253986021740132E-3</v>
      </c>
      <c r="AV13" s="12">
        <f t="shared" si="1"/>
        <v>1.3217363172914784E-2</v>
      </c>
      <c r="AW13" s="12">
        <f t="shared" si="1"/>
        <v>9.122606106609246E-5</v>
      </c>
      <c r="AX13" s="12">
        <f t="shared" si="1"/>
        <v>1.2009233070220384E-2</v>
      </c>
      <c r="AY13" s="12">
        <f t="shared" si="1"/>
        <v>1.4004003463635394E-3</v>
      </c>
      <c r="AZ13" s="12">
        <f t="shared" si="1"/>
        <v>1.0540210384009554E-3</v>
      </c>
      <c r="BA13" s="12">
        <f t="shared" si="1"/>
        <v>1.0452628740334649E-3</v>
      </c>
      <c r="BB13" s="12">
        <f t="shared" si="1"/>
        <v>2.094728097350773E-3</v>
      </c>
      <c r="BC13" s="12">
        <f t="shared" si="1"/>
        <v>2.6661292687183359E-5</v>
      </c>
      <c r="BD13" s="12">
        <f t="shared" si="1"/>
        <v>6.9877796539762944E-7</v>
      </c>
      <c r="BE13" s="12">
        <f t="shared" si="1"/>
        <v>1.7372127336625887E-3</v>
      </c>
      <c r="BF13" s="12">
        <f t="shared" si="1"/>
        <v>1.2610905328787591E-2</v>
      </c>
      <c r="BG13" s="12">
        <f t="shared" si="1"/>
        <v>1.4423127755459127E-2</v>
      </c>
      <c r="BH13" s="12">
        <f t="shared" si="1"/>
        <v>1.1085755559555266E-4</v>
      </c>
      <c r="BI13" s="12">
        <f t="shared" si="1"/>
        <v>1.0323215640683017E-3</v>
      </c>
      <c r="BJ13" s="12">
        <f t="shared" si="1"/>
        <v>9.0715063948976996E-3</v>
      </c>
      <c r="BK13" s="12">
        <f t="shared" si="1"/>
        <v>2.1089406645109918E-2</v>
      </c>
      <c r="BL13" s="12">
        <f t="shared" si="1"/>
        <v>4.2153011498544097E-4</v>
      </c>
      <c r="BM13" s="12">
        <f t="shared" si="1"/>
        <v>2.5062314127463994E-3</v>
      </c>
      <c r="BN13" s="12">
        <f t="shared" si="1"/>
        <v>5.0188194831493733E-5</v>
      </c>
      <c r="BO13" s="12">
        <f t="shared" ref="BO13:CT13" si="2">(BO3-BO9)^2</f>
        <v>3.7374044383034172E-3</v>
      </c>
      <c r="BP13" s="12">
        <f t="shared" si="2"/>
        <v>2.0346918540380672E-3</v>
      </c>
      <c r="BQ13" s="12">
        <f t="shared" si="2"/>
        <v>5.1295991544894528E-4</v>
      </c>
      <c r="BR13" s="12">
        <f t="shared" si="2"/>
        <v>1.2074981991081076E-3</v>
      </c>
      <c r="BS13" s="12">
        <f t="shared" si="2"/>
        <v>1.0966587145741062E-3</v>
      </c>
      <c r="BT13" s="12">
        <f t="shared" si="2"/>
        <v>4.6246852284210777E-4</v>
      </c>
      <c r="BU13" s="12">
        <f t="shared" si="2"/>
        <v>5.1690402356011974E-5</v>
      </c>
      <c r="BV13" s="12">
        <f t="shared" si="2"/>
        <v>4.5836279669078739E-3</v>
      </c>
      <c r="BW13" s="12">
        <f t="shared" si="2"/>
        <v>2.2635416541678085E-3</v>
      </c>
      <c r="BX13" s="12">
        <f t="shared" si="2"/>
        <v>7.7207450820168097E-6</v>
      </c>
      <c r="BY13" s="12">
        <f t="shared" si="2"/>
        <v>6.8484424712536253E-3</v>
      </c>
      <c r="BZ13" s="12">
        <f t="shared" si="2"/>
        <v>4.2007966888763983E-3</v>
      </c>
      <c r="CA13" s="12">
        <f t="shared" si="2"/>
        <v>1.6305227416615116E-2</v>
      </c>
      <c r="CB13" s="12">
        <f t="shared" si="2"/>
        <v>4.2634471485872085E-5</v>
      </c>
      <c r="CC13" s="12">
        <f t="shared" si="2"/>
        <v>1.0043857496753222E-5</v>
      </c>
      <c r="CD13" s="12">
        <f t="shared" si="2"/>
        <v>3.0059254733080111E-2</v>
      </c>
      <c r="CE13" s="12">
        <f t="shared" si="2"/>
        <v>3.0108555454406178E-3</v>
      </c>
      <c r="CF13" s="12">
        <f t="shared" si="2"/>
        <v>6.4588059853908271E-4</v>
      </c>
      <c r="CG13" s="12">
        <f t="shared" si="2"/>
        <v>4.7371379281098179E-3</v>
      </c>
      <c r="CH13" s="12">
        <f t="shared" si="2"/>
        <v>1.125414474912133E-2</v>
      </c>
      <c r="CI13" s="12">
        <f t="shared" si="2"/>
        <v>2.1377479381228068E-2</v>
      </c>
      <c r="CJ13" s="12">
        <f t="shared" si="2"/>
        <v>1.0801786578328414E-2</v>
      </c>
      <c r="CK13" s="12">
        <f t="shared" si="2"/>
        <v>2.190827775549512E-4</v>
      </c>
      <c r="CL13" s="12">
        <f t="shared" si="2"/>
        <v>7.7385425179069905E-2</v>
      </c>
      <c r="CM13" s="12">
        <f t="shared" si="2"/>
        <v>8.9242116269443762E-3</v>
      </c>
      <c r="CN13" s="12">
        <f t="shared" si="2"/>
        <v>2.2121423811396212E-2</v>
      </c>
      <c r="CO13" s="12">
        <f t="shared" si="2"/>
        <v>1.3487050364336308E-3</v>
      </c>
      <c r="CP13" s="12">
        <f t="shared" si="2"/>
        <v>1.7553929179571801E-2</v>
      </c>
      <c r="CQ13" s="12">
        <f t="shared" si="2"/>
        <v>1.5746748950108615E-2</v>
      </c>
      <c r="CR13" s="12">
        <f t="shared" si="2"/>
        <v>1.3613663516839878E-2</v>
      </c>
      <c r="CS13" s="12">
        <f t="shared" si="2"/>
        <v>2.2633012887778203E-2</v>
      </c>
      <c r="CT13" s="12">
        <f t="shared" si="2"/>
        <v>1.0568762735790654E-3</v>
      </c>
      <c r="CU13" s="12">
        <f t="shared" ref="CU13:DZ13" si="3">(CU3-CU9)^2</f>
        <v>6.6848296317441984E-3</v>
      </c>
      <c r="CV13" s="12">
        <f t="shared" si="3"/>
        <v>8.5097070647761043E-6</v>
      </c>
      <c r="CW13" s="12">
        <f t="shared" si="3"/>
        <v>8.6680856260312256E-4</v>
      </c>
      <c r="CX13" s="12">
        <f t="shared" si="3"/>
        <v>1.3884425692972541E-2</v>
      </c>
      <c r="CY13" s="12">
        <f t="shared" si="3"/>
        <v>1.0728251288969157E-2</v>
      </c>
      <c r="CZ13" s="12">
        <f t="shared" si="3"/>
        <v>2.5580686048495713E-2</v>
      </c>
      <c r="DA13" s="12">
        <f t="shared" si="3"/>
        <v>6.8066076347180248E-3</v>
      </c>
      <c r="DB13" s="12">
        <f t="shared" si="3"/>
        <v>1.4343034473220744E-3</v>
      </c>
      <c r="DC13" s="12">
        <f t="shared" si="3"/>
        <v>3.9208284742823464E-3</v>
      </c>
      <c r="DD13" s="12">
        <f t="shared" si="3"/>
        <v>6.7699546260526096E-4</v>
      </c>
      <c r="DE13" s="12">
        <f t="shared" si="3"/>
        <v>1.4254497937603068E-2</v>
      </c>
      <c r="DF13" s="12">
        <f t="shared" si="3"/>
        <v>2.5131070010390127E-6</v>
      </c>
      <c r="DG13" s="12">
        <f t="shared" si="3"/>
        <v>1.3569902817466804E-2</v>
      </c>
      <c r="DH13" s="12">
        <f t="shared" si="3"/>
        <v>2.4025344615193392E-3</v>
      </c>
      <c r="DI13" s="12">
        <f t="shared" si="3"/>
        <v>1.055290575163674E-2</v>
      </c>
      <c r="DJ13" s="12">
        <f t="shared" si="3"/>
        <v>1.7160013485869742E-3</v>
      </c>
      <c r="DK13" s="12">
        <f t="shared" si="3"/>
        <v>5.6643491265403866E-3</v>
      </c>
      <c r="DL13" s="12">
        <f t="shared" si="3"/>
        <v>2.2654048749164786E-3</v>
      </c>
      <c r="DM13" s="12">
        <f t="shared" si="3"/>
        <v>6.8148403042041325E-4</v>
      </c>
      <c r="DN13" s="12">
        <f t="shared" si="3"/>
        <v>2.8078408296033181E-3</v>
      </c>
      <c r="DO13" s="12">
        <f t="shared" si="3"/>
        <v>2.932898335331472E-3</v>
      </c>
      <c r="DP13" s="12">
        <f t="shared" si="3"/>
        <v>3.5536599986834934E-3</v>
      </c>
      <c r="DQ13" s="12">
        <f t="shared" si="3"/>
        <v>2.4630227031178075E-2</v>
      </c>
      <c r="DR13" s="12">
        <f t="shared" si="3"/>
        <v>2.6980655780660971E-3</v>
      </c>
      <c r="DS13" s="12">
        <f t="shared" si="3"/>
        <v>1.2173489105991113E-2</v>
      </c>
      <c r="DT13" s="12">
        <f t="shared" si="3"/>
        <v>1.8339437386529964E-2</v>
      </c>
      <c r="DU13" s="12">
        <f t="shared" si="3"/>
        <v>1.2356525797809625E-7</v>
      </c>
      <c r="DV13" s="12">
        <f t="shared" si="3"/>
        <v>2.9907270407126929E-2</v>
      </c>
      <c r="DW13" s="12">
        <f t="shared" si="3"/>
        <v>5.5959055998154182E-4</v>
      </c>
      <c r="DX13" s="12">
        <f t="shared" si="3"/>
        <v>1.2927616699575472E-2</v>
      </c>
      <c r="DY13" s="12">
        <f t="shared" si="3"/>
        <v>1.3201274216329929E-2</v>
      </c>
      <c r="DZ13" s="12">
        <f t="shared" si="3"/>
        <v>4.3699396294341023E-4</v>
      </c>
      <c r="EA13" s="12">
        <f t="shared" ref="EA13:EL13" si="4">(EA3-EA9)^2</f>
        <v>2.9104482140908453E-2</v>
      </c>
      <c r="EB13" s="12">
        <f t="shared" si="4"/>
        <v>1.6664916060606281E-3</v>
      </c>
      <c r="EC13" s="12">
        <f t="shared" si="4"/>
        <v>4.7396849352142327E-5</v>
      </c>
      <c r="ED13" s="12">
        <f t="shared" si="4"/>
        <v>5.8025530046750262E-2</v>
      </c>
      <c r="EE13" s="12">
        <f t="shared" si="4"/>
        <v>1.0884487489108933E-5</v>
      </c>
      <c r="EF13" s="12">
        <f t="shared" si="4"/>
        <v>6.487997413737746E-3</v>
      </c>
      <c r="EG13" s="12">
        <f t="shared" si="4"/>
        <v>2.3950309829191441E-2</v>
      </c>
      <c r="EH13" s="12">
        <f t="shared" si="4"/>
        <v>2.1005795661800737E-3</v>
      </c>
      <c r="EI13" s="12">
        <f t="shared" si="4"/>
        <v>2.5475443022908765E-3</v>
      </c>
      <c r="EJ13" s="12">
        <f t="shared" si="4"/>
        <v>3.1611729384165663E-2</v>
      </c>
      <c r="EK13" s="12">
        <f t="shared" si="4"/>
        <v>5.357044999926874E-3</v>
      </c>
      <c r="EL13" s="12">
        <f t="shared" si="4"/>
        <v>5.6379598232079798E-3</v>
      </c>
    </row>
    <row r="14" spans="1:142" x14ac:dyDescent="0.55000000000000004">
      <c r="B14" s="11" t="s">
        <v>144</v>
      </c>
      <c r="C14" s="12">
        <f t="shared" ref="C14:AH14" si="5">(C4-C10)^2</f>
        <v>6.0299159868104475E-2</v>
      </c>
      <c r="D14" s="12">
        <f t="shared" si="5"/>
        <v>4.8979137114298965E-2</v>
      </c>
      <c r="E14" s="12">
        <f t="shared" si="5"/>
        <v>7.1370783101020049E-4</v>
      </c>
      <c r="F14" s="12">
        <f t="shared" si="5"/>
        <v>4.2792745503799294E-2</v>
      </c>
      <c r="G14" s="12">
        <f t="shared" si="5"/>
        <v>5.7592122414670223E-3</v>
      </c>
      <c r="H14" s="12">
        <f t="shared" si="5"/>
        <v>3.4173945627490447E-3</v>
      </c>
      <c r="I14" s="12">
        <f t="shared" si="5"/>
        <v>7.0462505914234408E-4</v>
      </c>
      <c r="J14" s="12">
        <f t="shared" si="5"/>
        <v>1.680556745530052E-2</v>
      </c>
      <c r="K14" s="12">
        <f t="shared" si="5"/>
        <v>1.5786114628928393E-5</v>
      </c>
      <c r="L14" s="12">
        <f t="shared" si="5"/>
        <v>1.2384669146227536E-2</v>
      </c>
      <c r="M14" s="12">
        <f t="shared" si="5"/>
        <v>2.4219112994804774E-3</v>
      </c>
      <c r="N14" s="12">
        <f t="shared" si="5"/>
        <v>3.2898435995490055E-2</v>
      </c>
      <c r="O14" s="12">
        <f t="shared" si="5"/>
        <v>3.418412204614201E-3</v>
      </c>
      <c r="P14" s="12">
        <f t="shared" si="5"/>
        <v>1.3277828342242795E-2</v>
      </c>
      <c r="Q14" s="12">
        <f t="shared" si="5"/>
        <v>8.4268750709600915E-5</v>
      </c>
      <c r="R14" s="12">
        <f t="shared" si="5"/>
        <v>1.9596089293719168E-4</v>
      </c>
      <c r="S14" s="12">
        <f t="shared" si="5"/>
        <v>2.3291658402041164E-2</v>
      </c>
      <c r="T14" s="12">
        <f t="shared" si="5"/>
        <v>2.7822709597799971E-3</v>
      </c>
      <c r="U14" s="12">
        <f t="shared" si="5"/>
        <v>3.8079058638375133E-4</v>
      </c>
      <c r="V14" s="12">
        <f t="shared" si="5"/>
        <v>3.8645815101413133E-6</v>
      </c>
      <c r="W14" s="12">
        <f t="shared" si="5"/>
        <v>2.2694544713708253E-2</v>
      </c>
      <c r="X14" s="12">
        <f t="shared" si="5"/>
        <v>8.0446088442911786E-3</v>
      </c>
      <c r="Y14" s="12">
        <f t="shared" si="5"/>
        <v>2.8019787555380121E-4</v>
      </c>
      <c r="Z14" s="12">
        <f t="shared" si="5"/>
        <v>1.7717034889294452E-4</v>
      </c>
      <c r="AA14" s="12">
        <f t="shared" si="5"/>
        <v>5.6282595689890321E-3</v>
      </c>
      <c r="AB14" s="12">
        <f t="shared" si="5"/>
        <v>3.0444890219963197E-5</v>
      </c>
      <c r="AC14" s="12">
        <f t="shared" si="5"/>
        <v>5.6382868105054025E-3</v>
      </c>
      <c r="AD14" s="12">
        <f t="shared" si="5"/>
        <v>1.4576349761149369E-3</v>
      </c>
      <c r="AE14" s="12">
        <f t="shared" si="5"/>
        <v>2.0361902010052845E-2</v>
      </c>
      <c r="AF14" s="12">
        <f t="shared" si="5"/>
        <v>3.3735409806466277E-3</v>
      </c>
      <c r="AG14" s="12">
        <f t="shared" si="5"/>
        <v>6.2268397223607655E-3</v>
      </c>
      <c r="AH14" s="12">
        <f t="shared" si="5"/>
        <v>1.1624687062134376E-3</v>
      </c>
      <c r="AI14" s="12">
        <f t="shared" ref="AI14:BN14" si="6">(AI4-AI10)^2</f>
        <v>2.5432586310240786E-4</v>
      </c>
      <c r="AJ14" s="12">
        <f t="shared" si="6"/>
        <v>1.918299547077607E-3</v>
      </c>
      <c r="AK14" s="12">
        <f t="shared" si="6"/>
        <v>2.3581621896773988E-3</v>
      </c>
      <c r="AL14" s="12">
        <f t="shared" si="6"/>
        <v>8.398237661262924E-3</v>
      </c>
      <c r="AM14" s="12">
        <f t="shared" si="6"/>
        <v>2.5373051005089011E-4</v>
      </c>
      <c r="AN14" s="12">
        <f t="shared" si="6"/>
        <v>5.4574233410554758E-3</v>
      </c>
      <c r="AO14" s="12">
        <f t="shared" si="6"/>
        <v>1.0852476578215862E-3</v>
      </c>
      <c r="AP14" s="12">
        <f t="shared" si="6"/>
        <v>1.7297927947698688E-3</v>
      </c>
      <c r="AQ14" s="12">
        <f t="shared" si="6"/>
        <v>2.1516200085964004E-3</v>
      </c>
      <c r="AR14" s="12">
        <f t="shared" si="6"/>
        <v>1.4338399368169509E-2</v>
      </c>
      <c r="AS14" s="12">
        <f t="shared" si="6"/>
        <v>5.3354751306479389E-6</v>
      </c>
      <c r="AT14" s="12">
        <f t="shared" si="6"/>
        <v>3.2168380882393422E-4</v>
      </c>
      <c r="AU14" s="12">
        <f t="shared" si="6"/>
        <v>1.7678255740564554E-2</v>
      </c>
      <c r="AV14" s="12">
        <f t="shared" si="6"/>
        <v>2.4926016238634766E-3</v>
      </c>
      <c r="AW14" s="12">
        <f t="shared" si="6"/>
        <v>4.0791380993202174E-3</v>
      </c>
      <c r="AX14" s="12">
        <f t="shared" si="6"/>
        <v>3.1469248379210213E-4</v>
      </c>
      <c r="AY14" s="12">
        <f t="shared" si="6"/>
        <v>1.0270288069755284E-3</v>
      </c>
      <c r="AZ14" s="12">
        <f t="shared" si="6"/>
        <v>1.1328322732473197E-2</v>
      </c>
      <c r="BA14" s="12">
        <f t="shared" si="6"/>
        <v>1.1678835612794846E-2</v>
      </c>
      <c r="BB14" s="12">
        <f t="shared" si="6"/>
        <v>5.6546374910252939E-3</v>
      </c>
      <c r="BC14" s="12">
        <f t="shared" si="6"/>
        <v>2.9557301981689085E-3</v>
      </c>
      <c r="BD14" s="12">
        <f t="shared" si="6"/>
        <v>1.0548097509070143E-2</v>
      </c>
      <c r="BE14" s="12">
        <f t="shared" si="6"/>
        <v>3.1568960329737078E-2</v>
      </c>
      <c r="BF14" s="12">
        <f t="shared" si="6"/>
        <v>3.5702517649126913E-3</v>
      </c>
      <c r="BG14" s="12">
        <f t="shared" si="6"/>
        <v>6.1400202112125088E-3</v>
      </c>
      <c r="BH14" s="12">
        <f t="shared" si="6"/>
        <v>6.6194407820558722E-4</v>
      </c>
      <c r="BI14" s="12">
        <f t="shared" si="6"/>
        <v>1.0494617979207069E-2</v>
      </c>
      <c r="BJ14" s="12">
        <f t="shared" si="6"/>
        <v>1.3949243478118153E-2</v>
      </c>
      <c r="BK14" s="12">
        <f t="shared" si="6"/>
        <v>1.8043815331594267E-2</v>
      </c>
      <c r="BL14" s="12">
        <f t="shared" si="6"/>
        <v>2.4214096398758039E-4</v>
      </c>
      <c r="BM14" s="12">
        <f t="shared" si="6"/>
        <v>6.7696041913318895E-5</v>
      </c>
      <c r="BN14" s="12">
        <f t="shared" si="6"/>
        <v>1.2549996960905318E-2</v>
      </c>
      <c r="BO14" s="12">
        <f t="shared" ref="BO14:CT14" si="7">(BO4-BO10)^2</f>
        <v>7.4493474713874946E-4</v>
      </c>
      <c r="BP14" s="12">
        <f t="shared" si="7"/>
        <v>7.8998725494484473E-3</v>
      </c>
      <c r="BQ14" s="12">
        <f t="shared" si="7"/>
        <v>3.0725929707197449E-3</v>
      </c>
      <c r="BR14" s="12">
        <f t="shared" si="7"/>
        <v>1.2529847625468701E-2</v>
      </c>
      <c r="BS14" s="12">
        <f t="shared" si="7"/>
        <v>8.3591027020279186E-3</v>
      </c>
      <c r="BT14" s="12">
        <f t="shared" si="7"/>
        <v>1.8639769726699715E-2</v>
      </c>
      <c r="BU14" s="12">
        <f t="shared" si="7"/>
        <v>2.3885708259747434E-2</v>
      </c>
      <c r="BV14" s="12">
        <f t="shared" si="7"/>
        <v>5.8556106513087158E-4</v>
      </c>
      <c r="BW14" s="12">
        <f t="shared" si="7"/>
        <v>1.9427074105691004E-2</v>
      </c>
      <c r="BX14" s="12">
        <f t="shared" si="7"/>
        <v>1.5918216735352701E-3</v>
      </c>
      <c r="BY14" s="12">
        <f t="shared" si="7"/>
        <v>1.8641891833487308E-2</v>
      </c>
      <c r="BZ14" s="12">
        <f t="shared" si="7"/>
        <v>1.8884784329786913E-7</v>
      </c>
      <c r="CA14" s="12">
        <f t="shared" si="7"/>
        <v>2.051505534992545E-3</v>
      </c>
      <c r="CB14" s="12">
        <f t="shared" si="7"/>
        <v>1.3228176095548253E-2</v>
      </c>
      <c r="CC14" s="12">
        <f t="shared" si="7"/>
        <v>1.9718784807075117E-4</v>
      </c>
      <c r="CD14" s="12">
        <f t="shared" si="7"/>
        <v>1.059575247203985E-3</v>
      </c>
      <c r="CE14" s="12">
        <f t="shared" si="7"/>
        <v>2.3120799601169931E-2</v>
      </c>
      <c r="CF14" s="12">
        <f t="shared" si="7"/>
        <v>2.2625271346881533E-3</v>
      </c>
      <c r="CG14" s="12">
        <f t="shared" si="7"/>
        <v>8.3394529794702764E-3</v>
      </c>
      <c r="CH14" s="12">
        <f t="shared" si="7"/>
        <v>1.5308547416312764E-4</v>
      </c>
      <c r="CI14" s="12">
        <f t="shared" si="7"/>
        <v>1.0652851126435783E-2</v>
      </c>
      <c r="CJ14" s="12">
        <f t="shared" si="7"/>
        <v>5.2310164307753902E-4</v>
      </c>
      <c r="CK14" s="12">
        <f t="shared" si="7"/>
        <v>3.4814356458184254E-3</v>
      </c>
      <c r="CL14" s="12">
        <f t="shared" si="7"/>
        <v>1.3894153289329735E-3</v>
      </c>
      <c r="CM14" s="12">
        <f t="shared" si="7"/>
        <v>5.3648016733292274E-2</v>
      </c>
      <c r="CN14" s="12">
        <f t="shared" si="7"/>
        <v>8.0709337496011647E-3</v>
      </c>
      <c r="CO14" s="12">
        <f t="shared" si="7"/>
        <v>3.0911368581124397E-2</v>
      </c>
      <c r="CP14" s="12">
        <f t="shared" si="7"/>
        <v>4.5701222342134454E-4</v>
      </c>
      <c r="CQ14" s="12">
        <f t="shared" si="7"/>
        <v>1.6517642976352415E-2</v>
      </c>
      <c r="CR14" s="12">
        <f t="shared" si="7"/>
        <v>1.591790197110917E-2</v>
      </c>
      <c r="CS14" s="12">
        <f t="shared" si="7"/>
        <v>4.1076968547861439E-3</v>
      </c>
      <c r="CT14" s="12">
        <f t="shared" si="7"/>
        <v>2.8629987203774095E-3</v>
      </c>
      <c r="CU14" s="12">
        <f t="shared" ref="CU14:DZ14" si="8">(CU4-CU10)^2</f>
        <v>1.2039914263371125E-3</v>
      </c>
      <c r="CV14" s="12">
        <f t="shared" si="8"/>
        <v>2.6483324296406246E-4</v>
      </c>
      <c r="CW14" s="12">
        <f t="shared" si="8"/>
        <v>4.3834393412876084E-4</v>
      </c>
      <c r="CX14" s="12">
        <f t="shared" si="8"/>
        <v>6.6686252575883188E-3</v>
      </c>
      <c r="CY14" s="12">
        <f t="shared" si="8"/>
        <v>2.8823199201601988E-3</v>
      </c>
      <c r="CZ14" s="12">
        <f t="shared" si="8"/>
        <v>3.0146120026032133E-2</v>
      </c>
      <c r="DA14" s="12">
        <f t="shared" si="8"/>
        <v>2.2389458588429867E-3</v>
      </c>
      <c r="DB14" s="12">
        <f t="shared" si="8"/>
        <v>7.058301413593958E-3</v>
      </c>
      <c r="DC14" s="12">
        <f t="shared" si="8"/>
        <v>2.0558202579142441E-3</v>
      </c>
      <c r="DD14" s="12">
        <f t="shared" si="8"/>
        <v>1.5120850457571285E-2</v>
      </c>
      <c r="DE14" s="12">
        <f t="shared" si="8"/>
        <v>2.0820355528169493E-2</v>
      </c>
      <c r="DF14" s="12">
        <f t="shared" si="8"/>
        <v>5.1589013791508804E-3</v>
      </c>
      <c r="DG14" s="12">
        <f t="shared" si="8"/>
        <v>8.2535403179266789E-2</v>
      </c>
      <c r="DH14" s="12">
        <f t="shared" si="8"/>
        <v>7.7032088710505897E-3</v>
      </c>
      <c r="DI14" s="12">
        <f t="shared" si="8"/>
        <v>1.5952488422297531E-2</v>
      </c>
      <c r="DJ14" s="12">
        <f t="shared" si="8"/>
        <v>3.0786813253255037E-3</v>
      </c>
      <c r="DK14" s="12">
        <f t="shared" si="8"/>
        <v>2.7643995080534174E-2</v>
      </c>
      <c r="DL14" s="12">
        <f t="shared" si="8"/>
        <v>2.4393121682843954E-3</v>
      </c>
      <c r="DM14" s="12">
        <f t="shared" si="8"/>
        <v>3.3780913901181216E-3</v>
      </c>
      <c r="DN14" s="12">
        <f t="shared" si="8"/>
        <v>4.6992105581791519E-3</v>
      </c>
      <c r="DO14" s="12">
        <f t="shared" si="8"/>
        <v>1.3998709334379423E-2</v>
      </c>
      <c r="DP14" s="12">
        <f t="shared" si="8"/>
        <v>1.5914219625836681E-2</v>
      </c>
      <c r="DQ14" s="12">
        <f t="shared" si="8"/>
        <v>1.0131913677837008E-2</v>
      </c>
      <c r="DR14" s="12">
        <f t="shared" si="8"/>
        <v>1.4089117930017867E-3</v>
      </c>
      <c r="DS14" s="12">
        <f t="shared" si="8"/>
        <v>2.5069999292904665E-2</v>
      </c>
      <c r="DT14" s="12">
        <f t="shared" si="8"/>
        <v>1.9676758180367333E-3</v>
      </c>
      <c r="DU14" s="12">
        <f t="shared" si="8"/>
        <v>3.6539617622591856E-2</v>
      </c>
      <c r="DV14" s="12">
        <f t="shared" si="8"/>
        <v>5.5368635600070359E-3</v>
      </c>
      <c r="DW14" s="12">
        <f t="shared" si="8"/>
        <v>1.6658586852048317E-2</v>
      </c>
      <c r="DX14" s="12">
        <f t="shared" si="8"/>
        <v>2.8057785513271277E-3</v>
      </c>
      <c r="DY14" s="12">
        <f t="shared" si="8"/>
        <v>1.6607184506019466E-3</v>
      </c>
      <c r="DZ14" s="12">
        <f t="shared" si="8"/>
        <v>3.2537197431970762E-4</v>
      </c>
      <c r="EA14" s="12">
        <f t="shared" ref="EA14:EL14" si="9">(EA4-EA10)^2</f>
        <v>2.5529541976164515E-3</v>
      </c>
      <c r="EB14" s="12">
        <f t="shared" si="9"/>
        <v>7.2787127742748338E-5</v>
      </c>
      <c r="EC14" s="12">
        <f t="shared" si="9"/>
        <v>1.3809000657512355E-2</v>
      </c>
      <c r="ED14" s="12">
        <f t="shared" si="9"/>
        <v>1.399296741408808E-2</v>
      </c>
      <c r="EE14" s="12">
        <f t="shared" si="9"/>
        <v>3.6487189918325037E-2</v>
      </c>
      <c r="EF14" s="12">
        <f t="shared" si="9"/>
        <v>8.9377977697535117E-3</v>
      </c>
      <c r="EG14" s="12">
        <f t="shared" si="9"/>
        <v>2.9542854398972316E-3</v>
      </c>
      <c r="EH14" s="12">
        <f t="shared" si="9"/>
        <v>6.2915860046143979E-4</v>
      </c>
      <c r="EI14" s="12">
        <f t="shared" si="9"/>
        <v>1.5476911900798357E-2</v>
      </c>
      <c r="EJ14" s="12">
        <f t="shared" si="9"/>
        <v>2.6143356609743533E-2</v>
      </c>
      <c r="EK14" s="12">
        <f t="shared" si="9"/>
        <v>9.9568299282588625E-3</v>
      </c>
      <c r="EL14" s="12">
        <f t="shared" si="9"/>
        <v>6.992410832969316E-3</v>
      </c>
    </row>
    <row r="15" spans="1:142" x14ac:dyDescent="0.55000000000000004">
      <c r="B15" s="14" t="s">
        <v>145</v>
      </c>
      <c r="C15" s="12">
        <f t="shared" ref="C15:AH15" si="10">(C5-C11)^2</f>
        <v>6.3771100033982158E-3</v>
      </c>
      <c r="D15" s="12">
        <f t="shared" si="10"/>
        <v>1.5467912730158096E-2</v>
      </c>
      <c r="E15" s="12">
        <f t="shared" si="10"/>
        <v>8.5394228159957577E-6</v>
      </c>
      <c r="F15" s="12">
        <f t="shared" si="10"/>
        <v>1.4121158154891095E-2</v>
      </c>
      <c r="G15" s="12">
        <f t="shared" si="10"/>
        <v>1.3513083734676863E-3</v>
      </c>
      <c r="H15" s="12">
        <f t="shared" si="10"/>
        <v>2.2996713994420569E-4</v>
      </c>
      <c r="I15" s="12">
        <f t="shared" si="10"/>
        <v>6.7558721131403127E-3</v>
      </c>
      <c r="J15" s="12">
        <f t="shared" si="10"/>
        <v>4.1769744002193333E-3</v>
      </c>
      <c r="K15" s="12">
        <f t="shared" si="10"/>
        <v>5.3834835575763073E-4</v>
      </c>
      <c r="L15" s="12">
        <f t="shared" si="10"/>
        <v>1.2136706424077377E-3</v>
      </c>
      <c r="M15" s="12">
        <f t="shared" si="10"/>
        <v>2.7808691832527351E-3</v>
      </c>
      <c r="N15" s="12">
        <f t="shared" si="10"/>
        <v>4.2715994915250664E-3</v>
      </c>
      <c r="O15" s="12">
        <f t="shared" si="10"/>
        <v>1.0111301627660832E-3</v>
      </c>
      <c r="P15" s="12">
        <f t="shared" si="10"/>
        <v>1.2486636729373382E-4</v>
      </c>
      <c r="Q15" s="12">
        <f t="shared" si="10"/>
        <v>8.8805365236921581E-4</v>
      </c>
      <c r="R15" s="12">
        <f t="shared" si="10"/>
        <v>5.6074792583417105E-4</v>
      </c>
      <c r="S15" s="12">
        <f t="shared" si="10"/>
        <v>7.7052227721741643E-3</v>
      </c>
      <c r="T15" s="12">
        <f t="shared" si="10"/>
        <v>1.2690628351164737E-2</v>
      </c>
      <c r="U15" s="12">
        <f t="shared" si="10"/>
        <v>2.8434329666282462E-4</v>
      </c>
      <c r="V15" s="12">
        <f t="shared" si="10"/>
        <v>3.1378698390870383E-3</v>
      </c>
      <c r="W15" s="12">
        <f t="shared" si="10"/>
        <v>2.1384256372522604E-2</v>
      </c>
      <c r="X15" s="12">
        <f t="shared" si="10"/>
        <v>0.10238397375759496</v>
      </c>
      <c r="Y15" s="12">
        <f t="shared" si="10"/>
        <v>1.8843032259933293E-2</v>
      </c>
      <c r="Z15" s="12">
        <f t="shared" si="10"/>
        <v>8.6133804226430181E-3</v>
      </c>
      <c r="AA15" s="12">
        <f t="shared" si="10"/>
        <v>1.8418837412746173E-3</v>
      </c>
      <c r="AB15" s="12">
        <f t="shared" si="10"/>
        <v>3.2344440586696745E-3</v>
      </c>
      <c r="AC15" s="12">
        <f t="shared" si="10"/>
        <v>1.752587768348755E-2</v>
      </c>
      <c r="AD15" s="12">
        <f t="shared" si="10"/>
        <v>1.1328061423494828E-3</v>
      </c>
      <c r="AE15" s="12">
        <f t="shared" si="10"/>
        <v>2.1727001982542998E-2</v>
      </c>
      <c r="AF15" s="12">
        <f t="shared" si="10"/>
        <v>2.9425834912639972E-2</v>
      </c>
      <c r="AG15" s="12">
        <f t="shared" si="10"/>
        <v>9.1455654012405716E-3</v>
      </c>
      <c r="AH15" s="12">
        <f t="shared" si="10"/>
        <v>3.4245510240372415E-4</v>
      </c>
      <c r="AI15" s="12">
        <f t="shared" ref="AI15:BN15" si="11">(AI5-AI11)^2</f>
        <v>1.5677068263672508E-3</v>
      </c>
      <c r="AJ15" s="12">
        <f t="shared" si="11"/>
        <v>1.0411389499577421E-3</v>
      </c>
      <c r="AK15" s="12">
        <f t="shared" si="11"/>
        <v>3.2367255881560158E-3</v>
      </c>
      <c r="AL15" s="12">
        <f t="shared" si="11"/>
        <v>1.1160667526867955E-2</v>
      </c>
      <c r="AM15" s="12">
        <f t="shared" si="11"/>
        <v>2.1730098438731763E-3</v>
      </c>
      <c r="AN15" s="12">
        <f t="shared" si="11"/>
        <v>7.9851438174392726E-3</v>
      </c>
      <c r="AO15" s="12">
        <f t="shared" si="11"/>
        <v>5.6738026495511034E-3</v>
      </c>
      <c r="AP15" s="12">
        <f t="shared" si="11"/>
        <v>8.2359886523949251E-5</v>
      </c>
      <c r="AQ15" s="12">
        <f t="shared" si="11"/>
        <v>6.220842415430354E-3</v>
      </c>
      <c r="AR15" s="12">
        <f t="shared" si="11"/>
        <v>2.8320769890816042E-3</v>
      </c>
      <c r="AS15" s="12">
        <f t="shared" si="11"/>
        <v>9.3923047248161188E-4</v>
      </c>
      <c r="AT15" s="12">
        <f t="shared" si="11"/>
        <v>2.097649395970554E-2</v>
      </c>
      <c r="AU15" s="12">
        <f t="shared" si="11"/>
        <v>1.0689817197011155E-2</v>
      </c>
      <c r="AV15" s="12">
        <f t="shared" si="11"/>
        <v>9.0191154444218789E-3</v>
      </c>
      <c r="AW15" s="12">
        <f t="shared" si="11"/>
        <v>2.5052840416422441E-4</v>
      </c>
      <c r="AX15" s="12">
        <f t="shared" si="11"/>
        <v>4.6058802916120405E-2</v>
      </c>
      <c r="AY15" s="12">
        <f t="shared" si="11"/>
        <v>3.0098635976032595E-5</v>
      </c>
      <c r="AZ15" s="12">
        <f t="shared" si="11"/>
        <v>2.3575335438301205E-3</v>
      </c>
      <c r="BA15" s="12">
        <f t="shared" si="11"/>
        <v>4.1812500593568606E-3</v>
      </c>
      <c r="BB15" s="12">
        <f t="shared" si="11"/>
        <v>1.8610902444488771E-2</v>
      </c>
      <c r="BC15" s="12">
        <f t="shared" si="11"/>
        <v>4.9846753410440301E-4</v>
      </c>
      <c r="BD15" s="12">
        <f t="shared" si="11"/>
        <v>3.3476569064544038E-3</v>
      </c>
      <c r="BE15" s="12">
        <f t="shared" si="11"/>
        <v>1.0655874257719501E-2</v>
      </c>
      <c r="BF15" s="12">
        <f t="shared" si="11"/>
        <v>4.6243156918511968E-2</v>
      </c>
      <c r="BG15" s="12">
        <f t="shared" si="11"/>
        <v>2.3650370229273368E-2</v>
      </c>
      <c r="BH15" s="12">
        <f t="shared" si="11"/>
        <v>1.222044332492769E-3</v>
      </c>
      <c r="BI15" s="12">
        <f t="shared" si="11"/>
        <v>2.1541532393744098E-3</v>
      </c>
      <c r="BJ15" s="12">
        <f t="shared" si="11"/>
        <v>5.5857003573645692E-3</v>
      </c>
      <c r="BK15" s="12">
        <f t="shared" si="11"/>
        <v>1.4727820423062482E-4</v>
      </c>
      <c r="BL15" s="12">
        <f t="shared" si="11"/>
        <v>2.2287489711629548E-2</v>
      </c>
      <c r="BM15" s="12">
        <f t="shared" si="11"/>
        <v>2.2867345734553329E-2</v>
      </c>
      <c r="BN15" s="12">
        <f t="shared" si="11"/>
        <v>1.6051100719177263E-4</v>
      </c>
      <c r="BO15" s="12">
        <f t="shared" ref="BO15:CT15" si="12">(BO5-BO11)^2</f>
        <v>2.7240253432677004E-3</v>
      </c>
      <c r="BP15" s="12">
        <f t="shared" si="12"/>
        <v>1.6712790385737519E-4</v>
      </c>
      <c r="BQ15" s="12">
        <f t="shared" si="12"/>
        <v>2.7041555758912867E-3</v>
      </c>
      <c r="BR15" s="12">
        <f t="shared" si="12"/>
        <v>2.5241527289743521E-2</v>
      </c>
      <c r="BS15" s="12">
        <f t="shared" si="12"/>
        <v>1.0111131183743466E-2</v>
      </c>
      <c r="BT15" s="12">
        <f t="shared" si="12"/>
        <v>6.9973851825818394E-5</v>
      </c>
      <c r="BU15" s="12">
        <f t="shared" si="12"/>
        <v>2.446824292960736E-4</v>
      </c>
      <c r="BV15" s="12">
        <f t="shared" si="12"/>
        <v>8.7104439557521181E-3</v>
      </c>
      <c r="BW15" s="12">
        <f t="shared" si="12"/>
        <v>2.7735579707800436E-2</v>
      </c>
      <c r="BX15" s="12">
        <f t="shared" si="12"/>
        <v>6.8318116581427555E-5</v>
      </c>
      <c r="BY15" s="12">
        <f t="shared" si="12"/>
        <v>2.4579147303495273E-2</v>
      </c>
      <c r="BZ15" s="12">
        <f t="shared" si="12"/>
        <v>1.1482520504797924E-3</v>
      </c>
      <c r="CA15" s="12">
        <f t="shared" si="12"/>
        <v>3.4931994491057162E-4</v>
      </c>
      <c r="CB15" s="12">
        <f t="shared" si="12"/>
        <v>2.790651164964157E-4</v>
      </c>
      <c r="CC15" s="12">
        <f t="shared" si="12"/>
        <v>4.4230455038624878E-3</v>
      </c>
      <c r="CD15" s="12">
        <f t="shared" si="12"/>
        <v>2.7032987150280656E-3</v>
      </c>
      <c r="CE15" s="12">
        <f t="shared" si="12"/>
        <v>1.7088588582921903E-2</v>
      </c>
      <c r="CF15" s="12">
        <f t="shared" si="12"/>
        <v>7.0513502853062542E-4</v>
      </c>
      <c r="CG15" s="12">
        <f t="shared" si="12"/>
        <v>2.2404212725522215E-3</v>
      </c>
      <c r="CH15" s="12">
        <f t="shared" si="12"/>
        <v>8.9757665278212418E-7</v>
      </c>
      <c r="CI15" s="12">
        <f t="shared" si="12"/>
        <v>3.9661104562926424E-5</v>
      </c>
      <c r="CJ15" s="12">
        <f t="shared" si="12"/>
        <v>8.5124867711485488E-2</v>
      </c>
      <c r="CK15" s="12">
        <f t="shared" si="12"/>
        <v>3.7114930260737589E-2</v>
      </c>
      <c r="CL15" s="12">
        <f t="shared" si="12"/>
        <v>1.9420459028459316E-3</v>
      </c>
      <c r="CM15" s="12">
        <f t="shared" si="12"/>
        <v>1.938880176163393E-2</v>
      </c>
      <c r="CN15" s="12">
        <f t="shared" si="12"/>
        <v>4.0805142883242697E-2</v>
      </c>
      <c r="CO15" s="12">
        <f t="shared" si="12"/>
        <v>1.3193094842503911E-2</v>
      </c>
      <c r="CP15" s="12">
        <f t="shared" si="12"/>
        <v>1.8291558362109134E-2</v>
      </c>
      <c r="CQ15" s="12">
        <f t="shared" si="12"/>
        <v>6.7162826845699047E-2</v>
      </c>
      <c r="CR15" s="12">
        <f t="shared" si="12"/>
        <v>1.3718955193962186E-2</v>
      </c>
      <c r="CS15" s="12">
        <f t="shared" si="12"/>
        <v>8.1603342715367826E-3</v>
      </c>
      <c r="CT15" s="12">
        <f t="shared" si="12"/>
        <v>2.6255356052099773E-4</v>
      </c>
      <c r="CU15" s="12">
        <f t="shared" ref="CU15:DZ15" si="13">(CU5-CU11)^2</f>
        <v>0.1200416246034824</v>
      </c>
      <c r="CV15" s="12">
        <f t="shared" si="13"/>
        <v>6.0464197984211633E-2</v>
      </c>
      <c r="CW15" s="12">
        <f t="shared" si="13"/>
        <v>5.6939310266368351E-2</v>
      </c>
      <c r="CX15" s="12">
        <f t="shared" si="13"/>
        <v>4.9307770514956765E-3</v>
      </c>
      <c r="CY15" s="12">
        <f t="shared" si="13"/>
        <v>9.8332593151213964E-3</v>
      </c>
      <c r="CZ15" s="12">
        <f t="shared" si="13"/>
        <v>1.0218630696607689E-3</v>
      </c>
      <c r="DA15" s="12">
        <f t="shared" si="13"/>
        <v>2.7530123745806898E-3</v>
      </c>
      <c r="DB15" s="12">
        <f t="shared" si="13"/>
        <v>2.2559387290424927E-2</v>
      </c>
      <c r="DC15" s="12">
        <f t="shared" si="13"/>
        <v>2.5947385780668393E-3</v>
      </c>
      <c r="DD15" s="12">
        <f t="shared" si="13"/>
        <v>3.322712459484526E-2</v>
      </c>
      <c r="DE15" s="12">
        <f t="shared" si="13"/>
        <v>1.6779151181163483E-2</v>
      </c>
      <c r="DF15" s="12">
        <f t="shared" si="13"/>
        <v>2.2796202033842985E-3</v>
      </c>
      <c r="DG15" s="12">
        <f t="shared" si="13"/>
        <v>4.1214493264141901E-2</v>
      </c>
      <c r="DH15" s="12">
        <f t="shared" si="13"/>
        <v>1.1826438653704649E-2</v>
      </c>
      <c r="DI15" s="12">
        <f t="shared" si="13"/>
        <v>8.7599094391525301E-3</v>
      </c>
      <c r="DJ15" s="12">
        <f t="shared" si="13"/>
        <v>2.9062306259738132E-4</v>
      </c>
      <c r="DK15" s="12">
        <f t="shared" si="13"/>
        <v>2.3090124177800012E-3</v>
      </c>
      <c r="DL15" s="12">
        <f t="shared" si="13"/>
        <v>5.8774576406791165E-3</v>
      </c>
      <c r="DM15" s="12">
        <f t="shared" si="13"/>
        <v>7.652201817399775E-4</v>
      </c>
      <c r="DN15" s="12">
        <f t="shared" si="13"/>
        <v>9.0567106970502174E-4</v>
      </c>
      <c r="DO15" s="12">
        <f t="shared" si="13"/>
        <v>1.8743989338375348E-2</v>
      </c>
      <c r="DP15" s="12">
        <f t="shared" si="13"/>
        <v>6.2112488327705988E-2</v>
      </c>
      <c r="DQ15" s="12">
        <f t="shared" si="13"/>
        <v>5.8244875975245997E-2</v>
      </c>
      <c r="DR15" s="12">
        <f t="shared" si="13"/>
        <v>1.2312295318503585E-2</v>
      </c>
      <c r="DS15" s="12">
        <f t="shared" si="13"/>
        <v>1.7377451163570659E-2</v>
      </c>
      <c r="DT15" s="12">
        <f t="shared" si="13"/>
        <v>1.4298331568928275E-2</v>
      </c>
      <c r="DU15" s="12">
        <f t="shared" si="13"/>
        <v>8.4376863497931452E-4</v>
      </c>
      <c r="DV15" s="12">
        <f t="shared" si="13"/>
        <v>1.0738551623469069E-2</v>
      </c>
      <c r="DW15" s="12">
        <f t="shared" si="13"/>
        <v>7.389329672567219E-3</v>
      </c>
      <c r="DX15" s="12">
        <f t="shared" si="13"/>
        <v>1.0493864221531885E-3</v>
      </c>
      <c r="DY15" s="12">
        <f t="shared" si="13"/>
        <v>3.9321244558949654E-3</v>
      </c>
      <c r="DZ15" s="12">
        <f t="shared" si="13"/>
        <v>6.6464243337687066E-6</v>
      </c>
      <c r="EA15" s="12">
        <f t="shared" ref="EA15:EL15" si="14">(EA5-EA11)^2</f>
        <v>9.2556242017317214E-2</v>
      </c>
      <c r="EB15" s="12">
        <f t="shared" si="14"/>
        <v>2.5136262681724877E-2</v>
      </c>
      <c r="EC15" s="12">
        <f t="shared" si="14"/>
        <v>2.3521238415117602E-3</v>
      </c>
      <c r="ED15" s="12">
        <f t="shared" si="14"/>
        <v>1.2874881670952049E-2</v>
      </c>
      <c r="EE15" s="12">
        <f t="shared" si="14"/>
        <v>1.0171374971857735E-2</v>
      </c>
      <c r="EF15" s="12">
        <f t="shared" si="14"/>
        <v>7.2458455222073849E-3</v>
      </c>
      <c r="EG15" s="12">
        <f t="shared" si="14"/>
        <v>9.7730502079344129E-3</v>
      </c>
      <c r="EH15" s="12">
        <f t="shared" si="14"/>
        <v>3.262489915162239E-4</v>
      </c>
      <c r="EI15" s="12">
        <f t="shared" si="14"/>
        <v>5.8401426206915771E-4</v>
      </c>
      <c r="EJ15" s="12">
        <f t="shared" si="14"/>
        <v>1.21935011834892E-3</v>
      </c>
      <c r="EK15" s="12">
        <f t="shared" si="14"/>
        <v>4.3208274160616645E-3</v>
      </c>
      <c r="EL15" s="12">
        <f t="shared" si="14"/>
        <v>1.4852503712594443E-5</v>
      </c>
    </row>
    <row r="17" spans="1:142" x14ac:dyDescent="0.55000000000000004">
      <c r="A17" s="12" t="s">
        <v>301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302</v>
      </c>
      <c r="B21" s="12">
        <f>1-SUM(C13:EL15)/SUM(C17:EL19)</f>
        <v>-8.582991507707427E-2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workbookViewId="0">
      <selection activeCell="D17" sqref="D17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42" width="22.59765625" bestFit="1" customWidth="1"/>
  </cols>
  <sheetData>
    <row r="1" spans="1:142" ht="25" customHeight="1" x14ac:dyDescent="0.55000000000000004">
      <c r="A1" s="11" t="s">
        <v>299</v>
      </c>
    </row>
    <row r="2" spans="1:142" ht="25" customHeight="1" x14ac:dyDescent="0.55000000000000004">
      <c r="A2" s="11" t="s">
        <v>303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5">
        <v>2.1384622901678089E-2</v>
      </c>
      <c r="D3" s="15">
        <v>6.2085315585136414E-3</v>
      </c>
      <c r="E3" s="15">
        <v>3.5493887960910797E-2</v>
      </c>
      <c r="F3" s="15">
        <v>2.6995036751031879E-2</v>
      </c>
      <c r="G3" s="15">
        <v>1.9322143867611889E-2</v>
      </c>
      <c r="H3" s="15">
        <v>-4.8867595614865422E-4</v>
      </c>
      <c r="I3" s="15">
        <v>2.2219710052013401E-2</v>
      </c>
      <c r="J3" s="15">
        <v>8.1882821395993233E-3</v>
      </c>
      <c r="K3" s="15">
        <v>3.7730719894170761E-2</v>
      </c>
      <c r="L3" s="15">
        <v>8.0356046557426453E-2</v>
      </c>
      <c r="M3" s="15">
        <v>3.820226714015007E-2</v>
      </c>
      <c r="N3" s="15">
        <v>3.3819951117038727E-2</v>
      </c>
      <c r="O3" s="15">
        <v>2.6821058243513111E-2</v>
      </c>
      <c r="P3" s="15">
        <v>4.8989016562700272E-2</v>
      </c>
      <c r="Q3" s="15">
        <v>5.1116403192281723E-2</v>
      </c>
      <c r="R3" s="15">
        <v>2.8836483135819439E-2</v>
      </c>
      <c r="S3" s="15">
        <v>-1.1045613326132299E-2</v>
      </c>
      <c r="T3" s="15">
        <v>-5.4997783154249191E-3</v>
      </c>
      <c r="U3" s="15">
        <v>1.916555501520634E-2</v>
      </c>
      <c r="V3" s="15">
        <v>-2.3617833852767941E-2</v>
      </c>
      <c r="W3" s="15">
        <v>1.6766401007771489E-2</v>
      </c>
      <c r="X3" s="15">
        <v>6.8642176687717438E-2</v>
      </c>
      <c r="Y3" s="15">
        <v>3.7944957613945007E-2</v>
      </c>
      <c r="Z3" s="15">
        <v>2.6601735502481461E-2</v>
      </c>
      <c r="AA3" s="15">
        <v>-1.044304668903351E-2</v>
      </c>
      <c r="AB3" s="15">
        <v>6.0451116412878043E-2</v>
      </c>
      <c r="AC3" s="15">
        <v>1.2645645998418329E-2</v>
      </c>
      <c r="AD3" s="15">
        <v>3.1133845448493961E-2</v>
      </c>
      <c r="AE3" s="15">
        <v>3.1886115670204163E-2</v>
      </c>
      <c r="AF3" s="15">
        <v>6.3942134380340576E-2</v>
      </c>
      <c r="AG3" s="15">
        <v>-1.074034254997969E-2</v>
      </c>
      <c r="AH3" s="15">
        <v>1.93442776799202E-2</v>
      </c>
      <c r="AI3" s="15">
        <v>4.4364981353282928E-2</v>
      </c>
      <c r="AJ3" s="15">
        <v>5.9207383543252938E-2</v>
      </c>
      <c r="AK3" s="15">
        <v>3.8927238434553153E-2</v>
      </c>
      <c r="AL3" s="15">
        <v>5.3689334541559219E-2</v>
      </c>
      <c r="AM3" s="15">
        <v>5.2407745271921158E-2</v>
      </c>
      <c r="AN3" s="15">
        <v>5.1848378032445908E-2</v>
      </c>
      <c r="AO3" s="15">
        <v>5.6688833981752403E-2</v>
      </c>
      <c r="AP3" s="15">
        <v>7.7263422310352325E-2</v>
      </c>
      <c r="AQ3" s="15">
        <v>4.8698432743549347E-2</v>
      </c>
      <c r="AR3" s="15">
        <v>3.1827423721551902E-2</v>
      </c>
      <c r="AS3" s="15">
        <v>-5.3263027220964432E-3</v>
      </c>
      <c r="AT3" s="15">
        <v>6.8274345248937607E-3</v>
      </c>
      <c r="AU3" s="15">
        <v>2.8391312807798389E-2</v>
      </c>
      <c r="AV3" s="15">
        <v>6.589217483997345E-2</v>
      </c>
      <c r="AW3" s="15">
        <v>3.1806275248527527E-2</v>
      </c>
      <c r="AX3" s="15">
        <v>2.3136453703045849E-2</v>
      </c>
      <c r="AY3" s="15">
        <v>1.720385625958443E-2</v>
      </c>
      <c r="AZ3" s="15">
        <v>4.8162486404180527E-2</v>
      </c>
      <c r="BA3" s="15">
        <v>4.5020870864391327E-2</v>
      </c>
      <c r="BB3" s="15">
        <v>5.8584816753864288E-2</v>
      </c>
      <c r="BC3" s="15">
        <v>3.2960090786218643E-2</v>
      </c>
      <c r="BD3" s="15">
        <v>1.4948392286896711E-2</v>
      </c>
      <c r="BE3" s="15">
        <v>1.206005364656448E-2</v>
      </c>
      <c r="BF3" s="15">
        <v>4.1460148990154273E-2</v>
      </c>
      <c r="BG3" s="15">
        <v>2.717349678277969E-2</v>
      </c>
      <c r="BH3" s="15">
        <v>4.8242643475532532E-2</v>
      </c>
      <c r="BI3" s="15">
        <v>5.7555802166461938E-2</v>
      </c>
      <c r="BJ3" s="15">
        <v>5.4008647799491882E-2</v>
      </c>
      <c r="BK3" s="15">
        <v>5.9487193822860718E-2</v>
      </c>
      <c r="BL3" s="15">
        <v>4.4882841408252723E-2</v>
      </c>
      <c r="BM3" s="15">
        <v>1.869392208755016E-2</v>
      </c>
      <c r="BN3" s="15">
        <v>2.8275258839130402E-2</v>
      </c>
      <c r="BO3" s="15">
        <v>1.656997017562389E-2</v>
      </c>
      <c r="BP3" s="15">
        <v>3.0568450689315799E-2</v>
      </c>
      <c r="BQ3" s="15">
        <v>3.1830046325922012E-2</v>
      </c>
      <c r="BR3" s="15">
        <v>2.2769121453166011E-2</v>
      </c>
      <c r="BS3" s="15">
        <v>2.8570586815476421E-2</v>
      </c>
      <c r="BT3" s="15">
        <v>3.9114817976951599E-2</v>
      </c>
      <c r="BU3" s="15">
        <v>8.9526018127799034E-3</v>
      </c>
      <c r="BV3" s="15">
        <v>1.219893246889114E-2</v>
      </c>
      <c r="BW3" s="15">
        <v>2.1470315754413601E-2</v>
      </c>
      <c r="BX3" s="15">
        <v>2.493099682033062E-2</v>
      </c>
      <c r="BY3" s="15">
        <v>1.2077592313289641E-2</v>
      </c>
      <c r="BZ3" s="15">
        <v>3.645806759595871E-2</v>
      </c>
      <c r="CA3" s="15">
        <v>1.6028642654418949E-2</v>
      </c>
      <c r="CB3" s="15">
        <v>2.7871729806065559E-2</v>
      </c>
      <c r="CC3" s="15">
        <v>-1.566923339851201E-3</v>
      </c>
      <c r="CD3" s="15">
        <v>6.1749620363116256E-3</v>
      </c>
      <c r="CE3" s="15">
        <v>6.4363791607320309E-3</v>
      </c>
      <c r="CF3" s="15">
        <v>6.619059294462204E-2</v>
      </c>
      <c r="CG3" s="15">
        <v>2.8865136206150051E-2</v>
      </c>
      <c r="CH3" s="15">
        <v>5.1061570644378662E-2</v>
      </c>
      <c r="CI3" s="15">
        <v>5.7563208043575287E-2</v>
      </c>
      <c r="CJ3" s="15">
        <v>8.8996067643165588E-2</v>
      </c>
      <c r="CK3" s="15">
        <v>2.3406891152262691E-2</v>
      </c>
      <c r="CL3" s="15">
        <v>3.9076175540685647E-2</v>
      </c>
      <c r="CM3" s="15">
        <v>4.4518075883388519E-2</v>
      </c>
      <c r="CN3" s="15">
        <v>0.11028569936752319</v>
      </c>
      <c r="CO3" s="15">
        <v>3.7435531616210938E-2</v>
      </c>
      <c r="CP3" s="15">
        <v>1.222133636474609E-2</v>
      </c>
      <c r="CQ3" s="15">
        <v>2.380294352769852E-2</v>
      </c>
      <c r="CR3" s="15">
        <v>7.6876550912857056E-2</v>
      </c>
      <c r="CS3" s="15">
        <v>0.10389680415391921</v>
      </c>
      <c r="CT3" s="15">
        <v>6.6643297672271729E-2</v>
      </c>
      <c r="CU3" s="15">
        <v>4.6993248164653778E-2</v>
      </c>
      <c r="CV3" s="15">
        <v>2.871822752058506E-2</v>
      </c>
      <c r="CW3" s="15">
        <v>7.0636175572872162E-2</v>
      </c>
      <c r="CX3" s="15">
        <v>4.5363247394561768E-2</v>
      </c>
      <c r="CY3" s="15">
        <v>6.0462243854999542E-2</v>
      </c>
      <c r="CZ3" s="15">
        <v>6.0128804296255112E-2</v>
      </c>
      <c r="DA3" s="15">
        <v>4.1078437119722373E-2</v>
      </c>
      <c r="DB3" s="15">
        <v>2.6134224608540532E-2</v>
      </c>
      <c r="DC3" s="15">
        <v>4.5154552906751633E-2</v>
      </c>
      <c r="DD3" s="15">
        <v>4.1204877197742462E-2</v>
      </c>
      <c r="DE3" s="15">
        <v>7.9255074262619019E-2</v>
      </c>
      <c r="DF3" s="15">
        <v>3.7982180714607239E-2</v>
      </c>
      <c r="DG3" s="15">
        <v>1.8428875133395198E-2</v>
      </c>
      <c r="DH3" s="15">
        <v>3.6969806998968117E-2</v>
      </c>
      <c r="DI3" s="15">
        <v>1.331676170229912E-2</v>
      </c>
      <c r="DJ3" s="15">
        <v>1.356823276728392E-2</v>
      </c>
      <c r="DK3" s="15">
        <v>1.8075281754136089E-2</v>
      </c>
      <c r="DL3" s="15">
        <v>1.831196807324886E-2</v>
      </c>
      <c r="DM3" s="15">
        <v>-5.2976803854107857E-3</v>
      </c>
      <c r="DN3" s="15">
        <v>3.1424559652805328E-2</v>
      </c>
      <c r="DO3" s="15">
        <v>-5.9854225255548954E-3</v>
      </c>
      <c r="DP3" s="15">
        <v>3.073384054005146E-2</v>
      </c>
      <c r="DQ3" s="15">
        <v>3.8263808935880661E-2</v>
      </c>
      <c r="DR3" s="15">
        <v>5.8564659208059311E-2</v>
      </c>
      <c r="DS3" s="15">
        <v>3.6518916487693787E-2</v>
      </c>
      <c r="DT3" s="15">
        <v>2.9084345325827599E-2</v>
      </c>
      <c r="DU3" s="15">
        <v>9.2715034261345863E-3</v>
      </c>
      <c r="DV3" s="15">
        <v>-2.876596711575985E-2</v>
      </c>
      <c r="DW3" s="15">
        <v>6.1656545847654343E-2</v>
      </c>
      <c r="DX3" s="15">
        <v>3.319497918710113E-3</v>
      </c>
      <c r="DY3" s="15">
        <v>1.3810926117002961E-2</v>
      </c>
      <c r="DZ3" s="15">
        <v>-3.2365705817937851E-2</v>
      </c>
      <c r="EA3" s="15">
        <v>2.656497759744525E-3</v>
      </c>
      <c r="EB3" s="15">
        <v>5.3087126463651657E-2</v>
      </c>
      <c r="EC3" s="15">
        <v>7.0435956120491028E-2</v>
      </c>
      <c r="ED3" s="15">
        <v>7.5781151652336121E-2</v>
      </c>
      <c r="EE3" s="15">
        <v>7.4293278157711029E-2</v>
      </c>
      <c r="EF3" s="15">
        <v>-2.3859791457653049E-2</v>
      </c>
      <c r="EG3" s="15">
        <v>2.0955521613359451E-2</v>
      </c>
      <c r="EH3" s="15">
        <v>-4.9046785570681104E-3</v>
      </c>
      <c r="EI3" s="15">
        <v>1.7493529245257381E-2</v>
      </c>
      <c r="EJ3" s="15">
        <v>2.7235755696892738E-3</v>
      </c>
      <c r="EK3" s="15">
        <v>2.5114959571510549E-3</v>
      </c>
      <c r="EL3" s="15">
        <v>-3.6372389644384377E-2</v>
      </c>
    </row>
    <row r="4" spans="1:142" ht="25" customHeight="1" x14ac:dyDescent="0.55000000000000004">
      <c r="B4" s="11" t="s">
        <v>144</v>
      </c>
      <c r="C4" s="15">
        <v>-2.0116182044148449E-2</v>
      </c>
      <c r="D4" s="15">
        <v>-4.1433513164520257E-2</v>
      </c>
      <c r="E4" s="15">
        <v>-0.1054108068346977</v>
      </c>
      <c r="F4" s="15">
        <v>-0.14115726947784421</v>
      </c>
      <c r="G4" s="15">
        <v>-0.1358892023563385</v>
      </c>
      <c r="H4" s="15">
        <v>-3.2324142754077911E-2</v>
      </c>
      <c r="I4" s="15">
        <v>-5.608823150396347E-2</v>
      </c>
      <c r="J4" s="15">
        <v>-6.0880199074745178E-2</v>
      </c>
      <c r="K4" s="15">
        <v>-4.1457630693912513E-2</v>
      </c>
      <c r="L4" s="15">
        <v>-1.8936943262815479E-2</v>
      </c>
      <c r="M4" s="15">
        <v>-4.3679680675268173E-2</v>
      </c>
      <c r="N4" s="15">
        <v>-2.1250296384096149E-2</v>
      </c>
      <c r="O4" s="15">
        <v>3.028000239282846E-3</v>
      </c>
      <c r="P4" s="15">
        <v>-5.2210021764039993E-2</v>
      </c>
      <c r="Q4" s="15">
        <v>-6.0307271778583527E-2</v>
      </c>
      <c r="R4" s="15">
        <v>-1.6635529696941379E-2</v>
      </c>
      <c r="S4" s="15">
        <v>-3.5245604813098907E-2</v>
      </c>
      <c r="T4" s="15">
        <v>-2.4626178666949269E-2</v>
      </c>
      <c r="U4" s="15">
        <v>4.8858420923352242E-3</v>
      </c>
      <c r="V4" s="15">
        <v>4.4351727701723584E-3</v>
      </c>
      <c r="W4" s="15">
        <v>2.1335095167160031E-2</v>
      </c>
      <c r="X4" s="15">
        <v>1.1508151888847349E-2</v>
      </c>
      <c r="Y4" s="15">
        <v>-3.3528175204992287E-2</v>
      </c>
      <c r="Z4" s="15">
        <v>-3.5066407173871987E-2</v>
      </c>
      <c r="AA4" s="15">
        <v>-1.8956955522298809E-2</v>
      </c>
      <c r="AB4" s="15">
        <v>-2.0634789019823071E-2</v>
      </c>
      <c r="AC4" s="15">
        <v>4.5430758036673069E-3</v>
      </c>
      <c r="AD4" s="15">
        <v>-7.8803729265928268E-3</v>
      </c>
      <c r="AE4" s="15">
        <v>-9.6710836514830589E-3</v>
      </c>
      <c r="AF4" s="15">
        <v>-3.119556233286858E-2</v>
      </c>
      <c r="AG4" s="15">
        <v>1.9589569419622421E-2</v>
      </c>
      <c r="AH4" s="15">
        <v>-2.1153058856725689E-2</v>
      </c>
      <c r="AI4" s="15">
        <v>-1.8485292792320251E-2</v>
      </c>
      <c r="AJ4" s="15">
        <v>-4.4810216873884201E-2</v>
      </c>
      <c r="AK4" s="15">
        <v>-3.8480717688798897E-2</v>
      </c>
      <c r="AL4" s="15">
        <v>-2.8241811320185661E-2</v>
      </c>
      <c r="AM4" s="15">
        <v>1.071570627391338E-2</v>
      </c>
      <c r="AN4" s="15">
        <v>-3.4469529986381531E-2</v>
      </c>
      <c r="AO4" s="15">
        <v>-2.5418078526854519E-2</v>
      </c>
      <c r="AP4" s="15">
        <v>-3.076112270355225E-2</v>
      </c>
      <c r="AQ4" s="15">
        <v>-3.7217754870653152E-2</v>
      </c>
      <c r="AR4" s="15">
        <v>-2.5028873234987259E-2</v>
      </c>
      <c r="AS4" s="15">
        <v>-2.6712249964475632E-2</v>
      </c>
      <c r="AT4" s="15">
        <v>1.9948748871684071E-2</v>
      </c>
      <c r="AU4" s="15">
        <v>-3.4190982580184943E-2</v>
      </c>
      <c r="AV4" s="15">
        <v>-1.5953699126839641E-2</v>
      </c>
      <c r="AW4" s="15">
        <v>-8.0705069005489349E-2</v>
      </c>
      <c r="AX4" s="15">
        <v>-1.6966873779892921E-2</v>
      </c>
      <c r="AY4" s="15">
        <v>-2.6864064857363701E-2</v>
      </c>
      <c r="AZ4" s="15">
        <v>-1.3301976025104519E-2</v>
      </c>
      <c r="BA4" s="15">
        <v>-2.7144066989421841E-2</v>
      </c>
      <c r="BB4" s="15">
        <v>-5.8215323835611343E-2</v>
      </c>
      <c r="BC4" s="15">
        <v>-3.1292259693145752E-2</v>
      </c>
      <c r="BD4" s="15">
        <v>-1.7290608957409859E-2</v>
      </c>
      <c r="BE4" s="15">
        <v>-4.8348080366849899E-2</v>
      </c>
      <c r="BF4" s="15">
        <v>-4.3041668832302087E-2</v>
      </c>
      <c r="BG4" s="15">
        <v>5.6051533669233322E-2</v>
      </c>
      <c r="BH4" s="15">
        <v>1.3574806973338131E-2</v>
      </c>
      <c r="BI4" s="15">
        <v>1.954366452991962E-3</v>
      </c>
      <c r="BJ4" s="15">
        <v>1.611663959920406E-2</v>
      </c>
      <c r="BK4" s="15">
        <v>-3.4451618790626533E-2</v>
      </c>
      <c r="BL4" s="15">
        <v>-4.8494916409254067E-2</v>
      </c>
      <c r="BM4" s="15">
        <v>1.8059739843010899E-2</v>
      </c>
      <c r="BN4" s="15">
        <v>-4.6812752261757851E-3</v>
      </c>
      <c r="BO4" s="15">
        <v>1.687155920080841E-3</v>
      </c>
      <c r="BP4" s="15">
        <v>3.3530544489622123E-2</v>
      </c>
      <c r="BQ4" s="15">
        <v>9.9907955154776573E-3</v>
      </c>
      <c r="BR4" s="15">
        <v>4.0667824447154999E-2</v>
      </c>
      <c r="BS4" s="15">
        <v>2.3329269140958789E-2</v>
      </c>
      <c r="BT4" s="15">
        <v>-4.4324260205030441E-2</v>
      </c>
      <c r="BU4" s="15">
        <v>-7.1650400757789612E-2</v>
      </c>
      <c r="BV4" s="15">
        <v>-1.7102757468819622E-2</v>
      </c>
      <c r="BW4" s="15">
        <v>4.0029857307672501E-2</v>
      </c>
      <c r="BX4" s="15">
        <v>1.7527525778859849E-3</v>
      </c>
      <c r="BY4" s="15">
        <v>-2.404789254069328E-2</v>
      </c>
      <c r="BZ4" s="15">
        <v>-3.7445716559886932E-2</v>
      </c>
      <c r="CA4" s="15">
        <v>-4.6248454600572593E-2</v>
      </c>
      <c r="CB4" s="15">
        <v>-9.6187498420476913E-3</v>
      </c>
      <c r="CC4" s="15">
        <v>-4.7657586634159088E-2</v>
      </c>
      <c r="CD4" s="15">
        <v>-4.3317254632711411E-2</v>
      </c>
      <c r="CE4" s="15">
        <v>-6.9234132766723633E-2</v>
      </c>
      <c r="CF4" s="15">
        <v>-3.8890421390533447E-2</v>
      </c>
      <c r="CG4" s="15">
        <v>-5.9534341096878052E-2</v>
      </c>
      <c r="CH4" s="15">
        <v>-5.0186887383460999E-2</v>
      </c>
      <c r="CI4" s="15">
        <v>-5.3663581609725952E-2</v>
      </c>
      <c r="CJ4" s="15">
        <v>-3.3301092684268951E-2</v>
      </c>
      <c r="CK4" s="15">
        <v>-2.4340655654668811E-2</v>
      </c>
      <c r="CL4" s="15">
        <v>-1.6147250309586521E-2</v>
      </c>
      <c r="CM4" s="15">
        <v>-4.1242804378271103E-2</v>
      </c>
      <c r="CN4" s="15">
        <v>-3.162054717540741E-2</v>
      </c>
      <c r="CO4" s="15">
        <v>3.3149775117635727E-2</v>
      </c>
      <c r="CP4" s="15">
        <v>6.3154622912406921E-2</v>
      </c>
      <c r="CQ4" s="15">
        <v>-4.0926769375801093E-2</v>
      </c>
      <c r="CR4" s="15">
        <v>4.1355922818183899E-2</v>
      </c>
      <c r="CS4" s="15">
        <v>-9.8862186074256897E-2</v>
      </c>
      <c r="CT4" s="15">
        <v>-6.5789952874183655E-2</v>
      </c>
      <c r="CU4" s="15">
        <v>-5.2493758499622338E-2</v>
      </c>
      <c r="CV4" s="15">
        <v>1.4395703328773379E-3</v>
      </c>
      <c r="CW4" s="15">
        <v>-2.5382401421666149E-2</v>
      </c>
      <c r="CX4" s="15">
        <v>-1.497303880751133E-2</v>
      </c>
      <c r="CY4" s="15">
        <v>-2.5147143751382831E-2</v>
      </c>
      <c r="CZ4" s="15">
        <v>-3.8899973034858697E-2</v>
      </c>
      <c r="DA4" s="15">
        <v>-6.6368021070957184E-2</v>
      </c>
      <c r="DB4" s="15">
        <v>-9.9088206887245178E-2</v>
      </c>
      <c r="DC4" s="15">
        <v>-8.7841019034385681E-2</v>
      </c>
      <c r="DD4" s="15">
        <v>-9.5149271190166473E-2</v>
      </c>
      <c r="DE4" s="15">
        <v>-7.5684666633605957E-2</v>
      </c>
      <c r="DF4" s="15">
        <v>-6.1269368976354599E-2</v>
      </c>
      <c r="DG4" s="15">
        <v>-6.4791887998580933E-2</v>
      </c>
      <c r="DH4" s="15">
        <v>-4.2990855872631073E-2</v>
      </c>
      <c r="DI4" s="15">
        <v>1.6611326485872269E-2</v>
      </c>
      <c r="DJ4" s="15">
        <v>-5.498785525560379E-2</v>
      </c>
      <c r="DK4" s="15">
        <v>-8.0709442496299744E-2</v>
      </c>
      <c r="DL4" s="15">
        <v>-8.7292157113552094E-2</v>
      </c>
      <c r="DM4" s="15">
        <v>2.5429284200072289E-2</v>
      </c>
      <c r="DN4" s="15">
        <v>1.348613388836384E-2</v>
      </c>
      <c r="DO4" s="15">
        <v>2.691176533699036E-2</v>
      </c>
      <c r="DP4" s="15">
        <v>-2.0206337794661518E-2</v>
      </c>
      <c r="DQ4" s="15">
        <v>-2.807299792766571E-2</v>
      </c>
      <c r="DR4" s="15">
        <v>-7.4518457055091858E-2</v>
      </c>
      <c r="DS4" s="15">
        <v>-1.5364203136414289E-4</v>
      </c>
      <c r="DT4" s="15">
        <v>-3.2376378774642937E-2</v>
      </c>
      <c r="DU4" s="15">
        <v>-4.4630087912082672E-2</v>
      </c>
      <c r="DV4" s="15">
        <v>-6.5195851027965546E-2</v>
      </c>
      <c r="DW4" s="15">
        <v>9.7361684311181307E-4</v>
      </c>
      <c r="DX4" s="15">
        <v>-4.8191780224442482E-3</v>
      </c>
      <c r="DY4" s="15">
        <v>-6.2778793275356293E-2</v>
      </c>
      <c r="DZ4" s="15">
        <v>-3.5209164023399353E-2</v>
      </c>
      <c r="EA4" s="15">
        <v>-6.0484454035758972E-2</v>
      </c>
      <c r="EB4" s="15">
        <v>-6.5868578851222992E-2</v>
      </c>
      <c r="EC4" s="15">
        <v>-6.4344577491283417E-2</v>
      </c>
      <c r="ED4" s="15">
        <v>-6.2420867383480072E-2</v>
      </c>
      <c r="EE4" s="15">
        <v>-3.765815868973732E-2</v>
      </c>
      <c r="EF4" s="15">
        <v>-1.969143562018871E-2</v>
      </c>
      <c r="EG4" s="15">
        <v>1.0347722098231321E-2</v>
      </c>
      <c r="EH4" s="15">
        <v>-7.5388825498521328E-3</v>
      </c>
      <c r="EI4" s="15">
        <v>-3.7975464016199112E-2</v>
      </c>
      <c r="EJ4" s="15">
        <v>-2.6498528197407719E-2</v>
      </c>
      <c r="EK4" s="15">
        <v>2.7714299038052559E-2</v>
      </c>
      <c r="EL4" s="15">
        <v>5.3217515349388123E-2</v>
      </c>
    </row>
    <row r="5" spans="1:142" ht="25" customHeight="1" x14ac:dyDescent="0.55000000000000004">
      <c r="B5" s="14" t="s">
        <v>145</v>
      </c>
      <c r="C5" s="15">
        <v>5.5741846561431878E-2</v>
      </c>
      <c r="D5" s="15">
        <v>1.5730537474155429E-2</v>
      </c>
      <c r="E5" s="15">
        <v>-8.4050968289375305E-3</v>
      </c>
      <c r="F5" s="15">
        <v>7.0764519274234772E-2</v>
      </c>
      <c r="G5" s="15">
        <v>6.1796344816684723E-2</v>
      </c>
      <c r="H5" s="15">
        <v>1.9191207364201549E-2</v>
      </c>
      <c r="I5" s="15">
        <v>2.7801195159554482E-2</v>
      </c>
      <c r="J5" s="15">
        <v>6.3844837248325348E-2</v>
      </c>
      <c r="K5" s="15">
        <v>8.7833143770694733E-3</v>
      </c>
      <c r="L5" s="15">
        <v>2.9632467776536942E-2</v>
      </c>
      <c r="M5" s="15">
        <v>3.1051227822899818E-2</v>
      </c>
      <c r="N5" s="15">
        <v>8.4429970011115074E-3</v>
      </c>
      <c r="O5" s="15">
        <v>3.6712147295475013E-2</v>
      </c>
      <c r="P5" s="15">
        <v>1.7434984445571899E-2</v>
      </c>
      <c r="Q5" s="15">
        <v>3.7053599953651428E-2</v>
      </c>
      <c r="R5" s="15">
        <v>2.1478258073329929E-2</v>
      </c>
      <c r="S5" s="15">
        <v>4.6521492302417762E-2</v>
      </c>
      <c r="T5" s="15">
        <v>1.8265387043356899E-2</v>
      </c>
      <c r="U5" s="15">
        <v>2.9996473342180249E-2</v>
      </c>
      <c r="V5" s="15">
        <v>8.2199856638908386E-2</v>
      </c>
      <c r="W5" s="15">
        <v>5.1936138421297073E-2</v>
      </c>
      <c r="X5" s="15">
        <v>1.8651567399501801E-2</v>
      </c>
      <c r="Y5" s="15">
        <v>-2.8840977698564529E-2</v>
      </c>
      <c r="Z5" s="15">
        <v>-4.8936635255813599E-2</v>
      </c>
      <c r="AA5" s="15">
        <v>7.4104063212871552E-2</v>
      </c>
      <c r="AB5" s="15">
        <v>-7.9052217304706573E-2</v>
      </c>
      <c r="AC5" s="15">
        <v>4.592437669634819E-2</v>
      </c>
      <c r="AD5" s="15">
        <v>-1.2192311696708201E-2</v>
      </c>
      <c r="AE5" s="15">
        <v>6.8174158222973347E-3</v>
      </c>
      <c r="AF5" s="15">
        <v>2.5050153955817219E-2</v>
      </c>
      <c r="AG5" s="15">
        <v>4.8616897314786911E-2</v>
      </c>
      <c r="AH5" s="15">
        <v>1.1846562847495079E-3</v>
      </c>
      <c r="AI5" s="15">
        <v>-2.8516151360236108E-4</v>
      </c>
      <c r="AJ5" s="15">
        <v>5.6431600823998451E-3</v>
      </c>
      <c r="AK5" s="15">
        <v>3.1767126172780991E-2</v>
      </c>
      <c r="AL5" s="15">
        <v>2.2000886965543032E-3</v>
      </c>
      <c r="AM5" s="15">
        <v>1.528516598045826E-2</v>
      </c>
      <c r="AN5" s="15">
        <v>-1.262857671827078E-2</v>
      </c>
      <c r="AO5" s="15">
        <v>2.365807443857193E-2</v>
      </c>
      <c r="AP5" s="15">
        <v>4.5001458376646042E-2</v>
      </c>
      <c r="AQ5" s="15">
        <v>4.8620425164699548E-2</v>
      </c>
      <c r="AR5" s="15">
        <v>5.3666368126869202E-2</v>
      </c>
      <c r="AS5" s="15">
        <v>3.9547394961118698E-2</v>
      </c>
      <c r="AT5" s="15">
        <v>2.9460180550813671E-2</v>
      </c>
      <c r="AU5" s="15">
        <v>2.2005906328558918E-2</v>
      </c>
      <c r="AV5" s="15">
        <v>5.57871013879776E-2</v>
      </c>
      <c r="AW5" s="15">
        <v>4.1573628783226013E-2</v>
      </c>
      <c r="AX5" s="15">
        <v>5.7690292596817017E-2</v>
      </c>
      <c r="AY5" s="15">
        <v>5.2581634372472763E-2</v>
      </c>
      <c r="AZ5" s="15">
        <v>-8.5635492578148842E-3</v>
      </c>
      <c r="BA5" s="15">
        <v>4.225115105509758E-2</v>
      </c>
      <c r="BB5" s="15">
        <v>-1.6324453055858609E-2</v>
      </c>
      <c r="BC5" s="15">
        <v>6.4180669141933322E-4</v>
      </c>
      <c r="BD5" s="15">
        <v>-5.6817673146724701E-2</v>
      </c>
      <c r="BE5" s="15">
        <v>-2.9879733920097351E-2</v>
      </c>
      <c r="BF5" s="15">
        <v>1.893253996968269E-2</v>
      </c>
      <c r="BG5" s="15">
        <v>-3.5026323050260537E-2</v>
      </c>
      <c r="BH5" s="15">
        <v>-6.5759293735027313E-2</v>
      </c>
      <c r="BI5" s="15">
        <v>-7.9368360340595245E-2</v>
      </c>
      <c r="BJ5" s="15">
        <v>-8.5684239864349365E-2</v>
      </c>
      <c r="BK5" s="15">
        <v>-4.9413099884986877E-2</v>
      </c>
      <c r="BL5" s="15">
        <v>-1.1686298530548811E-3</v>
      </c>
      <c r="BM5" s="15">
        <v>-2.3616783320903782E-2</v>
      </c>
      <c r="BN5" s="15">
        <v>-3.0536096543073651E-2</v>
      </c>
      <c r="BO5" s="15">
        <v>2.686824090778828E-2</v>
      </c>
      <c r="BP5" s="15">
        <v>2.7123436331748959E-2</v>
      </c>
      <c r="BQ5" s="15">
        <v>9.7388895228505135E-3</v>
      </c>
      <c r="BR5" s="15">
        <v>2.0006326958537098E-2</v>
      </c>
      <c r="BS5" s="15">
        <v>1.4250755775719881E-3</v>
      </c>
      <c r="BT5" s="15">
        <v>4.8925049602985382E-2</v>
      </c>
      <c r="BU5" s="15">
        <v>4.7599527984857559E-2</v>
      </c>
      <c r="BV5" s="15">
        <v>-2.8521495405584569E-3</v>
      </c>
      <c r="BW5" s="15">
        <v>3.047716990113258E-2</v>
      </c>
      <c r="BX5" s="15">
        <v>3.2435460016131401E-3</v>
      </c>
      <c r="BY5" s="15">
        <v>-4.4437490403652191E-2</v>
      </c>
      <c r="BZ5" s="15">
        <v>3.372203791514039E-4</v>
      </c>
      <c r="CA5" s="15">
        <v>5.1361106336116791E-2</v>
      </c>
      <c r="CB5" s="15">
        <v>4.0368124842643738E-2</v>
      </c>
      <c r="CC5" s="15">
        <v>2.743220329284668E-2</v>
      </c>
      <c r="CD5" s="15">
        <v>2.207928895950317E-2</v>
      </c>
      <c r="CE5" s="15">
        <v>2.3870967328548431E-2</v>
      </c>
      <c r="CF5" s="15">
        <v>-3.202897310256958E-2</v>
      </c>
      <c r="CG5" s="15">
        <v>-7.1231015026569366E-2</v>
      </c>
      <c r="CH5" s="15">
        <v>-4.6868059784173972E-2</v>
      </c>
      <c r="CI5" s="15">
        <v>-6.7858822643756866E-2</v>
      </c>
      <c r="CJ5" s="15">
        <v>-6.4342252910137177E-2</v>
      </c>
      <c r="CK5" s="15">
        <v>-5.9413556009531021E-2</v>
      </c>
      <c r="CL5" s="15">
        <v>8.4330163896083832E-2</v>
      </c>
      <c r="CM5" s="15">
        <v>6.5344303846359253E-2</v>
      </c>
      <c r="CN5" s="15">
        <v>4.4891763478517532E-2</v>
      </c>
      <c r="CO5" s="15">
        <v>1.0420361533761019E-2</v>
      </c>
      <c r="CP5" s="15">
        <v>0.1182377934455872</v>
      </c>
      <c r="CQ5" s="15">
        <v>5.0723213702440262E-2</v>
      </c>
      <c r="CR5" s="15">
        <v>3.3173959702253342E-2</v>
      </c>
      <c r="CS5" s="15">
        <v>-3.7132888101041321E-3</v>
      </c>
      <c r="CT5" s="15">
        <v>-1.008150540292263E-2</v>
      </c>
      <c r="CU5" s="15">
        <v>4.6655397862195969E-2</v>
      </c>
      <c r="CV5" s="15">
        <v>-5.5946167558431634E-3</v>
      </c>
      <c r="CW5" s="15">
        <v>-0.1470402330160141</v>
      </c>
      <c r="CX5" s="15">
        <v>-2.894680388271809E-2</v>
      </c>
      <c r="CY5" s="15">
        <v>8.4989266470074654E-3</v>
      </c>
      <c r="CZ5" s="15">
        <v>-2.2278601303696629E-2</v>
      </c>
      <c r="DA5" s="15">
        <v>3.0063033103942871E-2</v>
      </c>
      <c r="DB5" s="15">
        <v>-1.368775591254234E-2</v>
      </c>
      <c r="DC5" s="15">
        <v>3.7013180553913123E-2</v>
      </c>
      <c r="DD5" s="15">
        <v>4.2487449944019318E-2</v>
      </c>
      <c r="DE5" s="15">
        <v>3.5419993102550507E-2</v>
      </c>
      <c r="DF5" s="15">
        <v>5.0845975056290627E-3</v>
      </c>
      <c r="DG5" s="15">
        <v>3.7272726185619831E-3</v>
      </c>
      <c r="DH5" s="15">
        <v>-6.6102910786867142E-3</v>
      </c>
      <c r="DI5" s="15">
        <v>-5.582159012556076E-2</v>
      </c>
      <c r="DJ5" s="15">
        <v>4.8400323837995529E-2</v>
      </c>
      <c r="DK5" s="15">
        <v>1.1602438054978849E-2</v>
      </c>
      <c r="DL5" s="15">
        <v>1.8670994788408279E-2</v>
      </c>
      <c r="DM5" s="15">
        <v>1.2823298573493959E-2</v>
      </c>
      <c r="DN5" s="15">
        <v>3.3588364720344543E-2</v>
      </c>
      <c r="DO5" s="15">
        <v>3.080024570226669E-2</v>
      </c>
      <c r="DP5" s="15">
        <v>4.4318786822259426E-3</v>
      </c>
      <c r="DQ5" s="15">
        <v>-2.750279009342194E-2</v>
      </c>
      <c r="DR5" s="15">
        <v>-0.1000711172819138</v>
      </c>
      <c r="DS5" s="15">
        <v>2.2957990877330299E-3</v>
      </c>
      <c r="DT5" s="15">
        <v>4.5962766744196406E-3</v>
      </c>
      <c r="DU5" s="15">
        <v>4.9048192799091339E-2</v>
      </c>
      <c r="DV5" s="15">
        <v>4.9711555242538452E-2</v>
      </c>
      <c r="DW5" s="15">
        <v>6.2132958322763443E-2</v>
      </c>
      <c r="DX5" s="15">
        <v>3.4120500087738037E-2</v>
      </c>
      <c r="DY5" s="15">
        <v>-4.3345347046852112E-2</v>
      </c>
      <c r="DZ5" s="15">
        <v>1.6171941533684731E-2</v>
      </c>
      <c r="EA5" s="15">
        <v>2.0687229931354519E-2</v>
      </c>
      <c r="EB5" s="15">
        <v>2.4651791900396351E-2</v>
      </c>
      <c r="EC5" s="15">
        <v>-7.1213126182556152E-2</v>
      </c>
      <c r="ED5" s="15">
        <v>-6.88604936003685E-2</v>
      </c>
      <c r="EE5" s="15">
        <v>-2.8207767754793171E-2</v>
      </c>
      <c r="EF5" s="15">
        <v>1.9379980862140659E-2</v>
      </c>
      <c r="EG5" s="15">
        <v>-1.8364094197750092E-2</v>
      </c>
      <c r="EH5" s="15">
        <v>-4.4609863311052322E-2</v>
      </c>
      <c r="EI5" s="15">
        <v>-8.8491691276431084E-3</v>
      </c>
      <c r="EJ5" s="15">
        <v>1.1057978495955471E-2</v>
      </c>
      <c r="EK5" s="15">
        <v>-3.502532839775085E-3</v>
      </c>
      <c r="EL5" s="15">
        <v>1.083044148981571E-2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304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ht="25" customHeight="1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ht="25" customHeight="1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ht="25" customHeight="1" x14ac:dyDescent="0.55000000000000004">
      <c r="A13" s="12" t="s">
        <v>305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0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1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1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0</v>
      </c>
      <c r="W13" s="12">
        <f t="shared" si="0"/>
        <v>1</v>
      </c>
      <c r="X13" s="12">
        <f t="shared" si="0"/>
        <v>1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1</v>
      </c>
      <c r="AG13" s="12">
        <f t="shared" si="0"/>
        <v>0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0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1</v>
      </c>
      <c r="BF13" s="12">
        <f t="shared" si="1"/>
        <v>1</v>
      </c>
      <c r="BG13" s="12">
        <f t="shared" si="1"/>
        <v>1</v>
      </c>
      <c r="BH13" s="12">
        <f t="shared" si="1"/>
        <v>1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1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1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1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1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1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1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0</v>
      </c>
      <c r="DP13" s="12">
        <f t="shared" si="3"/>
        <v>1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1</v>
      </c>
      <c r="DV13" s="12">
        <f t="shared" si="3"/>
        <v>0</v>
      </c>
      <c r="DW13" s="12">
        <f t="shared" si="3"/>
        <v>1</v>
      </c>
      <c r="DX13" s="12">
        <f t="shared" si="3"/>
        <v>0</v>
      </c>
      <c r="DY13" s="12">
        <f t="shared" si="3"/>
        <v>1</v>
      </c>
      <c r="DZ13" s="12">
        <f t="shared" si="3"/>
        <v>0</v>
      </c>
      <c r="EA13" s="12">
        <f t="shared" ref="EA13:EL13" si="4">IF(AND(EA3&gt;0,EA9&gt;0),1,0)</f>
        <v>1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0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1</v>
      </c>
      <c r="EL13" s="12">
        <f t="shared" si="4"/>
        <v>0</v>
      </c>
    </row>
    <row r="14" spans="1:142" ht="25" customHeight="1" x14ac:dyDescent="0.55000000000000004">
      <c r="A14" s="12" t="s">
        <v>306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1</v>
      </c>
      <c r="V14" s="12">
        <f t="shared" si="5"/>
        <v>1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1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1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1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0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1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1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1</v>
      </c>
      <c r="E15" s="12">
        <f t="shared" si="10"/>
        <v>0</v>
      </c>
      <c r="F15" s="12">
        <f t="shared" si="10"/>
        <v>0</v>
      </c>
      <c r="G15" s="12">
        <f t="shared" si="10"/>
        <v>1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1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1</v>
      </c>
      <c r="P15" s="12">
        <f t="shared" si="10"/>
        <v>1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1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0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1</v>
      </c>
      <c r="AI15" s="12">
        <f t="shared" ref="AI15:BN15" si="11">IF(AND(AI5&gt;0,AI11&gt;0),1,0)</f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0</v>
      </c>
      <c r="AO15" s="12">
        <f t="shared" si="11"/>
        <v>1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1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1</v>
      </c>
      <c r="AX15" s="12">
        <f t="shared" si="11"/>
        <v>0</v>
      </c>
      <c r="AY15" s="12">
        <f t="shared" si="11"/>
        <v>1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1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0</v>
      </c>
      <c r="BZ15" s="12">
        <f t="shared" si="12"/>
        <v>1</v>
      </c>
      <c r="CA15" s="12">
        <f t="shared" si="12"/>
        <v>1</v>
      </c>
      <c r="CB15" s="12">
        <f t="shared" si="12"/>
        <v>1</v>
      </c>
      <c r="CC15" s="12">
        <f t="shared" si="12"/>
        <v>1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0</v>
      </c>
      <c r="CK15" s="12">
        <f t="shared" si="12"/>
        <v>0</v>
      </c>
      <c r="CL15" s="12">
        <f t="shared" si="12"/>
        <v>1</v>
      </c>
      <c r="CM15" s="12">
        <f t="shared" si="12"/>
        <v>0</v>
      </c>
      <c r="CN15" s="12">
        <f t="shared" si="12"/>
        <v>1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0</v>
      </c>
      <c r="CW15" s="12">
        <f t="shared" si="13"/>
        <v>0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0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1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1</v>
      </c>
      <c r="DK15" s="12">
        <f t="shared" si="13"/>
        <v>1</v>
      </c>
      <c r="DL15" s="12">
        <f t="shared" si="13"/>
        <v>1</v>
      </c>
      <c r="DM15" s="12">
        <f t="shared" si="13"/>
        <v>1</v>
      </c>
      <c r="DN15" s="12">
        <f t="shared" si="13"/>
        <v>1</v>
      </c>
      <c r="DO15" s="12">
        <f t="shared" si="13"/>
        <v>0</v>
      </c>
      <c r="DP15" s="12">
        <f t="shared" si="13"/>
        <v>0</v>
      </c>
      <c r="DQ15" s="12">
        <f t="shared" si="13"/>
        <v>0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0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1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7" t="s">
        <v>305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140</v>
      </c>
    </row>
    <row r="17" spans="1:142" ht="25" customHeight="1" x14ac:dyDescent="0.55000000000000004">
      <c r="A17" s="12" t="s">
        <v>307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1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1</v>
      </c>
      <c r="Q17" s="12">
        <f t="shared" si="15"/>
        <v>1</v>
      </c>
      <c r="R17" s="12">
        <f t="shared" si="15"/>
        <v>0</v>
      </c>
      <c r="S17" s="12">
        <f t="shared" si="15"/>
        <v>0</v>
      </c>
      <c r="T17" s="12">
        <f t="shared" si="15"/>
        <v>0</v>
      </c>
      <c r="U17" s="12">
        <f t="shared" si="15"/>
        <v>1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0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1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1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0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1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1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1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1</v>
      </c>
      <c r="DM17" s="12">
        <f t="shared" si="18"/>
        <v>0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0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1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0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0</v>
      </c>
    </row>
    <row r="18" spans="1:142" ht="25" customHeight="1" x14ac:dyDescent="0.55000000000000004">
      <c r="A18" s="12" t="s">
        <v>308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0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0</v>
      </c>
      <c r="O18" s="12">
        <f t="shared" si="20"/>
        <v>1</v>
      </c>
      <c r="P18" s="12">
        <f t="shared" si="20"/>
        <v>0</v>
      </c>
      <c r="Q18" s="12">
        <f t="shared" si="20"/>
        <v>0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1</v>
      </c>
      <c r="X18" s="12">
        <f t="shared" si="20"/>
        <v>1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0</v>
      </c>
      <c r="AC18" s="12">
        <f t="shared" si="20"/>
        <v>1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1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0</v>
      </c>
      <c r="AK18" s="12">
        <f t="shared" si="21"/>
        <v>0</v>
      </c>
      <c r="AL18" s="12">
        <f t="shared" si="21"/>
        <v>0</v>
      </c>
      <c r="AM18" s="12">
        <f t="shared" si="21"/>
        <v>1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0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1</v>
      </c>
      <c r="BH18" s="12">
        <f t="shared" si="21"/>
        <v>0</v>
      </c>
      <c r="BI18" s="12">
        <f t="shared" si="21"/>
        <v>1</v>
      </c>
      <c r="BJ18" s="12">
        <f t="shared" si="21"/>
        <v>1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1</v>
      </c>
      <c r="BP18" s="12">
        <f t="shared" si="22"/>
        <v>0</v>
      </c>
      <c r="BQ18" s="12">
        <f t="shared" si="22"/>
        <v>1</v>
      </c>
      <c r="BR18" s="12">
        <f t="shared" si="22"/>
        <v>1</v>
      </c>
      <c r="BS18" s="12">
        <f t="shared" si="22"/>
        <v>1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1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0</v>
      </c>
      <c r="CR18" s="12">
        <f t="shared" si="22"/>
        <v>1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1</v>
      </c>
      <c r="CW18" s="12">
        <f t="shared" si="23"/>
        <v>0</v>
      </c>
      <c r="CX18" s="12">
        <f t="shared" si="23"/>
        <v>0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1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1</v>
      </c>
      <c r="DO18" s="12">
        <f t="shared" si="23"/>
        <v>1</v>
      </c>
      <c r="DP18" s="12">
        <f t="shared" si="23"/>
        <v>0</v>
      </c>
      <c r="DQ18" s="12">
        <f t="shared" si="23"/>
        <v>0</v>
      </c>
      <c r="DR18" s="12">
        <f t="shared" si="23"/>
        <v>0</v>
      </c>
      <c r="DS18" s="12">
        <f t="shared" si="23"/>
        <v>0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1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1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0</v>
      </c>
      <c r="F19" s="12">
        <f t="shared" si="25"/>
        <v>1</v>
      </c>
      <c r="G19" s="12">
        <f t="shared" si="25"/>
        <v>0</v>
      </c>
      <c r="H19" s="12">
        <f t="shared" si="25"/>
        <v>0</v>
      </c>
      <c r="I19" s="12">
        <f t="shared" si="25"/>
        <v>1</v>
      </c>
      <c r="J19" s="12">
        <f t="shared" si="25"/>
        <v>1</v>
      </c>
      <c r="K19" s="12">
        <f t="shared" si="25"/>
        <v>0</v>
      </c>
      <c r="L19" s="12">
        <f t="shared" si="25"/>
        <v>1</v>
      </c>
      <c r="M19" s="12">
        <f t="shared" si="25"/>
        <v>0</v>
      </c>
      <c r="N19" s="12">
        <f t="shared" si="25"/>
        <v>1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0</v>
      </c>
      <c r="AA19" s="12">
        <f t="shared" si="25"/>
        <v>0</v>
      </c>
      <c r="AB19" s="12">
        <f t="shared" si="25"/>
        <v>0</v>
      </c>
      <c r="AC19" s="12">
        <f t="shared" si="25"/>
        <v>1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1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1</v>
      </c>
      <c r="AL19" s="12">
        <f t="shared" si="26"/>
        <v>1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1</v>
      </c>
      <c r="AV19" s="12">
        <f t="shared" si="26"/>
        <v>0</v>
      </c>
      <c r="AW19" s="12">
        <f t="shared" si="26"/>
        <v>0</v>
      </c>
      <c r="AX19" s="12">
        <f t="shared" si="26"/>
        <v>1</v>
      </c>
      <c r="AY19" s="12">
        <f t="shared" si="26"/>
        <v>0</v>
      </c>
      <c r="AZ19" s="12">
        <f t="shared" si="26"/>
        <v>0</v>
      </c>
      <c r="BA19" s="12">
        <f t="shared" si="26"/>
        <v>1</v>
      </c>
      <c r="BB19" s="12">
        <f t="shared" si="26"/>
        <v>0</v>
      </c>
      <c r="BC19" s="12">
        <f t="shared" si="26"/>
        <v>0</v>
      </c>
      <c r="BD19" s="12">
        <f t="shared" si="26"/>
        <v>0</v>
      </c>
      <c r="BE19" s="12">
        <f t="shared" si="26"/>
        <v>0</v>
      </c>
      <c r="BF19" s="12">
        <f t="shared" si="26"/>
        <v>1</v>
      </c>
      <c r="BG19" s="12">
        <f t="shared" si="26"/>
        <v>0</v>
      </c>
      <c r="BH19" s="12">
        <f t="shared" si="26"/>
        <v>0</v>
      </c>
      <c r="BI19" s="12">
        <f t="shared" si="26"/>
        <v>0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1</v>
      </c>
      <c r="BP19" s="12">
        <f t="shared" si="27"/>
        <v>0</v>
      </c>
      <c r="BQ19" s="12">
        <f t="shared" si="27"/>
        <v>1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0</v>
      </c>
      <c r="BW19" s="12">
        <f t="shared" si="27"/>
        <v>1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1</v>
      </c>
      <c r="CE19" s="12">
        <f t="shared" si="27"/>
        <v>1</v>
      </c>
      <c r="CF19" s="12">
        <f t="shared" si="27"/>
        <v>0</v>
      </c>
      <c r="CG19" s="12">
        <f t="shared" si="27"/>
        <v>0</v>
      </c>
      <c r="CH19" s="12">
        <f t="shared" si="27"/>
        <v>0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0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0</v>
      </c>
      <c r="CY19" s="12">
        <f t="shared" si="28"/>
        <v>0</v>
      </c>
      <c r="CZ19" s="12">
        <f t="shared" si="28"/>
        <v>0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1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1</v>
      </c>
      <c r="DP19" s="12">
        <f t="shared" si="28"/>
        <v>1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1</v>
      </c>
      <c r="EC19" s="12">
        <f t="shared" si="29"/>
        <v>0</v>
      </c>
      <c r="ED19" s="12">
        <f t="shared" si="29"/>
        <v>0</v>
      </c>
      <c r="EE19" s="12">
        <f t="shared" si="29"/>
        <v>0</v>
      </c>
      <c r="EF19" s="12">
        <f t="shared" si="29"/>
        <v>1</v>
      </c>
      <c r="EG19" s="12">
        <f t="shared" si="29"/>
        <v>0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7" t="s">
        <v>307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112</v>
      </c>
    </row>
    <row r="21" spans="1:142" ht="25" customHeight="1" x14ac:dyDescent="0.55000000000000004">
      <c r="A21" s="12" t="s">
        <v>309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1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1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1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1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1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1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1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310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1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1</v>
      </c>
      <c r="U22" s="12">
        <f t="shared" si="35"/>
        <v>0</v>
      </c>
      <c r="V22" s="12">
        <f t="shared" si="35"/>
        <v>0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1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1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0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0</v>
      </c>
      <c r="AY22" s="12">
        <f t="shared" si="36"/>
        <v>1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1</v>
      </c>
      <c r="BF22" s="12">
        <f t="shared" si="36"/>
        <v>1</v>
      </c>
      <c r="BG22" s="12">
        <f t="shared" si="36"/>
        <v>0</v>
      </c>
      <c r="BH22" s="12">
        <f t="shared" si="36"/>
        <v>0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0</v>
      </c>
      <c r="BN22" s="12">
        <f t="shared" si="36"/>
        <v>1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1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1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1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0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1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1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1</v>
      </c>
      <c r="EE22" s="12">
        <f t="shared" si="39"/>
        <v>1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0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0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0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1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1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0</v>
      </c>
      <c r="AI23" s="12">
        <f t="shared" ref="AI23:BN23" si="41">IF(AND(AI5&lt;0,AI11&gt;0),1,0)</f>
        <v>1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1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0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1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1</v>
      </c>
      <c r="BZ23" s="12">
        <f t="shared" si="42"/>
        <v>0</v>
      </c>
      <c r="CA23" s="12">
        <f t="shared" si="42"/>
        <v>0</v>
      </c>
      <c r="CB23" s="12">
        <f t="shared" si="42"/>
        <v>0</v>
      </c>
      <c r="CC23" s="12">
        <f t="shared" si="42"/>
        <v>0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1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1</v>
      </c>
      <c r="CW23" s="12">
        <f t="shared" si="43"/>
        <v>1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0</v>
      </c>
      <c r="DB23" s="12">
        <f t="shared" si="43"/>
        <v>1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0</v>
      </c>
      <c r="DG23" s="12">
        <f t="shared" si="43"/>
        <v>0</v>
      </c>
      <c r="DH23" s="12">
        <f t="shared" si="43"/>
        <v>1</v>
      </c>
      <c r="DI23" s="12">
        <f t="shared" si="43"/>
        <v>1</v>
      </c>
      <c r="DJ23" s="12">
        <f t="shared" si="43"/>
        <v>0</v>
      </c>
      <c r="DK23" s="12">
        <f t="shared" si="43"/>
        <v>0</v>
      </c>
      <c r="DL23" s="12">
        <f t="shared" si="43"/>
        <v>0</v>
      </c>
      <c r="DM23" s="12">
        <f t="shared" si="43"/>
        <v>0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1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1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0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7" t="s">
        <v>309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68</v>
      </c>
    </row>
    <row r="25" spans="1:142" ht="25" customHeight="1" x14ac:dyDescent="0.55000000000000004">
      <c r="A25" s="12" t="s">
        <v>311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0</v>
      </c>
      <c r="R25" s="12">
        <f t="shared" si="45"/>
        <v>0</v>
      </c>
      <c r="S25" s="12">
        <f t="shared" si="45"/>
        <v>1</v>
      </c>
      <c r="T25" s="12">
        <f t="shared" si="45"/>
        <v>1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1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1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1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1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1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1</v>
      </c>
    </row>
    <row r="26" spans="1:142" ht="25" customHeight="1" x14ac:dyDescent="0.55000000000000004">
      <c r="A26" s="12" t="s">
        <v>312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1</v>
      </c>
      <c r="H26" s="12">
        <f t="shared" si="50"/>
        <v>1</v>
      </c>
      <c r="I26" s="12">
        <f t="shared" si="50"/>
        <v>1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1</v>
      </c>
      <c r="O26" s="12">
        <f t="shared" si="50"/>
        <v>0</v>
      </c>
      <c r="P26" s="12">
        <f t="shared" si="50"/>
        <v>0</v>
      </c>
      <c r="Q26" s="12">
        <f t="shared" si="50"/>
        <v>1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0</v>
      </c>
      <c r="X26" s="12">
        <f t="shared" si="50"/>
        <v>0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1</v>
      </c>
      <c r="AC26" s="12">
        <f t="shared" si="50"/>
        <v>0</v>
      </c>
      <c r="AD26" s="12">
        <f t="shared" si="50"/>
        <v>1</v>
      </c>
      <c r="AE26" s="12">
        <f t="shared" si="50"/>
        <v>0</v>
      </c>
      <c r="AF26" s="12">
        <f t="shared" si="50"/>
        <v>1</v>
      </c>
      <c r="AG26" s="12">
        <f t="shared" si="50"/>
        <v>0</v>
      </c>
      <c r="AH26" s="12">
        <f t="shared" si="50"/>
        <v>1</v>
      </c>
      <c r="AI26" s="12">
        <f t="shared" ref="AI26:BN26" si="51">IF(AND(AI4&lt;0,AI10&lt;0),1,0)</f>
        <v>1</v>
      </c>
      <c r="AJ26" s="12">
        <f t="shared" si="51"/>
        <v>1</v>
      </c>
      <c r="AK26" s="12">
        <f t="shared" si="51"/>
        <v>0</v>
      </c>
      <c r="AL26" s="12">
        <f t="shared" si="51"/>
        <v>1</v>
      </c>
      <c r="AM26" s="12">
        <f t="shared" si="51"/>
        <v>0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1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1</v>
      </c>
      <c r="BA26" s="12">
        <f t="shared" si="51"/>
        <v>1</v>
      </c>
      <c r="BB26" s="12">
        <f t="shared" si="51"/>
        <v>0</v>
      </c>
      <c r="BC26" s="12">
        <f t="shared" si="51"/>
        <v>0</v>
      </c>
      <c r="BD26" s="12">
        <f t="shared" si="51"/>
        <v>1</v>
      </c>
      <c r="BE26" s="12">
        <f t="shared" si="51"/>
        <v>0</v>
      </c>
      <c r="BF26" s="12">
        <f t="shared" si="51"/>
        <v>0</v>
      </c>
      <c r="BG26" s="12">
        <f t="shared" si="51"/>
        <v>0</v>
      </c>
      <c r="BH26" s="12">
        <f t="shared" si="51"/>
        <v>0</v>
      </c>
      <c r="BI26" s="12">
        <f t="shared" si="51"/>
        <v>0</v>
      </c>
      <c r="BJ26" s="12">
        <f t="shared" si="51"/>
        <v>0</v>
      </c>
      <c r="BK26" s="12">
        <f t="shared" si="51"/>
        <v>0</v>
      </c>
      <c r="BL26" s="12">
        <f t="shared" si="51"/>
        <v>1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0</v>
      </c>
      <c r="BP26" s="12">
        <f t="shared" si="52"/>
        <v>0</v>
      </c>
      <c r="BQ26" s="12">
        <f t="shared" si="52"/>
        <v>0</v>
      </c>
      <c r="BR26" s="12">
        <f t="shared" si="52"/>
        <v>0</v>
      </c>
      <c r="BS26" s="12">
        <f t="shared" si="52"/>
        <v>0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0</v>
      </c>
      <c r="BX26" s="12">
        <f t="shared" si="52"/>
        <v>0</v>
      </c>
      <c r="BY26" s="12">
        <f t="shared" si="52"/>
        <v>0</v>
      </c>
      <c r="BZ26" s="12">
        <f t="shared" si="52"/>
        <v>1</v>
      </c>
      <c r="CA26" s="12">
        <f t="shared" si="52"/>
        <v>1</v>
      </c>
      <c r="CB26" s="12">
        <f t="shared" si="52"/>
        <v>1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1</v>
      </c>
      <c r="CI26" s="12">
        <f t="shared" si="52"/>
        <v>0</v>
      </c>
      <c r="CJ26" s="12">
        <f t="shared" si="52"/>
        <v>1</v>
      </c>
      <c r="CK26" s="12">
        <f t="shared" si="52"/>
        <v>1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1</v>
      </c>
      <c r="CR26" s="12">
        <f t="shared" si="52"/>
        <v>0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0</v>
      </c>
      <c r="CW26" s="12">
        <f t="shared" si="53"/>
        <v>1</v>
      </c>
      <c r="CX26" s="12">
        <f t="shared" si="53"/>
        <v>1</v>
      </c>
      <c r="CY26" s="12">
        <f t="shared" si="53"/>
        <v>1</v>
      </c>
      <c r="CZ26" s="12">
        <f t="shared" si="53"/>
        <v>1</v>
      </c>
      <c r="DA26" s="12">
        <f t="shared" si="53"/>
        <v>1</v>
      </c>
      <c r="DB26" s="12">
        <f t="shared" si="53"/>
        <v>1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1</v>
      </c>
      <c r="DI26" s="12">
        <f t="shared" si="53"/>
        <v>0</v>
      </c>
      <c r="DJ26" s="12">
        <f t="shared" si="53"/>
        <v>1</v>
      </c>
      <c r="DK26" s="12">
        <f t="shared" si="53"/>
        <v>0</v>
      </c>
      <c r="DL26" s="12">
        <f t="shared" si="53"/>
        <v>1</v>
      </c>
      <c r="DM26" s="12">
        <f t="shared" si="53"/>
        <v>0</v>
      </c>
      <c r="DN26" s="12">
        <f t="shared" si="53"/>
        <v>0</v>
      </c>
      <c r="DO26" s="12">
        <f t="shared" si="53"/>
        <v>0</v>
      </c>
      <c r="DP26" s="12">
        <f t="shared" si="53"/>
        <v>1</v>
      </c>
      <c r="DQ26" s="12">
        <f t="shared" si="53"/>
        <v>0</v>
      </c>
      <c r="DR26" s="12">
        <f t="shared" si="53"/>
        <v>1</v>
      </c>
      <c r="DS26" s="12">
        <f t="shared" si="53"/>
        <v>1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1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1</v>
      </c>
      <c r="EG26" s="12">
        <f t="shared" si="54"/>
        <v>0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1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0</v>
      </c>
      <c r="K27" s="12">
        <f t="shared" si="55"/>
        <v>0</v>
      </c>
      <c r="L27" s="12">
        <f t="shared" si="55"/>
        <v>0</v>
      </c>
      <c r="M27" s="12">
        <f t="shared" si="55"/>
        <v>0</v>
      </c>
      <c r="N27" s="12">
        <f t="shared" si="55"/>
        <v>0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1</v>
      </c>
      <c r="AA27" s="12">
        <f t="shared" si="55"/>
        <v>0</v>
      </c>
      <c r="AB27" s="12">
        <f t="shared" si="55"/>
        <v>1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0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0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1</v>
      </c>
      <c r="BA27" s="12">
        <f t="shared" si="56"/>
        <v>0</v>
      </c>
      <c r="BB27" s="12">
        <f t="shared" si="56"/>
        <v>1</v>
      </c>
      <c r="BC27" s="12">
        <f t="shared" si="56"/>
        <v>0</v>
      </c>
      <c r="BD27" s="12">
        <f t="shared" si="56"/>
        <v>0</v>
      </c>
      <c r="BE27" s="12">
        <f t="shared" si="56"/>
        <v>1</v>
      </c>
      <c r="BF27" s="12">
        <f t="shared" si="56"/>
        <v>0</v>
      </c>
      <c r="BG27" s="12">
        <f t="shared" si="56"/>
        <v>1</v>
      </c>
      <c r="BH27" s="12">
        <f t="shared" si="56"/>
        <v>1</v>
      </c>
      <c r="BI27" s="12">
        <f t="shared" si="56"/>
        <v>1</v>
      </c>
      <c r="BJ27" s="12">
        <f t="shared" si="56"/>
        <v>1</v>
      </c>
      <c r="BK27" s="12">
        <f t="shared" si="56"/>
        <v>1</v>
      </c>
      <c r="BL27" s="12">
        <f t="shared" si="56"/>
        <v>1</v>
      </c>
      <c r="BM27" s="12">
        <f t="shared" si="56"/>
        <v>0</v>
      </c>
      <c r="BN27" s="12">
        <f t="shared" si="56"/>
        <v>1</v>
      </c>
      <c r="BO27" s="12">
        <f t="shared" ref="BO27:CT27" si="57">IF(AND(BO5&lt;0,BO11&lt;0),1,0)</f>
        <v>0</v>
      </c>
      <c r="BP27" s="12">
        <f t="shared" si="57"/>
        <v>0</v>
      </c>
      <c r="BQ27" s="12">
        <f t="shared" si="57"/>
        <v>0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1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0</v>
      </c>
      <c r="CF27" s="12">
        <f t="shared" si="57"/>
        <v>1</v>
      </c>
      <c r="CG27" s="12">
        <f t="shared" si="57"/>
        <v>1</v>
      </c>
      <c r="CH27" s="12">
        <f t="shared" si="57"/>
        <v>1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1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1</v>
      </c>
      <c r="CY27" s="12">
        <f t="shared" si="58"/>
        <v>0</v>
      </c>
      <c r="CZ27" s="12">
        <f t="shared" si="58"/>
        <v>1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0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1</v>
      </c>
      <c r="ED27" s="12">
        <f t="shared" si="59"/>
        <v>0</v>
      </c>
      <c r="EE27" s="12">
        <f t="shared" si="59"/>
        <v>1</v>
      </c>
      <c r="EF27" s="12">
        <f t="shared" si="59"/>
        <v>0</v>
      </c>
      <c r="EG27" s="12">
        <f t="shared" si="59"/>
        <v>1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7" t="s">
        <v>311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100</v>
      </c>
    </row>
    <row r="30" spans="1:142" ht="25" customHeight="1" x14ac:dyDescent="0.55000000000000004">
      <c r="A30" s="12" t="s">
        <v>313</v>
      </c>
      <c r="B30" s="12" t="s">
        <v>314</v>
      </c>
      <c r="C30" s="16">
        <f>(C16+C28)/(C16+C28+C20+C24)</f>
        <v>0.5714285714285714</v>
      </c>
    </row>
    <row r="31" spans="1:142" ht="25" customHeight="1" x14ac:dyDescent="0.55000000000000004">
      <c r="A31" s="12" t="s">
        <v>315</v>
      </c>
      <c r="B31" s="12" t="s">
        <v>316</v>
      </c>
      <c r="C31" s="16">
        <f>C16/(C16+C20)</f>
        <v>0.55555555555555558</v>
      </c>
    </row>
    <row r="32" spans="1:142" ht="25" customHeight="1" x14ac:dyDescent="0.55000000000000004">
      <c r="A32" s="12" t="s">
        <v>317</v>
      </c>
      <c r="B32" s="12" t="s">
        <v>318</v>
      </c>
      <c r="C32" s="16">
        <f>C16/(C16+C24)</f>
        <v>0.67307692307692313</v>
      </c>
    </row>
    <row r="33" spans="1:3" ht="25" customHeight="1" x14ac:dyDescent="0.55000000000000004">
      <c r="A33" s="12" t="s">
        <v>319</v>
      </c>
      <c r="B33" s="12" t="s">
        <v>320</v>
      </c>
      <c r="C33" s="16">
        <f>2*(C31*C32)/(C31+C32)</f>
        <v>0.60869565217391308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2025-12-27T06:29:22Z</dcterms:modified>
</cp:coreProperties>
</file>