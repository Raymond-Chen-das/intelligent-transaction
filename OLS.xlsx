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130E7993-8FE1-45DE-A181-1F5DE40B3E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D25" i="7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D23" i="7"/>
  <c r="E22" i="7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AG21" i="7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I21" i="7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F21" i="7"/>
  <c r="G21" i="7" s="1"/>
  <c r="H21" i="7" s="1"/>
  <c r="D21" i="7"/>
  <c r="E21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BJ19" i="7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H18" i="7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8" i="7"/>
  <c r="E18" i="7" s="1"/>
  <c r="F18" i="7" s="1"/>
  <c r="G18" i="7" s="1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6" i="7"/>
  <c r="AU15" i="7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E15" i="7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D15" i="7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4" i="7"/>
  <c r="N13" i="7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G12" i="7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D12" i="7"/>
  <c r="E12" i="7" s="1"/>
  <c r="F12" i="7" s="1"/>
  <c r="EK8" i="7"/>
  <c r="EI8" i="7"/>
  <c r="EH8" i="7"/>
  <c r="EF8" i="7"/>
  <c r="ED8" i="7"/>
  <c r="EC8" i="7"/>
  <c r="EB8" i="7"/>
  <c r="EA8" i="7"/>
  <c r="DZ8" i="7"/>
  <c r="DX8" i="7"/>
  <c r="DW8" i="7"/>
  <c r="DT8" i="7"/>
  <c r="DN8" i="7"/>
  <c r="DK8" i="7"/>
  <c r="DF8" i="7"/>
  <c r="CZ8" i="7"/>
  <c r="CY8" i="7"/>
  <c r="CX8" i="7"/>
  <c r="CS8" i="7"/>
  <c r="CR8" i="7"/>
  <c r="CO8" i="7"/>
  <c r="CL8" i="7"/>
  <c r="CK8" i="7"/>
  <c r="CJ8" i="7"/>
  <c r="CH8" i="7"/>
  <c r="CE8" i="7"/>
  <c r="CB8" i="7"/>
  <c r="BX8" i="7"/>
  <c r="BW8" i="7"/>
  <c r="BV8" i="7"/>
  <c r="BO8" i="7"/>
  <c r="BN8" i="7"/>
  <c r="BM8" i="7"/>
  <c r="BF8" i="7"/>
  <c r="BE8" i="7"/>
  <c r="BD8" i="7"/>
  <c r="BA8" i="7"/>
  <c r="AZ8" i="7"/>
  <c r="AX8" i="7"/>
  <c r="AW8" i="7"/>
  <c r="AN8" i="7"/>
  <c r="AM8" i="7"/>
  <c r="AK8" i="7"/>
  <c r="AI8" i="7"/>
  <c r="AF8" i="7"/>
  <c r="AA8" i="7"/>
  <c r="Z8" i="7"/>
  <c r="Y8" i="7"/>
  <c r="X8" i="7"/>
  <c r="Q8" i="7"/>
  <c r="P8" i="7"/>
  <c r="M8" i="7"/>
  <c r="L8" i="7"/>
  <c r="J8" i="7"/>
  <c r="H8" i="7"/>
  <c r="E8" i="7"/>
  <c r="D8" i="7"/>
  <c r="C8" i="7"/>
  <c r="EK7" i="7"/>
  <c r="EH7" i="7"/>
  <c r="EF7" i="7"/>
  <c r="EA7" i="7"/>
  <c r="DV7" i="7"/>
  <c r="DU7" i="7"/>
  <c r="DT7" i="7"/>
  <c r="DR7" i="7"/>
  <c r="DQ7" i="7"/>
  <c r="DP7" i="7"/>
  <c r="DO7" i="7"/>
  <c r="DN7" i="7"/>
  <c r="CX7" i="7"/>
  <c r="CV7" i="7"/>
  <c r="CR7" i="7"/>
  <c r="CN7" i="7"/>
  <c r="CK7" i="7"/>
  <c r="CI7" i="7"/>
  <c r="CH7" i="7"/>
  <c r="CF7" i="7"/>
  <c r="CE7" i="7"/>
  <c r="BY7" i="7"/>
  <c r="BW7" i="7"/>
  <c r="BV7" i="7"/>
  <c r="BU7" i="7"/>
  <c r="BO7" i="7"/>
  <c r="BM7" i="7"/>
  <c r="BI7" i="7"/>
  <c r="BF7" i="7"/>
  <c r="BD7" i="7"/>
  <c r="AZ7" i="7"/>
  <c r="AS7" i="7"/>
  <c r="AQ7" i="7"/>
  <c r="AN7" i="7"/>
  <c r="AM7" i="7"/>
  <c r="AJ7" i="7"/>
  <c r="AI7" i="7"/>
  <c r="AF7" i="7"/>
  <c r="AE7" i="7"/>
  <c r="AD7" i="7"/>
  <c r="AC7" i="7"/>
  <c r="AB7" i="7"/>
  <c r="X7" i="7"/>
  <c r="N7" i="7"/>
  <c r="M7" i="7"/>
  <c r="L7" i="7"/>
  <c r="K7" i="7"/>
  <c r="J7" i="7"/>
  <c r="H7" i="7"/>
  <c r="F7" i="7"/>
  <c r="D7" i="7"/>
  <c r="C7" i="7"/>
  <c r="EL6" i="7" a="1"/>
  <c r="EL6" i="7"/>
  <c r="EK6" i="7" a="1"/>
  <c r="EK6" i="7"/>
  <c r="EJ6" i="7" a="1"/>
  <c r="EJ6" i="7" s="1"/>
  <c r="EI6" i="7" a="1"/>
  <c r="EI6" i="7"/>
  <c r="EI7" i="7" s="1"/>
  <c r="EH6" i="7" a="1"/>
  <c r="EH6" i="7" s="1"/>
  <c r="EG6" i="7" a="1"/>
  <c r="EG6" i="7" s="1"/>
  <c r="EG7" i="7" s="1"/>
  <c r="EF6" i="7" a="1"/>
  <c r="EF6" i="7"/>
  <c r="EE6" i="7" a="1"/>
  <c r="EE6" i="7"/>
  <c r="EE8" i="7" s="1"/>
  <c r="ED6" i="7" a="1"/>
  <c r="ED6" i="7" s="1"/>
  <c r="ED7" i="7" s="1"/>
  <c r="EC6" i="7" a="1"/>
  <c r="EC6" i="7" s="1"/>
  <c r="EC7" i="7" s="1"/>
  <c r="EB6" i="7" a="1"/>
  <c r="EB6" i="7" s="1"/>
  <c r="EB7" i="7" s="1"/>
  <c r="EA6" i="7" a="1"/>
  <c r="EA6" i="7"/>
  <c r="DZ6" i="7" a="1"/>
  <c r="DZ6" i="7"/>
  <c r="DZ7" i="7" s="1"/>
  <c r="DY6" i="7" a="1"/>
  <c r="DY6" i="7" s="1"/>
  <c r="DX6" i="7" a="1"/>
  <c r="DX6" i="7" s="1"/>
  <c r="DX7" i="7" s="1"/>
  <c r="DW6" i="7" a="1"/>
  <c r="DW6" i="7"/>
  <c r="DW7" i="7" s="1"/>
  <c r="DV6" i="7" a="1"/>
  <c r="DV6" i="7" s="1"/>
  <c r="DV8" i="7" s="1"/>
  <c r="DU6" i="7" a="1"/>
  <c r="DU6" i="7"/>
  <c r="DU8" i="7" s="1"/>
  <c r="DT6" i="7" a="1"/>
  <c r="DT6" i="7"/>
  <c r="DS6" i="7" a="1"/>
  <c r="DS6" i="7"/>
  <c r="DS7" i="7" s="1"/>
  <c r="DR6" i="7" a="1"/>
  <c r="DR6" i="7" s="1"/>
  <c r="DR8" i="7" s="1"/>
  <c r="DQ6" i="7" a="1"/>
  <c r="DQ6" i="7"/>
  <c r="DQ8" i="7" s="1"/>
  <c r="DP6" i="7" a="1"/>
  <c r="DP6" i="7"/>
  <c r="DP8" i="7" s="1"/>
  <c r="DO6" i="7" a="1"/>
  <c r="DO6" i="7" s="1"/>
  <c r="DO8" i="7" s="1"/>
  <c r="DN6" i="7" a="1"/>
  <c r="DN6" i="7" s="1"/>
  <c r="DM6" i="7" a="1"/>
  <c r="DM6" i="7"/>
  <c r="DM8" i="7" s="1"/>
  <c r="DL6" i="7" a="1"/>
  <c r="DL6" i="7"/>
  <c r="DL8" i="7" s="1"/>
  <c r="DK6" i="7" a="1"/>
  <c r="DK6" i="7"/>
  <c r="DK7" i="7" s="1"/>
  <c r="DJ6" i="7" a="1"/>
  <c r="DJ6" i="7" s="1"/>
  <c r="DI6" i="7" a="1"/>
  <c r="DI6" i="7"/>
  <c r="DI8" i="7" s="1"/>
  <c r="DH6" i="7" a="1"/>
  <c r="DH6" i="7"/>
  <c r="DH8" i="7" s="1"/>
  <c r="DG6" i="7" a="1"/>
  <c r="DG6" i="7" s="1"/>
  <c r="DF6" i="7" a="1"/>
  <c r="DF6" i="7"/>
  <c r="DF7" i="7" s="1"/>
  <c r="DE6" i="7" a="1"/>
  <c r="DE6" i="7"/>
  <c r="DE7" i="7" s="1"/>
  <c r="DD6" i="7" a="1"/>
  <c r="DD6" i="7" s="1"/>
  <c r="DD7" i="7" s="1"/>
  <c r="DC6" i="7" a="1"/>
  <c r="DC6" i="7" s="1"/>
  <c r="DB6" i="7" a="1"/>
  <c r="DB6" i="7" s="1"/>
  <c r="DA6" i="7" a="1"/>
  <c r="DA6" i="7"/>
  <c r="CZ6" i="7" a="1"/>
  <c r="CZ6" i="7"/>
  <c r="CZ7" i="7" s="1"/>
  <c r="CY6" i="7" a="1"/>
  <c r="CY6" i="7" s="1"/>
  <c r="CY7" i="7" s="1"/>
  <c r="CX6" i="7" a="1"/>
  <c r="CX6" i="7" s="1"/>
  <c r="CW6" i="7" a="1"/>
  <c r="CW6" i="7" s="1"/>
  <c r="CV6" i="7" a="1"/>
  <c r="CV6" i="7" s="1"/>
  <c r="CV8" i="7" s="1"/>
  <c r="CU6" i="7" a="1"/>
  <c r="CU6" i="7"/>
  <c r="CT6" i="7" a="1"/>
  <c r="CT6" i="7" s="1"/>
  <c r="CS6" i="7" a="1"/>
  <c r="CS6" i="7"/>
  <c r="CS7" i="7" s="1"/>
  <c r="CR6" i="7" a="1"/>
  <c r="CR6" i="7" s="1"/>
  <c r="CQ6" i="7" a="1"/>
  <c r="CQ6" i="7"/>
  <c r="CQ8" i="7" s="1"/>
  <c r="CP6" i="7" a="1"/>
  <c r="CP6" i="7"/>
  <c r="CP7" i="7" s="1"/>
  <c r="CO6" i="7" a="1"/>
  <c r="CO6" i="7"/>
  <c r="CO7" i="7" s="1"/>
  <c r="CN6" i="7" a="1"/>
  <c r="CN6" i="7"/>
  <c r="CN8" i="7" s="1"/>
  <c r="CM6" i="7" a="1"/>
  <c r="CM6" i="7"/>
  <c r="CM8" i="7" s="1"/>
  <c r="CL6" i="7" a="1"/>
  <c r="CL6" i="7" s="1"/>
  <c r="CL7" i="7" s="1"/>
  <c r="CK6" i="7" a="1"/>
  <c r="CK6" i="7" s="1"/>
  <c r="CJ6" i="7" a="1"/>
  <c r="CJ6" i="7"/>
  <c r="CJ7" i="7" s="1"/>
  <c r="CI6" i="7" a="1"/>
  <c r="CI6" i="7"/>
  <c r="CI8" i="7" s="1"/>
  <c r="CH6" i="7" a="1"/>
  <c r="CH6" i="7"/>
  <c r="CG6" i="7" a="1"/>
  <c r="CG6" i="7" s="1"/>
  <c r="CF6" i="7" a="1"/>
  <c r="CF6" i="7" s="1"/>
  <c r="CF8" i="7" s="1"/>
  <c r="CE6" i="7" a="1"/>
  <c r="CE6" i="7"/>
  <c r="CD6" i="7" a="1"/>
  <c r="CD6" i="7"/>
  <c r="CD8" i="7" s="1"/>
  <c r="CC6" i="7" a="1"/>
  <c r="CC6" i="7"/>
  <c r="CB6" i="7" a="1"/>
  <c r="CB6" i="7" s="1"/>
  <c r="CB7" i="7" s="1"/>
  <c r="CA6" i="7" a="1"/>
  <c r="CA6" i="7"/>
  <c r="BZ6" i="7" a="1"/>
  <c r="BZ6" i="7" s="1"/>
  <c r="BY6" i="7" a="1"/>
  <c r="BY6" i="7"/>
  <c r="BY8" i="7" s="1"/>
  <c r="BX6" i="7" a="1"/>
  <c r="BX6" i="7"/>
  <c r="BX7" i="7" s="1"/>
  <c r="BW6" i="7" a="1"/>
  <c r="BW6" i="7"/>
  <c r="BV6" i="7" a="1"/>
  <c r="BV6" i="7" s="1"/>
  <c r="BU6" i="7" a="1"/>
  <c r="BU6" i="7" s="1"/>
  <c r="BU8" i="7" s="1"/>
  <c r="BT6" i="7" a="1"/>
  <c r="BT6" i="7"/>
  <c r="BS6" i="7" a="1"/>
  <c r="BS6" i="7"/>
  <c r="BR6" i="7" a="1"/>
  <c r="BR6" i="7"/>
  <c r="BR7" i="7" s="1"/>
  <c r="BQ6" i="7" a="1"/>
  <c r="BQ6" i="7"/>
  <c r="BP6" i="7" a="1"/>
  <c r="BP6" i="7"/>
  <c r="BP7" i="7" s="1"/>
  <c r="BO6" i="7" a="1"/>
  <c r="BO6" i="7" s="1"/>
  <c r="BN6" i="7" a="1"/>
  <c r="BN6" i="7"/>
  <c r="BN7" i="7" s="1"/>
  <c r="BM6" i="7" a="1"/>
  <c r="BM6" i="7"/>
  <c r="BL6" i="7" a="1"/>
  <c r="BL6" i="7"/>
  <c r="BK6" i="7" a="1"/>
  <c r="BK6" i="7" s="1"/>
  <c r="BJ6" i="7" a="1"/>
  <c r="BJ6" i="7"/>
  <c r="BJ8" i="7" s="1"/>
  <c r="BI6" i="7" a="1"/>
  <c r="BI6" i="7" s="1"/>
  <c r="BI8" i="7" s="1"/>
  <c r="BH6" i="7" a="1"/>
  <c r="BH6" i="7" s="1"/>
  <c r="BH8" i="7" s="1"/>
  <c r="BG6" i="7" a="1"/>
  <c r="BG6" i="7"/>
  <c r="BF6" i="7" a="1"/>
  <c r="BF6" i="7"/>
  <c r="BE6" i="7" a="1"/>
  <c r="BE6" i="7"/>
  <c r="BE7" i="7" s="1"/>
  <c r="BD6" i="7" a="1"/>
  <c r="BD6" i="7" s="1"/>
  <c r="BC6" i="7" a="1"/>
  <c r="BC6" i="7"/>
  <c r="BC8" i="7" s="1"/>
  <c r="BB6" i="7" a="1"/>
  <c r="BB6" i="7" s="1"/>
  <c r="BB7" i="7" s="1"/>
  <c r="BA6" i="7" a="1"/>
  <c r="BA6" i="7"/>
  <c r="BA7" i="7" s="1"/>
  <c r="AZ6" i="7" a="1"/>
  <c r="AZ6" i="7" s="1"/>
  <c r="AY6" i="7" a="1"/>
  <c r="AY6" i="7"/>
  <c r="AY8" i="7" s="1"/>
  <c r="AX6" i="7" a="1"/>
  <c r="AX6" i="7"/>
  <c r="AX7" i="7" s="1"/>
  <c r="AW6" i="7" a="1"/>
  <c r="AW6" i="7" s="1"/>
  <c r="AW7" i="7" s="1"/>
  <c r="AV6" i="7" a="1"/>
  <c r="AV6" i="7"/>
  <c r="AU6" i="7" a="1"/>
  <c r="AU6" i="7"/>
  <c r="AT6" i="7" a="1"/>
  <c r="AT6" i="7" s="1"/>
  <c r="AT8" i="7" s="1"/>
  <c r="AS6" i="7" a="1"/>
  <c r="AS6" i="7" s="1"/>
  <c r="AS8" i="7" s="1"/>
  <c r="AR6" i="7" a="1"/>
  <c r="AR6" i="7"/>
  <c r="AR7" i="7" s="1"/>
  <c r="AQ6" i="7" a="1"/>
  <c r="AQ6" i="7"/>
  <c r="AQ8" i="7" s="1"/>
  <c r="AP6" i="7" a="1"/>
  <c r="AP6" i="7"/>
  <c r="AO6" i="7" a="1"/>
  <c r="AO6" i="7" s="1"/>
  <c r="AN6" i="7" a="1"/>
  <c r="AN6" i="7"/>
  <c r="AM6" i="7" a="1"/>
  <c r="AM6" i="7"/>
  <c r="AL6" i="7" a="1"/>
  <c r="AL6" i="7"/>
  <c r="AK6" i="7" a="1"/>
  <c r="AK6" i="7" s="1"/>
  <c r="AK7" i="7" s="1"/>
  <c r="AJ6" i="7" a="1"/>
  <c r="AJ6" i="7"/>
  <c r="AJ8" i="7" s="1"/>
  <c r="AI6" i="7" a="1"/>
  <c r="AI6" i="7" s="1"/>
  <c r="AH6" i="7" a="1"/>
  <c r="AH6" i="7" s="1"/>
  <c r="AG6" i="7" a="1"/>
  <c r="AG6" i="7"/>
  <c r="AF6" i="7" a="1"/>
  <c r="AF6" i="7"/>
  <c r="AE6" i="7" a="1"/>
  <c r="AE6" i="7"/>
  <c r="AE8" i="7" s="1"/>
  <c r="AD6" i="7" a="1"/>
  <c r="AD6" i="7" s="1"/>
  <c r="AD8" i="7" s="1"/>
  <c r="AC6" i="7" a="1"/>
  <c r="AC6" i="7" s="1"/>
  <c r="AC8" i="7" s="1"/>
  <c r="AB6" i="7" a="1"/>
  <c r="AB6" i="7"/>
  <c r="AB8" i="7" s="1"/>
  <c r="AA6" i="7" a="1"/>
  <c r="AA6" i="7"/>
  <c r="AA7" i="7" s="1"/>
  <c r="Z6" i="7" a="1"/>
  <c r="Z6" i="7"/>
  <c r="Z7" i="7" s="1"/>
  <c r="Y6" i="7" a="1"/>
  <c r="Y6" i="7" s="1"/>
  <c r="Y7" i="7" s="1"/>
  <c r="X6" i="7" a="1"/>
  <c r="X6" i="7"/>
  <c r="W6" i="7" a="1"/>
  <c r="W6" i="7" s="1"/>
  <c r="W8" i="7" s="1"/>
  <c r="V6" i="7" a="1"/>
  <c r="V6" i="7"/>
  <c r="U6" i="7" a="1"/>
  <c r="U6" i="7"/>
  <c r="T6" i="7" a="1"/>
  <c r="T6" i="7"/>
  <c r="S6" i="7" a="1"/>
  <c r="S6" i="7" s="1"/>
  <c r="R6" i="7" a="1"/>
  <c r="R6" i="7"/>
  <c r="R8" i="7" s="1"/>
  <c r="Q6" i="7" a="1"/>
  <c r="Q6" i="7" s="1"/>
  <c r="Q7" i="7" s="1"/>
  <c r="P6" i="7" a="1"/>
  <c r="P6" i="7"/>
  <c r="P7" i="7" s="1"/>
  <c r="O6" i="7" a="1"/>
  <c r="O6" i="7"/>
  <c r="O7" i="7" s="1"/>
  <c r="N6" i="7" a="1"/>
  <c r="N6" i="7"/>
  <c r="N8" i="7" s="1"/>
  <c r="M6" i="7" a="1"/>
  <c r="M6" i="7" s="1"/>
  <c r="L6" i="7" a="1"/>
  <c r="L6" i="7" s="1"/>
  <c r="K6" i="7" a="1"/>
  <c r="K6" i="7"/>
  <c r="K8" i="7" s="1"/>
  <c r="J6" i="7" a="1"/>
  <c r="J6" i="7"/>
  <c r="I6" i="7" a="1"/>
  <c r="I6" i="7"/>
  <c r="H6" i="7" a="1"/>
  <c r="H6" i="7" s="1"/>
  <c r="G6" i="7" a="1"/>
  <c r="G6" i="7" s="1"/>
  <c r="F6" i="7" a="1"/>
  <c r="F6" i="7" s="1"/>
  <c r="F8" i="7" s="1"/>
  <c r="E6" i="7" a="1"/>
  <c r="E6" i="7" s="1"/>
  <c r="E7" i="7" s="1"/>
  <c r="D6" i="7" a="1"/>
  <c r="D6" i="7"/>
  <c r="C6" i="7" a="1"/>
  <c r="C6" i="7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5" i="4"/>
  <c r="F24" i="4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E24" i="4"/>
  <c r="D24" i="4"/>
  <c r="B24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B23" i="4"/>
  <c r="O22" i="4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B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B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B18" i="4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E17" i="4"/>
  <c r="D17" i="4"/>
  <c r="B17" i="4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D16" i="4"/>
  <c r="B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B15" i="4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B14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B13" i="4"/>
  <c r="F12" i="4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12" i="4" s="1"/>
  <c r="B12" i="4"/>
  <c r="EK8" i="4"/>
  <c r="EJ8" i="4"/>
  <c r="DY8" i="4"/>
  <c r="DX8" i="4"/>
  <c r="DN8" i="4"/>
  <c r="DK8" i="4"/>
  <c r="DJ8" i="4"/>
  <c r="DI8" i="4"/>
  <c r="DD8" i="4"/>
  <c r="DB8" i="4"/>
  <c r="DA8" i="4"/>
  <c r="CV8" i="4"/>
  <c r="CR8" i="4"/>
  <c r="CN8" i="4"/>
  <c r="CM8" i="4"/>
  <c r="CJ8" i="4"/>
  <c r="CB8" i="4"/>
  <c r="CA8" i="4"/>
  <c r="BZ8" i="4"/>
  <c r="BX8" i="4"/>
  <c r="BW8" i="4"/>
  <c r="BV8" i="4"/>
  <c r="BO8" i="4"/>
  <c r="BN8" i="4"/>
  <c r="BM8" i="4"/>
  <c r="BK8" i="4"/>
  <c r="BJ8" i="4"/>
  <c r="BD8" i="4"/>
  <c r="BC8" i="4"/>
  <c r="AY8" i="4"/>
  <c r="AR8" i="4"/>
  <c r="AO8" i="4"/>
  <c r="AK8" i="4"/>
  <c r="AF8" i="4"/>
  <c r="AD8" i="4"/>
  <c r="AC8" i="4"/>
  <c r="AB8" i="4"/>
  <c r="Z8" i="4"/>
  <c r="Y8" i="4"/>
  <c r="V8" i="4"/>
  <c r="U8" i="4"/>
  <c r="T8" i="4"/>
  <c r="S8" i="4"/>
  <c r="R8" i="4"/>
  <c r="N8" i="4"/>
  <c r="G8" i="4"/>
  <c r="E8" i="4"/>
  <c r="C8" i="4"/>
  <c r="EF7" i="4"/>
  <c r="EE7" i="4"/>
  <c r="DY7" i="4"/>
  <c r="DX7" i="4"/>
  <c r="DW7" i="4"/>
  <c r="DV7" i="4"/>
  <c r="DR7" i="4"/>
  <c r="DN7" i="4"/>
  <c r="DL7" i="4"/>
  <c r="DH7" i="4"/>
  <c r="DC7" i="4"/>
  <c r="DA7" i="4"/>
  <c r="CZ7" i="4"/>
  <c r="CY7" i="4"/>
  <c r="CX7" i="4"/>
  <c r="CW7" i="4"/>
  <c r="CR7" i="4"/>
  <c r="CN7" i="4"/>
  <c r="CM7" i="4"/>
  <c r="CG7" i="4"/>
  <c r="CE7" i="4"/>
  <c r="CD7" i="4"/>
  <c r="BZ7" i="4"/>
  <c r="BP7" i="4"/>
  <c r="BO7" i="4"/>
  <c r="BN7" i="4"/>
  <c r="BL7" i="4"/>
  <c r="BD7" i="4"/>
  <c r="BC7" i="4"/>
  <c r="BA7" i="4"/>
  <c r="AZ7" i="4"/>
  <c r="AY7" i="4"/>
  <c r="AR7" i="4"/>
  <c r="AQ7" i="4"/>
  <c r="AP7" i="4"/>
  <c r="AO7" i="4"/>
  <c r="AL7" i="4"/>
  <c r="AK7" i="4"/>
  <c r="AE7" i="4"/>
  <c r="AD7" i="4"/>
  <c r="AB7" i="4"/>
  <c r="T7" i="4"/>
  <c r="S7" i="4"/>
  <c r="R7" i="4"/>
  <c r="H7" i="4"/>
  <c r="G7" i="4"/>
  <c r="F7" i="4"/>
  <c r="E7" i="4"/>
  <c r="D7" i="4"/>
  <c r="C7" i="4"/>
  <c r="EL6" i="4" a="1"/>
  <c r="EL6" i="4"/>
  <c r="EK6" i="4" a="1"/>
  <c r="EK6" i="4" s="1"/>
  <c r="EK7" i="4" s="1"/>
  <c r="EJ6" i="4" a="1"/>
  <c r="EJ6" i="4"/>
  <c r="EJ7" i="4" s="1"/>
  <c r="EI6" i="4" a="1"/>
  <c r="EI6" i="4"/>
  <c r="EI8" i="4" s="1"/>
  <c r="EH6" i="4" a="1"/>
  <c r="EH6" i="4"/>
  <c r="EG6" i="4" a="1"/>
  <c r="EG6" i="4" s="1"/>
  <c r="EG8" i="4" s="1"/>
  <c r="EF6" i="4" a="1"/>
  <c r="EF6" i="4"/>
  <c r="EF8" i="4" s="1"/>
  <c r="EE6" i="4" a="1"/>
  <c r="EE6" i="4"/>
  <c r="EE8" i="4" s="1"/>
  <c r="ED6" i="4" a="1"/>
  <c r="ED6" i="4"/>
  <c r="ED8" i="4" s="1"/>
  <c r="EC6" i="4" a="1"/>
  <c r="EC6" i="4"/>
  <c r="EC8" i="4" s="1"/>
  <c r="EB6" i="4" a="1"/>
  <c r="EB6" i="4"/>
  <c r="EA6" i="4" a="1"/>
  <c r="EA6" i="4"/>
  <c r="EA8" i="4" s="1"/>
  <c r="DZ6" i="4" a="1"/>
  <c r="DZ6" i="4" s="1"/>
  <c r="DZ8" i="4" s="1"/>
  <c r="DY6" i="4" a="1"/>
  <c r="DY6" i="4"/>
  <c r="DX6" i="4" a="1"/>
  <c r="DX6" i="4"/>
  <c r="DW6" i="4" a="1"/>
  <c r="DW6" i="4"/>
  <c r="DW8" i="4" s="1"/>
  <c r="DV6" i="4" a="1"/>
  <c r="DV6" i="4" s="1"/>
  <c r="DV8" i="4" s="1"/>
  <c r="DU6" i="4" a="1"/>
  <c r="DU6" i="4"/>
  <c r="DU7" i="4" s="1"/>
  <c r="DT6" i="4" a="1"/>
  <c r="DT6" i="4"/>
  <c r="DT7" i="4" s="1"/>
  <c r="DS6" i="4" a="1"/>
  <c r="DS6" i="4"/>
  <c r="DR6" i="4" a="1"/>
  <c r="DR6" i="4"/>
  <c r="DR8" i="4" s="1"/>
  <c r="DQ6" i="4" a="1"/>
  <c r="DQ6" i="4"/>
  <c r="DQ7" i="4" s="1"/>
  <c r="DP6" i="4" a="1"/>
  <c r="DP6" i="4"/>
  <c r="DP7" i="4" s="1"/>
  <c r="DO6" i="4" a="1"/>
  <c r="DO6" i="4" s="1"/>
  <c r="DO7" i="4" s="1"/>
  <c r="DN6" i="4" a="1"/>
  <c r="DN6" i="4"/>
  <c r="DM6" i="4" a="1"/>
  <c r="DM6" i="4" s="1"/>
  <c r="DL6" i="4" a="1"/>
  <c r="DL6" i="4"/>
  <c r="DL8" i="4" s="1"/>
  <c r="DK6" i="4" a="1"/>
  <c r="DK6" i="4" s="1"/>
  <c r="DK7" i="4" s="1"/>
  <c r="DJ6" i="4" a="1"/>
  <c r="DJ6" i="4"/>
  <c r="DJ7" i="4" s="1"/>
  <c r="DI6" i="4" a="1"/>
  <c r="DI6" i="4"/>
  <c r="DI7" i="4" s="1"/>
  <c r="DH6" i="4" a="1"/>
  <c r="DH6" i="4"/>
  <c r="DH8" i="4" s="1"/>
  <c r="DG6" i="4" a="1"/>
  <c r="DG6" i="4"/>
  <c r="DG8" i="4" s="1"/>
  <c r="DF6" i="4" a="1"/>
  <c r="DF6" i="4"/>
  <c r="DE6" i="4" a="1"/>
  <c r="DE6" i="4"/>
  <c r="DD6" i="4" a="1"/>
  <c r="DD6" i="4" s="1"/>
  <c r="DD7" i="4" s="1"/>
  <c r="DC6" i="4" a="1"/>
  <c r="DC6" i="4"/>
  <c r="DC8" i="4" s="1"/>
  <c r="DB6" i="4" a="1"/>
  <c r="DB6" i="4"/>
  <c r="DB7" i="4" s="1"/>
  <c r="DA6" i="4" a="1"/>
  <c r="DA6" i="4"/>
  <c r="CZ6" i="4" a="1"/>
  <c r="CZ6" i="4" s="1"/>
  <c r="CZ8" i="4" s="1"/>
  <c r="CY6" i="4" a="1"/>
  <c r="CY6" i="4"/>
  <c r="CY8" i="4" s="1"/>
  <c r="CX6" i="4" a="1"/>
  <c r="CX6" i="4"/>
  <c r="CX8" i="4" s="1"/>
  <c r="CW6" i="4" a="1"/>
  <c r="CW6" i="4"/>
  <c r="CW8" i="4" s="1"/>
  <c r="CV6" i="4" a="1"/>
  <c r="CV6" i="4"/>
  <c r="CV7" i="4" s="1"/>
  <c r="CU6" i="4" a="1"/>
  <c r="CU6" i="4"/>
  <c r="CT6" i="4" a="1"/>
  <c r="CT6" i="4"/>
  <c r="CT7" i="4" s="1"/>
  <c r="CS6" i="4" a="1"/>
  <c r="CS6" i="4" s="1"/>
  <c r="CS7" i="4" s="1"/>
  <c r="CR6" i="4" a="1"/>
  <c r="CR6" i="4"/>
  <c r="CQ6" i="4" a="1"/>
  <c r="CQ6" i="4"/>
  <c r="CQ8" i="4" s="1"/>
  <c r="CP6" i="4" a="1"/>
  <c r="CP6" i="4"/>
  <c r="CO6" i="4" a="1"/>
  <c r="CO6" i="4" s="1"/>
  <c r="CO8" i="4" s="1"/>
  <c r="CN6" i="4" a="1"/>
  <c r="CN6" i="4"/>
  <c r="CM6" i="4" a="1"/>
  <c r="CM6" i="4"/>
  <c r="CL6" i="4" a="1"/>
  <c r="CL6" i="4"/>
  <c r="CK6" i="4" a="1"/>
  <c r="CK6" i="4"/>
  <c r="CK7" i="4" s="1"/>
  <c r="CJ6" i="4" a="1"/>
  <c r="CJ6" i="4"/>
  <c r="CJ7" i="4" s="1"/>
  <c r="CI6" i="4" a="1"/>
  <c r="CI6" i="4"/>
  <c r="CI7" i="4" s="1"/>
  <c r="CH6" i="4" a="1"/>
  <c r="CH6" i="4" s="1"/>
  <c r="CG6" i="4" a="1"/>
  <c r="CG6" i="4"/>
  <c r="CG8" i="4" s="1"/>
  <c r="CF6" i="4" a="1"/>
  <c r="CF6" i="4"/>
  <c r="CE6" i="4" a="1"/>
  <c r="CE6" i="4"/>
  <c r="CE8" i="4" s="1"/>
  <c r="CD6" i="4" a="1"/>
  <c r="CD6" i="4" s="1"/>
  <c r="CD8" i="4" s="1"/>
  <c r="CC6" i="4" a="1"/>
  <c r="CC6" i="4"/>
  <c r="CC7" i="4" s="1"/>
  <c r="CB6" i="4" a="1"/>
  <c r="CB6" i="4"/>
  <c r="CB7" i="4" s="1"/>
  <c r="CA6" i="4" a="1"/>
  <c r="CA6" i="4"/>
  <c r="CA7" i="4" s="1"/>
  <c r="BZ6" i="4" a="1"/>
  <c r="BZ6" i="4"/>
  <c r="BY6" i="4" a="1"/>
  <c r="BY6" i="4"/>
  <c r="BY8" i="4" s="1"/>
  <c r="BX6" i="4" a="1"/>
  <c r="BX6" i="4"/>
  <c r="BX7" i="4" s="1"/>
  <c r="BW6" i="4" a="1"/>
  <c r="BW6" i="4" s="1"/>
  <c r="BW7" i="4" s="1"/>
  <c r="BV6" i="4" a="1"/>
  <c r="BV6" i="4"/>
  <c r="BV7" i="4" s="1"/>
  <c r="BU6" i="4" a="1"/>
  <c r="BU6" i="4"/>
  <c r="BT6" i="4" a="1"/>
  <c r="BT6" i="4"/>
  <c r="BS6" i="4" a="1"/>
  <c r="BS6" i="4" s="1"/>
  <c r="BR6" i="4" a="1"/>
  <c r="BR6" i="4"/>
  <c r="BR8" i="4" s="1"/>
  <c r="BQ6" i="4" a="1"/>
  <c r="BQ6" i="4"/>
  <c r="BQ8" i="4" s="1"/>
  <c r="BP6" i="4" a="1"/>
  <c r="BP6" i="4"/>
  <c r="BP8" i="4" s="1"/>
  <c r="BO6" i="4" a="1"/>
  <c r="BO6" i="4"/>
  <c r="BN6" i="4" a="1"/>
  <c r="BN6" i="4"/>
  <c r="BM6" i="4" a="1"/>
  <c r="BM6" i="4"/>
  <c r="BM7" i="4" s="1"/>
  <c r="BL6" i="4" a="1"/>
  <c r="BL6" i="4" s="1"/>
  <c r="BL8" i="4" s="1"/>
  <c r="BK6" i="4" a="1"/>
  <c r="BK6" i="4"/>
  <c r="BK7" i="4" s="1"/>
  <c r="BJ6" i="4" a="1"/>
  <c r="BJ6" i="4"/>
  <c r="BJ7" i="4" s="1"/>
  <c r="BI6" i="4" a="1"/>
  <c r="BI6" i="4"/>
  <c r="BI8" i="4" s="1"/>
  <c r="BH6" i="4" a="1"/>
  <c r="BH6" i="4" s="1"/>
  <c r="BH8" i="4" s="1"/>
  <c r="BG6" i="4" a="1"/>
  <c r="BG6" i="4"/>
  <c r="BF6" i="4" a="1"/>
  <c r="BF6" i="4"/>
  <c r="BE6" i="4" a="1"/>
  <c r="BE6" i="4"/>
  <c r="BE7" i="4" s="1"/>
  <c r="BD6" i="4" a="1"/>
  <c r="BD6" i="4"/>
  <c r="BC6" i="4" a="1"/>
  <c r="BC6" i="4"/>
  <c r="BB6" i="4" a="1"/>
  <c r="BB6" i="4"/>
  <c r="BB7" i="4" s="1"/>
  <c r="BA6" i="4" a="1"/>
  <c r="BA6" i="4" s="1"/>
  <c r="BA8" i="4" s="1"/>
  <c r="AZ6" i="4" a="1"/>
  <c r="AZ6" i="4"/>
  <c r="AZ8" i="4" s="1"/>
  <c r="AY6" i="4" a="1"/>
  <c r="AY6" i="4"/>
  <c r="AX6" i="4" a="1"/>
  <c r="AX6" i="4"/>
  <c r="AX7" i="4" s="1"/>
  <c r="AW6" i="4" a="1"/>
  <c r="AW6" i="4" s="1"/>
  <c r="AW7" i="4" s="1"/>
  <c r="AV6" i="4" a="1"/>
  <c r="AV6" i="4"/>
  <c r="AV7" i="4" s="1"/>
  <c r="AU6" i="4" a="1"/>
  <c r="AU6" i="4"/>
  <c r="AT6" i="4" a="1"/>
  <c r="AT6" i="4"/>
  <c r="AS6" i="4" a="1"/>
  <c r="AS6" i="4"/>
  <c r="AS7" i="4" s="1"/>
  <c r="AR6" i="4" a="1"/>
  <c r="AR6" i="4"/>
  <c r="AQ6" i="4" a="1"/>
  <c r="AQ6" i="4"/>
  <c r="AQ8" i="4" s="1"/>
  <c r="AP6" i="4" a="1"/>
  <c r="AP6" i="4" s="1"/>
  <c r="AP8" i="4" s="1"/>
  <c r="AO6" i="4" a="1"/>
  <c r="AO6" i="4"/>
  <c r="AN6" i="4" a="1"/>
  <c r="AN6" i="4" s="1"/>
  <c r="AM6" i="4" a="1"/>
  <c r="AM6" i="4"/>
  <c r="AL6" i="4" a="1"/>
  <c r="AL6" i="4" s="1"/>
  <c r="AL8" i="4" s="1"/>
  <c r="AK6" i="4" a="1"/>
  <c r="AK6" i="4"/>
  <c r="AJ6" i="4" a="1"/>
  <c r="AJ6" i="4"/>
  <c r="AJ7" i="4" s="1"/>
  <c r="AI6" i="4" a="1"/>
  <c r="AI6" i="4"/>
  <c r="AI8" i="4" s="1"/>
  <c r="AH6" i="4" a="1"/>
  <c r="AH6" i="4"/>
  <c r="AH8" i="4" s="1"/>
  <c r="AG6" i="4" a="1"/>
  <c r="AG6" i="4"/>
  <c r="AG8" i="4" s="1"/>
  <c r="AF6" i="4" a="1"/>
  <c r="AF6" i="4"/>
  <c r="AF7" i="4" s="1"/>
  <c r="AE6" i="4" a="1"/>
  <c r="AE6" i="4" s="1"/>
  <c r="AE8" i="4" s="1"/>
  <c r="AD6" i="4" a="1"/>
  <c r="AD6" i="4"/>
  <c r="AC6" i="4" a="1"/>
  <c r="AC6" i="4"/>
  <c r="AC7" i="4" s="1"/>
  <c r="AB6" i="4" a="1"/>
  <c r="AB6" i="4"/>
  <c r="AA6" i="4" a="1"/>
  <c r="AA6" i="4" s="1"/>
  <c r="AA8" i="4" s="1"/>
  <c r="Z6" i="4" a="1"/>
  <c r="Z6" i="4"/>
  <c r="Z7" i="4" s="1"/>
  <c r="Y6" i="4" a="1"/>
  <c r="Y6" i="4"/>
  <c r="Y7" i="4" s="1"/>
  <c r="X6" i="4" a="1"/>
  <c r="X6" i="4"/>
  <c r="W6" i="4" a="1"/>
  <c r="W6" i="4"/>
  <c r="V6" i="4" a="1"/>
  <c r="V6" i="4"/>
  <c r="V7" i="4" s="1"/>
  <c r="U6" i="4" a="1"/>
  <c r="U6" i="4"/>
  <c r="U7" i="4" s="1"/>
  <c r="T6" i="4" a="1"/>
  <c r="T6" i="4" s="1"/>
  <c r="S6" i="4" a="1"/>
  <c r="S6" i="4"/>
  <c r="R6" i="4" a="1"/>
  <c r="R6" i="4"/>
  <c r="Q6" i="4" a="1"/>
  <c r="Q6" i="4"/>
  <c r="Q7" i="4" s="1"/>
  <c r="P6" i="4" a="1"/>
  <c r="P6" i="4" s="1"/>
  <c r="P7" i="4" s="1"/>
  <c r="O6" i="4" a="1"/>
  <c r="O6" i="4"/>
  <c r="O8" i="4" s="1"/>
  <c r="N6" i="4" a="1"/>
  <c r="N6" i="4"/>
  <c r="N7" i="4" s="1"/>
  <c r="M6" i="4" a="1"/>
  <c r="M6" i="4"/>
  <c r="M8" i="4" s="1"/>
  <c r="L6" i="4" a="1"/>
  <c r="L6" i="4"/>
  <c r="L8" i="4" s="1"/>
  <c r="K6" i="4" a="1"/>
  <c r="K6" i="4"/>
  <c r="K8" i="4" s="1"/>
  <c r="J6" i="4" a="1"/>
  <c r="J6" i="4"/>
  <c r="I6" i="4" a="1"/>
  <c r="I6" i="4" s="1"/>
  <c r="I8" i="4" s="1"/>
  <c r="H6" i="4" a="1"/>
  <c r="H6" i="4"/>
  <c r="H8" i="4" s="1"/>
  <c r="G6" i="4" a="1"/>
  <c r="G6" i="4"/>
  <c r="F6" i="4" a="1"/>
  <c r="F6" i="4"/>
  <c r="F8" i="4" s="1"/>
  <c r="E6" i="4" a="1"/>
  <c r="E6" i="4" s="1"/>
  <c r="D6" i="4" a="1"/>
  <c r="D6" i="4"/>
  <c r="D8" i="4" s="1"/>
  <c r="C6" i="4" a="1"/>
  <c r="C6" i="4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EM24" i="3" s="1"/>
  <c r="EN24" i="3" s="1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EM23" i="3" s="1"/>
  <c r="EN23" i="3" s="1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EM22" i="3" s="1"/>
  <c r="EN22" i="3" s="1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EM21" i="3" s="1"/>
  <c r="EN21" i="3" s="1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EM19" i="3" s="1"/>
  <c r="EN19" i="3" s="1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EM17" i="3" s="1"/>
  <c r="EN17" i="3" s="1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EM16" i="3" s="1"/>
  <c r="EN16" i="3" s="1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EM15" i="3" s="1"/>
  <c r="EN15" i="3" s="1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L8" i="3"/>
  <c r="EK8" i="3"/>
  <c r="EI8" i="3"/>
  <c r="EH8" i="3"/>
  <c r="DZ8" i="3"/>
  <c r="DY8" i="3"/>
  <c r="DU8" i="3"/>
  <c r="DT8" i="3"/>
  <c r="DS8" i="3"/>
  <c r="DL8" i="3"/>
  <c r="DK8" i="3"/>
  <c r="DJ8" i="3"/>
  <c r="DG8" i="3"/>
  <c r="CY8" i="3"/>
  <c r="CX8" i="3"/>
  <c r="CW8" i="3"/>
  <c r="CU8" i="3"/>
  <c r="CT8" i="3"/>
  <c r="CM8" i="3"/>
  <c r="CL8" i="3"/>
  <c r="CK8" i="3"/>
  <c r="CI8" i="3"/>
  <c r="CH8" i="3"/>
  <c r="BZ8" i="3"/>
  <c r="BY8" i="3"/>
  <c r="BX8" i="3"/>
  <c r="BW8" i="3"/>
  <c r="BU8" i="3"/>
  <c r="BO8" i="3"/>
  <c r="BM8" i="3"/>
  <c r="BK8" i="3"/>
  <c r="BJ8" i="3"/>
  <c r="BI8" i="3"/>
  <c r="BG8" i="3"/>
  <c r="BF8" i="3"/>
  <c r="BE8" i="3"/>
  <c r="BD8" i="3"/>
  <c r="BC8" i="3"/>
  <c r="AT8" i="3"/>
  <c r="AS8" i="3"/>
  <c r="AQ8" i="3"/>
  <c r="AM8" i="3"/>
  <c r="AH8" i="3"/>
  <c r="AE8" i="3"/>
  <c r="AA8" i="3"/>
  <c r="S8" i="3"/>
  <c r="R8" i="3"/>
  <c r="Q8" i="3"/>
  <c r="L8" i="3"/>
  <c r="K8" i="3"/>
  <c r="J8" i="3"/>
  <c r="I8" i="3"/>
  <c r="G8" i="3"/>
  <c r="EM7" i="3"/>
  <c r="EL7" i="3"/>
  <c r="EJ7" i="3"/>
  <c r="DZ7" i="3"/>
  <c r="DX7" i="3"/>
  <c r="DV7" i="3"/>
  <c r="DU7" i="3"/>
  <c r="DT7" i="3"/>
  <c r="DS7" i="3"/>
  <c r="DR7" i="3"/>
  <c r="DQ7" i="3"/>
  <c r="DK7" i="3"/>
  <c r="DJ7" i="3"/>
  <c r="DH7" i="3"/>
  <c r="CY7" i="3"/>
  <c r="CX7" i="3"/>
  <c r="CU7" i="3"/>
  <c r="CT7" i="3"/>
  <c r="CL7" i="3"/>
  <c r="CK7" i="3"/>
  <c r="CJ7" i="3"/>
  <c r="CI7" i="3"/>
  <c r="CH7" i="3"/>
  <c r="CG7" i="3"/>
  <c r="BZ7" i="3"/>
  <c r="BY7" i="3"/>
  <c r="BX7" i="3"/>
  <c r="BW7" i="3"/>
  <c r="BT7" i="3"/>
  <c r="BS7" i="3"/>
  <c r="BM7" i="3"/>
  <c r="BL7" i="3"/>
  <c r="BK7" i="3"/>
  <c r="BH7" i="3"/>
  <c r="BC7" i="3"/>
  <c r="BA7" i="3"/>
  <c r="AZ7" i="3"/>
  <c r="AY7" i="3"/>
  <c r="AX7" i="3"/>
  <c r="AW7" i="3"/>
  <c r="AV7" i="3"/>
  <c r="AN7" i="3"/>
  <c r="AL7" i="3"/>
  <c r="AK7" i="3"/>
  <c r="AE7" i="3"/>
  <c r="W7" i="3"/>
  <c r="S7" i="3"/>
  <c r="O7" i="3"/>
  <c r="N7" i="3"/>
  <c r="M7" i="3"/>
  <c r="L7" i="3"/>
  <c r="J7" i="3"/>
  <c r="I7" i="3"/>
  <c r="H7" i="3"/>
  <c r="G7" i="3"/>
  <c r="F7" i="3"/>
  <c r="E7" i="3"/>
  <c r="D7" i="3"/>
  <c r="EM6" i="3" a="1"/>
  <c r="EM6" i="3" s="1"/>
  <c r="EL6" i="3" a="1"/>
  <c r="EL6" i="3"/>
  <c r="EK6" i="3" a="1"/>
  <c r="EK6" i="3"/>
  <c r="EK7" i="3" s="1"/>
  <c r="EJ6" i="3" a="1"/>
  <c r="EJ6" i="3" s="1"/>
  <c r="EJ8" i="3" s="1"/>
  <c r="EI6" i="3" a="1"/>
  <c r="EI6" i="3"/>
  <c r="EI7" i="3" s="1"/>
  <c r="EH6" i="3" a="1"/>
  <c r="EH6" i="3"/>
  <c r="EH7" i="3" s="1"/>
  <c r="EG6" i="3" a="1"/>
  <c r="EG6" i="3"/>
  <c r="EF6" i="3" a="1"/>
  <c r="EF6" i="3" s="1"/>
  <c r="EE6" i="3" a="1"/>
  <c r="EE6" i="3"/>
  <c r="ED6" i="3" a="1"/>
  <c r="ED6" i="3"/>
  <c r="EC6" i="3" a="1"/>
  <c r="EC6" i="3" s="1"/>
  <c r="EC8" i="3" s="1"/>
  <c r="EB6" i="3" a="1"/>
  <c r="EB6" i="3"/>
  <c r="EA6" i="3" a="1"/>
  <c r="EA6" i="3"/>
  <c r="DZ6" i="3" a="1"/>
  <c r="DZ6" i="3"/>
  <c r="DY6" i="3" a="1"/>
  <c r="DY6" i="3" s="1"/>
  <c r="DY7" i="3" s="1"/>
  <c r="DX6" i="3" a="1"/>
  <c r="DX6" i="3" s="1"/>
  <c r="DX8" i="3" s="1"/>
  <c r="DW6" i="3" a="1"/>
  <c r="DW6" i="3"/>
  <c r="DV6" i="3" a="1"/>
  <c r="DV6" i="3"/>
  <c r="DV8" i="3" s="1"/>
  <c r="DU6" i="3" a="1"/>
  <c r="DU6" i="3"/>
  <c r="DT6" i="3" a="1"/>
  <c r="DT6" i="3" s="1"/>
  <c r="DS6" i="3" a="1"/>
  <c r="DS6" i="3"/>
  <c r="DR6" i="3" a="1"/>
  <c r="DR6" i="3" s="1"/>
  <c r="DR8" i="3" s="1"/>
  <c r="DQ6" i="3" a="1"/>
  <c r="DQ6" i="3"/>
  <c r="DQ8" i="3" s="1"/>
  <c r="DP6" i="3" a="1"/>
  <c r="DP6" i="3"/>
  <c r="DP8" i="3" s="1"/>
  <c r="DO6" i="3" a="1"/>
  <c r="DO6" i="3"/>
  <c r="DO8" i="3" s="1"/>
  <c r="DN6" i="3" a="1"/>
  <c r="DN6" i="3" s="1"/>
  <c r="DN8" i="3" s="1"/>
  <c r="DM6" i="3" a="1"/>
  <c r="DM6" i="3" s="1"/>
  <c r="DL6" i="3" a="1"/>
  <c r="DL6" i="3" s="1"/>
  <c r="DL7" i="3" s="1"/>
  <c r="DK6" i="3" a="1"/>
  <c r="DK6" i="3"/>
  <c r="DJ6" i="3" a="1"/>
  <c r="DJ6" i="3"/>
  <c r="DI6" i="3" a="1"/>
  <c r="DI6" i="3"/>
  <c r="DI7" i="3" s="1"/>
  <c r="DH6" i="3" a="1"/>
  <c r="DH6" i="3" s="1"/>
  <c r="DH8" i="3" s="1"/>
  <c r="DG6" i="3" a="1"/>
  <c r="DG6" i="3" s="1"/>
  <c r="DG7" i="3" s="1"/>
  <c r="DF6" i="3" a="1"/>
  <c r="DF6" i="3"/>
  <c r="DF7" i="3" s="1"/>
  <c r="DE6" i="3" a="1"/>
  <c r="DE6" i="3"/>
  <c r="DD6" i="3" a="1"/>
  <c r="DD6" i="3"/>
  <c r="DC6" i="3" a="1"/>
  <c r="DC6" i="3" s="1"/>
  <c r="DB6" i="3" a="1"/>
  <c r="DB6" i="3"/>
  <c r="DA6" i="3" a="1"/>
  <c r="DA6" i="3"/>
  <c r="CZ6" i="3" a="1"/>
  <c r="CZ6" i="3" s="1"/>
  <c r="CZ8" i="3" s="1"/>
  <c r="CY6" i="3" a="1"/>
  <c r="CY6" i="3"/>
  <c r="CX6" i="3" a="1"/>
  <c r="CX6" i="3"/>
  <c r="CW6" i="3" a="1"/>
  <c r="CW6" i="3"/>
  <c r="CW7" i="3" s="1"/>
  <c r="CV6" i="3" a="1"/>
  <c r="CV6" i="3" s="1"/>
  <c r="CU6" i="3" a="1"/>
  <c r="CU6" i="3"/>
  <c r="CT6" i="3" a="1"/>
  <c r="CT6" i="3"/>
  <c r="CS6" i="3" a="1"/>
  <c r="CS6" i="3"/>
  <c r="CS8" i="3" s="1"/>
  <c r="CR6" i="3" a="1"/>
  <c r="CR6" i="3" s="1"/>
  <c r="CR8" i="3" s="1"/>
  <c r="CQ6" i="3" a="1"/>
  <c r="CQ6" i="3"/>
  <c r="CQ8" i="3" s="1"/>
  <c r="CP6" i="3" a="1"/>
  <c r="CP6" i="3"/>
  <c r="CP8" i="3" s="1"/>
  <c r="CO6" i="3" a="1"/>
  <c r="CO6" i="3"/>
  <c r="CO7" i="3" s="1"/>
  <c r="CN6" i="3" a="1"/>
  <c r="CN6" i="3" s="1"/>
  <c r="CN7" i="3" s="1"/>
  <c r="CM6" i="3" a="1"/>
  <c r="CM6" i="3"/>
  <c r="CM7" i="3" s="1"/>
  <c r="CL6" i="3" a="1"/>
  <c r="CL6" i="3"/>
  <c r="CK6" i="3" a="1"/>
  <c r="CK6" i="3" s="1"/>
  <c r="CJ6" i="3" a="1"/>
  <c r="CJ6" i="3"/>
  <c r="CJ8" i="3" s="1"/>
  <c r="CI6" i="3" a="1"/>
  <c r="CI6" i="3"/>
  <c r="CH6" i="3" a="1"/>
  <c r="CH6" i="3"/>
  <c r="CG6" i="3" a="1"/>
  <c r="CG6" i="3" s="1"/>
  <c r="CG8" i="3" s="1"/>
  <c r="CF6" i="3" a="1"/>
  <c r="CF6" i="3"/>
  <c r="CF7" i="3" s="1"/>
  <c r="CE6" i="3" a="1"/>
  <c r="CE6" i="3"/>
  <c r="CE7" i="3" s="1"/>
  <c r="CD6" i="3" a="1"/>
  <c r="CD6" i="3"/>
  <c r="CC6" i="3" a="1"/>
  <c r="CC6" i="3"/>
  <c r="CB6" i="3" a="1"/>
  <c r="CB6" i="3" s="1"/>
  <c r="CA6" i="3" a="1"/>
  <c r="CA6" i="3"/>
  <c r="BZ6" i="3" a="1"/>
  <c r="BZ6" i="3" s="1"/>
  <c r="BY6" i="3" a="1"/>
  <c r="BY6" i="3"/>
  <c r="BX6" i="3" a="1"/>
  <c r="BX6" i="3"/>
  <c r="BW6" i="3" a="1"/>
  <c r="BW6" i="3"/>
  <c r="BV6" i="3" a="1"/>
  <c r="BV6" i="3" s="1"/>
  <c r="BU6" i="3" a="1"/>
  <c r="BU6" i="3"/>
  <c r="BU7" i="3" s="1"/>
  <c r="BT6" i="3" a="1"/>
  <c r="BT6" i="3"/>
  <c r="BT8" i="3" s="1"/>
  <c r="BS6" i="3" a="1"/>
  <c r="BS6" i="3"/>
  <c r="BS8" i="3" s="1"/>
  <c r="BR6" i="3" a="1"/>
  <c r="BR6" i="3"/>
  <c r="BR8" i="3" s="1"/>
  <c r="BQ6" i="3" a="1"/>
  <c r="BQ6" i="3"/>
  <c r="BP6" i="3" a="1"/>
  <c r="BP6" i="3" s="1"/>
  <c r="BP7" i="3" s="1"/>
  <c r="BO6" i="3" a="1"/>
  <c r="BO6" i="3" s="1"/>
  <c r="BO7" i="3" s="1"/>
  <c r="BN6" i="3" a="1"/>
  <c r="BN6" i="3"/>
  <c r="BN7" i="3" s="1"/>
  <c r="BM6" i="3" a="1"/>
  <c r="BM6" i="3"/>
  <c r="BL6" i="3" a="1"/>
  <c r="BL6" i="3"/>
  <c r="BL8" i="3" s="1"/>
  <c r="BK6" i="3" a="1"/>
  <c r="BK6" i="3" s="1"/>
  <c r="BJ6" i="3" a="1"/>
  <c r="BJ6" i="3"/>
  <c r="BJ7" i="3" s="1"/>
  <c r="BI6" i="3" a="1"/>
  <c r="BI6" i="3" s="1"/>
  <c r="BI7" i="3" s="1"/>
  <c r="BH6" i="3" a="1"/>
  <c r="BH6" i="3"/>
  <c r="BH8" i="3" s="1"/>
  <c r="BG6" i="3" a="1"/>
  <c r="BG6" i="3"/>
  <c r="BG7" i="3" s="1"/>
  <c r="BF6" i="3" a="1"/>
  <c r="BF6" i="3"/>
  <c r="BF7" i="3" s="1"/>
  <c r="BE6" i="3" a="1"/>
  <c r="BE6" i="3"/>
  <c r="BE7" i="3" s="1"/>
  <c r="BD6" i="3" a="1"/>
  <c r="BD6" i="3" s="1"/>
  <c r="BD7" i="3" s="1"/>
  <c r="BC6" i="3" a="1"/>
  <c r="BC6" i="3"/>
  <c r="BB6" i="3" a="1"/>
  <c r="BB6" i="3"/>
  <c r="BA6" i="3" a="1"/>
  <c r="BA6" i="3"/>
  <c r="BA8" i="3" s="1"/>
  <c r="AZ6" i="3" a="1"/>
  <c r="AZ6" i="3" s="1"/>
  <c r="AZ8" i="3" s="1"/>
  <c r="AY6" i="3" a="1"/>
  <c r="AY6" i="3" s="1"/>
  <c r="AY8" i="3" s="1"/>
  <c r="AX6" i="3" a="1"/>
  <c r="AX6" i="3"/>
  <c r="AX8" i="3" s="1"/>
  <c r="AW6" i="3" a="1"/>
  <c r="AW6" i="3"/>
  <c r="AW8" i="3" s="1"/>
  <c r="AV6" i="3" a="1"/>
  <c r="AV6" i="3"/>
  <c r="AV8" i="3" s="1"/>
  <c r="AU6" i="3" a="1"/>
  <c r="AU6" i="3"/>
  <c r="AT6" i="3" a="1"/>
  <c r="AT6" i="3"/>
  <c r="AT7" i="3" s="1"/>
  <c r="AS6" i="3" a="1"/>
  <c r="AS6" i="3" s="1"/>
  <c r="AS7" i="3" s="1"/>
  <c r="AR6" i="3" a="1"/>
  <c r="AR6" i="3"/>
  <c r="AR7" i="3" s="1"/>
  <c r="AQ6" i="3" a="1"/>
  <c r="AQ6" i="3"/>
  <c r="AQ7" i="3" s="1"/>
  <c r="AP6" i="3" a="1"/>
  <c r="AP6" i="3"/>
  <c r="AP8" i="3" s="1"/>
  <c r="AO6" i="3" a="1"/>
  <c r="AO6" i="3" s="1"/>
  <c r="AO8" i="3" s="1"/>
  <c r="AN6" i="3" a="1"/>
  <c r="AN6" i="3"/>
  <c r="AN8" i="3" s="1"/>
  <c r="AM6" i="3" a="1"/>
  <c r="AM6" i="3" s="1"/>
  <c r="AM7" i="3" s="1"/>
  <c r="AL6" i="3" a="1"/>
  <c r="AL6" i="3"/>
  <c r="AL8" i="3" s="1"/>
  <c r="AK6" i="3" a="1"/>
  <c r="AK6" i="3"/>
  <c r="AK8" i="3" s="1"/>
  <c r="AJ6" i="3" a="1"/>
  <c r="AJ6" i="3" s="1"/>
  <c r="AJ7" i="3" s="1"/>
  <c r="AI6" i="3" a="1"/>
  <c r="AI6" i="3"/>
  <c r="AI7" i="3" s="1"/>
  <c r="AH6" i="3" a="1"/>
  <c r="AH6" i="3" s="1"/>
  <c r="AH7" i="3" s="1"/>
  <c r="AG6" i="3" a="1"/>
  <c r="AG6" i="3"/>
  <c r="AG7" i="3" s="1"/>
  <c r="AF6" i="3" a="1"/>
  <c r="AF6" i="3"/>
  <c r="AF7" i="3" s="1"/>
  <c r="AE6" i="3" a="1"/>
  <c r="AE6" i="3"/>
  <c r="AD6" i="3" a="1"/>
  <c r="AD6" i="3" s="1"/>
  <c r="AD8" i="3" s="1"/>
  <c r="AC6" i="3" a="1"/>
  <c r="AC6" i="3"/>
  <c r="AC7" i="3" s="1"/>
  <c r="AB6" i="3" a="1"/>
  <c r="AB6" i="3" s="1"/>
  <c r="AB7" i="3" s="1"/>
  <c r="AA6" i="3" a="1"/>
  <c r="AA6" i="3" s="1"/>
  <c r="AA7" i="3" s="1"/>
  <c r="Z6" i="3" a="1"/>
  <c r="Z6" i="3"/>
  <c r="Z8" i="3" s="1"/>
  <c r="Y6" i="3" a="1"/>
  <c r="Y6" i="3"/>
  <c r="X6" i="3" a="1"/>
  <c r="X6" i="3"/>
  <c r="W6" i="3" a="1"/>
  <c r="W6" i="3" s="1"/>
  <c r="W8" i="3" s="1"/>
  <c r="V6" i="3" a="1"/>
  <c r="V6" i="3"/>
  <c r="V8" i="3" s="1"/>
  <c r="U6" i="3" a="1"/>
  <c r="U6" i="3" s="1"/>
  <c r="T6" i="3" a="1"/>
  <c r="T6" i="3"/>
  <c r="S6" i="3" a="1"/>
  <c r="S6" i="3" s="1"/>
  <c r="R6" i="3" a="1"/>
  <c r="R6" i="3"/>
  <c r="R7" i="3" s="1"/>
  <c r="Q6" i="3" a="1"/>
  <c r="Q6" i="3"/>
  <c r="Q7" i="3" s="1"/>
  <c r="P6" i="3" a="1"/>
  <c r="P6" i="3"/>
  <c r="O6" i="3" a="1"/>
  <c r="O6" i="3" s="1"/>
  <c r="O8" i="3" s="1"/>
  <c r="N6" i="3" a="1"/>
  <c r="N6" i="3"/>
  <c r="N8" i="3" s="1"/>
  <c r="M6" i="3" a="1"/>
  <c r="M6" i="3"/>
  <c r="M8" i="3" s="1"/>
  <c r="L6" i="3" a="1"/>
  <c r="L6" i="3" s="1"/>
  <c r="K6" i="3" a="1"/>
  <c r="K6" i="3"/>
  <c r="K7" i="3" s="1"/>
  <c r="J6" i="3" a="1"/>
  <c r="J6" i="3"/>
  <c r="I6" i="3" a="1"/>
  <c r="I6" i="3"/>
  <c r="H6" i="3" a="1"/>
  <c r="H6" i="3" s="1"/>
  <c r="H8" i="3" s="1"/>
  <c r="G6" i="3" a="1"/>
  <c r="G6" i="3" s="1"/>
  <c r="F6" i="3" a="1"/>
  <c r="F6" i="3"/>
  <c r="F8" i="3" s="1"/>
  <c r="E6" i="3" a="1"/>
  <c r="E6" i="3"/>
  <c r="E8" i="3" s="1"/>
  <c r="D6" i="3" a="1"/>
  <c r="D6" i="3"/>
  <c r="D8" i="3" s="1"/>
  <c r="C6" i="3" a="1"/>
  <c r="C6" i="3" s="1"/>
  <c r="C7" i="3" s="1"/>
  <c r="EO25" i="2"/>
  <c r="EN25" i="2"/>
  <c r="EM25" i="2"/>
  <c r="EN24" i="2"/>
  <c r="B24" i="2"/>
  <c r="EN23" i="2"/>
  <c r="EO23" i="2" s="1"/>
  <c r="B23" i="2"/>
  <c r="EO22" i="2"/>
  <c r="EN22" i="2"/>
  <c r="B22" i="2"/>
  <c r="EN21" i="2"/>
  <c r="EO21" i="2" s="1"/>
  <c r="B21" i="2"/>
  <c r="EN20" i="2"/>
  <c r="EO20" i="2" s="1"/>
  <c r="B20" i="2"/>
  <c r="EN19" i="2"/>
  <c r="EO19" i="2" s="1"/>
  <c r="B19" i="2"/>
  <c r="EO18" i="2"/>
  <c r="EN18" i="2"/>
  <c r="B18" i="2"/>
  <c r="EO17" i="2"/>
  <c r="EN17" i="2"/>
  <c r="B17" i="2"/>
  <c r="EN16" i="2"/>
  <c r="EO16" i="2" s="1"/>
  <c r="B16" i="2"/>
  <c r="EO15" i="2"/>
  <c r="EN15" i="2"/>
  <c r="B15" i="2"/>
  <c r="EN14" i="2"/>
  <c r="EO14" i="2" s="1"/>
  <c r="B14" i="2"/>
  <c r="EO13" i="2"/>
  <c r="EN13" i="2"/>
  <c r="B13" i="2"/>
  <c r="EO12" i="2"/>
  <c r="EN12" i="2"/>
  <c r="B12" i="2"/>
  <c r="EL8" i="2"/>
  <c r="EK8" i="2"/>
  <c r="EI8" i="2"/>
  <c r="EG8" i="2"/>
  <c r="EF8" i="2"/>
  <c r="DY8" i="2"/>
  <c r="DX8" i="2"/>
  <c r="DW8" i="2"/>
  <c r="DR8" i="2"/>
  <c r="DQ8" i="2"/>
  <c r="DP8" i="2"/>
  <c r="DM8" i="2"/>
  <c r="DJ8" i="2"/>
  <c r="DI8" i="2"/>
  <c r="DH8" i="2"/>
  <c r="DG8" i="2"/>
  <c r="DA8" i="2"/>
  <c r="CY8" i="2"/>
  <c r="CX8" i="2"/>
  <c r="CW8" i="2"/>
  <c r="CT8" i="2"/>
  <c r="CO8" i="2"/>
  <c r="CL8" i="2"/>
  <c r="CK8" i="2"/>
  <c r="CJ8" i="2"/>
  <c r="CG8" i="2"/>
  <c r="CC8" i="2"/>
  <c r="BY8" i="2"/>
  <c r="BU8" i="2"/>
  <c r="BQ8" i="2"/>
  <c r="BM8" i="2"/>
  <c r="BK8" i="2"/>
  <c r="BJ8" i="2"/>
  <c r="BI8" i="2"/>
  <c r="BH8" i="2"/>
  <c r="BG8" i="2"/>
  <c r="BF8" i="2"/>
  <c r="BE8" i="2"/>
  <c r="BD8" i="2"/>
  <c r="BC8" i="2"/>
  <c r="BB8" i="2"/>
  <c r="AU8" i="2"/>
  <c r="AL8" i="2"/>
  <c r="AK8" i="2"/>
  <c r="AJ8" i="2"/>
  <c r="AI8" i="2"/>
  <c r="AH8" i="2"/>
  <c r="AG8" i="2"/>
  <c r="Y8" i="2"/>
  <c r="X8" i="2"/>
  <c r="U8" i="2"/>
  <c r="P8" i="2"/>
  <c r="O8" i="2"/>
  <c r="N8" i="2"/>
  <c r="L8" i="2"/>
  <c r="K8" i="2"/>
  <c r="J8" i="2"/>
  <c r="H8" i="2"/>
  <c r="EL7" i="2"/>
  <c r="EK7" i="2"/>
  <c r="EJ7" i="2"/>
  <c r="DZ7" i="2"/>
  <c r="DY7" i="2"/>
  <c r="DX7" i="2"/>
  <c r="DT7" i="2"/>
  <c r="DS7" i="2"/>
  <c r="DR7" i="2"/>
  <c r="DL7" i="2"/>
  <c r="DK7" i="2"/>
  <c r="DJ7" i="2"/>
  <c r="DI7" i="2"/>
  <c r="DA7" i="2"/>
  <c r="CX7" i="2"/>
  <c r="CW7" i="2"/>
  <c r="CO7" i="2"/>
  <c r="CM7" i="2"/>
  <c r="CL7" i="2"/>
  <c r="CK7" i="2"/>
  <c r="CJ7" i="2"/>
  <c r="CH7" i="2"/>
  <c r="CG7" i="2"/>
  <c r="CF7" i="2"/>
  <c r="CE7" i="2"/>
  <c r="CD7" i="2"/>
  <c r="BY7" i="2"/>
  <c r="BX7" i="2"/>
  <c r="BW7" i="2"/>
  <c r="BQ7" i="2"/>
  <c r="BM7" i="2"/>
  <c r="BL7" i="2"/>
  <c r="BJ7" i="2"/>
  <c r="BH7" i="2"/>
  <c r="AS7" i="2"/>
  <c r="AR7" i="2"/>
  <c r="AQ7" i="2"/>
  <c r="AL7" i="2"/>
  <c r="AJ7" i="2"/>
  <c r="AI7" i="2"/>
  <c r="AG7" i="2"/>
  <c r="U7" i="2"/>
  <c r="L7" i="2"/>
  <c r="K7" i="2"/>
  <c r="J7" i="2"/>
  <c r="I7" i="2"/>
  <c r="H7" i="2"/>
  <c r="E7" i="2"/>
  <c r="D7" i="2"/>
  <c r="C7" i="2"/>
  <c r="EM6" i="2" a="1"/>
  <c r="EM6" i="2" s="1"/>
  <c r="EL6" i="2" a="1"/>
  <c r="EL6" i="2" s="1"/>
  <c r="EK6" i="2" a="1"/>
  <c r="EK6" i="2"/>
  <c r="EJ6" i="2" a="1"/>
  <c r="EJ6" i="2"/>
  <c r="EJ8" i="2" s="1"/>
  <c r="EI6" i="2" a="1"/>
  <c r="EI6" i="2" s="1"/>
  <c r="EI7" i="2" s="1"/>
  <c r="EH6" i="2" a="1"/>
  <c r="EH6" i="2"/>
  <c r="EH8" i="2" s="1"/>
  <c r="EG6" i="2" a="1"/>
  <c r="EG6" i="2"/>
  <c r="EG7" i="2" s="1"/>
  <c r="EF6" i="2" a="1"/>
  <c r="EF6" i="2"/>
  <c r="EF7" i="2" s="1"/>
  <c r="EE6" i="2" a="1"/>
  <c r="EE6" i="2" s="1"/>
  <c r="ED6" i="2" a="1"/>
  <c r="ED6" i="2"/>
  <c r="EC6" i="2" a="1"/>
  <c r="EC6" i="2"/>
  <c r="EB6" i="2" a="1"/>
  <c r="EB6" i="2"/>
  <c r="EA6" i="2" a="1"/>
  <c r="EA6" i="2"/>
  <c r="DZ6" i="2" a="1"/>
  <c r="DZ6" i="2" s="1"/>
  <c r="DZ8" i="2" s="1"/>
  <c r="DY6" i="2" a="1"/>
  <c r="DY6" i="2"/>
  <c r="DX6" i="2" a="1"/>
  <c r="DX6" i="2" s="1"/>
  <c r="DW6" i="2" a="1"/>
  <c r="DW6" i="2"/>
  <c r="DW7" i="2" s="1"/>
  <c r="DV6" i="2" a="1"/>
  <c r="DV6" i="2"/>
  <c r="DV8" i="2" s="1"/>
  <c r="DU6" i="2" a="1"/>
  <c r="DU6" i="2"/>
  <c r="DT6" i="2" a="1"/>
  <c r="DT6" i="2" s="1"/>
  <c r="DT8" i="2" s="1"/>
  <c r="DS6" i="2" a="1"/>
  <c r="DS6" i="2"/>
  <c r="DS8" i="2" s="1"/>
  <c r="DR6" i="2" a="1"/>
  <c r="DR6" i="2"/>
  <c r="DQ6" i="2" a="1"/>
  <c r="DQ6" i="2"/>
  <c r="DQ7" i="2" s="1"/>
  <c r="DP6" i="2" a="1"/>
  <c r="DP6" i="2"/>
  <c r="DP7" i="2" s="1"/>
  <c r="DO6" i="2" a="1"/>
  <c r="DO6" i="2"/>
  <c r="DO7" i="2" s="1"/>
  <c r="DN6" i="2" a="1"/>
  <c r="DN6" i="2" s="1"/>
  <c r="DM6" i="2" a="1"/>
  <c r="DM6" i="2" s="1"/>
  <c r="DM7" i="2" s="1"/>
  <c r="DL6" i="2" a="1"/>
  <c r="DL6" i="2"/>
  <c r="DL8" i="2" s="1"/>
  <c r="DK6" i="2" a="1"/>
  <c r="DK6" i="2"/>
  <c r="DK8" i="2" s="1"/>
  <c r="DJ6" i="2" a="1"/>
  <c r="DJ6" i="2"/>
  <c r="DI6" i="2" a="1"/>
  <c r="DI6" i="2" s="1"/>
  <c r="DH6" i="2" a="1"/>
  <c r="DH6" i="2"/>
  <c r="DH7" i="2" s="1"/>
  <c r="DG6" i="2" a="1"/>
  <c r="DG6" i="2" s="1"/>
  <c r="DG7" i="2" s="1"/>
  <c r="DF6" i="2" a="1"/>
  <c r="DF6" i="2"/>
  <c r="DF7" i="2" s="1"/>
  <c r="DE6" i="2" a="1"/>
  <c r="DE6" i="2"/>
  <c r="DE7" i="2" s="1"/>
  <c r="DD6" i="2" a="1"/>
  <c r="DD6" i="2"/>
  <c r="DC6" i="2" a="1"/>
  <c r="DC6" i="2"/>
  <c r="DB6" i="2" a="1"/>
  <c r="DB6" i="2" s="1"/>
  <c r="DA6" i="2" a="1"/>
  <c r="DA6" i="2"/>
  <c r="CZ6" i="2" a="1"/>
  <c r="CZ6" i="2"/>
  <c r="CY6" i="2" a="1"/>
  <c r="CY6" i="2"/>
  <c r="CY7" i="2" s="1"/>
  <c r="CX6" i="2" a="1"/>
  <c r="CX6" i="2" s="1"/>
  <c r="CW6" i="2" a="1"/>
  <c r="CW6" i="2" s="1"/>
  <c r="CV6" i="2" a="1"/>
  <c r="CV6" i="2"/>
  <c r="CV8" i="2" s="1"/>
  <c r="CU6" i="2" a="1"/>
  <c r="CU6" i="2"/>
  <c r="CT6" i="2" a="1"/>
  <c r="CT6" i="2"/>
  <c r="CT7" i="2" s="1"/>
  <c r="CS6" i="2" a="1"/>
  <c r="CS6" i="2"/>
  <c r="CS8" i="2" s="1"/>
  <c r="CR6" i="2" a="1"/>
  <c r="CR6" i="2"/>
  <c r="CQ6" i="2" a="1"/>
  <c r="CQ6" i="2" s="1"/>
  <c r="CQ7" i="2" s="1"/>
  <c r="CP6" i="2" a="1"/>
  <c r="CP6" i="2"/>
  <c r="CO6" i="2" a="1"/>
  <c r="CO6" i="2"/>
  <c r="CN6" i="2" a="1"/>
  <c r="CN6" i="2" s="1"/>
  <c r="CM6" i="2" a="1"/>
  <c r="CM6" i="2" s="1"/>
  <c r="CM8" i="2" s="1"/>
  <c r="CL6" i="2" a="1"/>
  <c r="CL6" i="2"/>
  <c r="CK6" i="2" a="1"/>
  <c r="CK6" i="2" s="1"/>
  <c r="CJ6" i="2" a="1"/>
  <c r="CJ6" i="2"/>
  <c r="CI6" i="2" a="1"/>
  <c r="CI6" i="2" s="1"/>
  <c r="CH6" i="2" a="1"/>
  <c r="CH6" i="2" s="1"/>
  <c r="CH8" i="2" s="1"/>
  <c r="CG6" i="2" a="1"/>
  <c r="CG6" i="2"/>
  <c r="CF6" i="2" a="1"/>
  <c r="CF6" i="2" s="1"/>
  <c r="CF8" i="2" s="1"/>
  <c r="CE6" i="2" a="1"/>
  <c r="CE6" i="2"/>
  <c r="CE8" i="2" s="1"/>
  <c r="CD6" i="2" a="1"/>
  <c r="CD6" i="2"/>
  <c r="CD8" i="2" s="1"/>
  <c r="CC6" i="2" a="1"/>
  <c r="CC6" i="2"/>
  <c r="CC7" i="2" s="1"/>
  <c r="CB6" i="2" a="1"/>
  <c r="CB6" i="2" s="1"/>
  <c r="CA6" i="2" a="1"/>
  <c r="CA6" i="2"/>
  <c r="BZ6" i="2" a="1"/>
  <c r="BZ6" i="2" s="1"/>
  <c r="BY6" i="2" a="1"/>
  <c r="BY6" i="2" s="1"/>
  <c r="BX6" i="2" a="1"/>
  <c r="BX6" i="2"/>
  <c r="BX8" i="2" s="1"/>
  <c r="BW6" i="2" a="1"/>
  <c r="BW6" i="2"/>
  <c r="BW8" i="2" s="1"/>
  <c r="BV6" i="2" a="1"/>
  <c r="BV6" i="2"/>
  <c r="BV8" i="2" s="1"/>
  <c r="BU6" i="2" a="1"/>
  <c r="BU6" i="2" s="1"/>
  <c r="BU7" i="2" s="1"/>
  <c r="BT6" i="2" a="1"/>
  <c r="BT6" i="2"/>
  <c r="BT8" i="2" s="1"/>
  <c r="BS6" i="2" a="1"/>
  <c r="BS6" i="2"/>
  <c r="BS7" i="2" s="1"/>
  <c r="BR6" i="2" a="1"/>
  <c r="BR6" i="2"/>
  <c r="BR7" i="2" s="1"/>
  <c r="BQ6" i="2" a="1"/>
  <c r="BQ6" i="2" s="1"/>
  <c r="BP6" i="2" a="1"/>
  <c r="BP6" i="2"/>
  <c r="BO6" i="2" a="1"/>
  <c r="BO6" i="2"/>
  <c r="BO8" i="2" s="1"/>
  <c r="BN6" i="2" a="1"/>
  <c r="BN6" i="2"/>
  <c r="BM6" i="2" a="1"/>
  <c r="BM6" i="2" s="1"/>
  <c r="BL6" i="2" a="1"/>
  <c r="BL6" i="2"/>
  <c r="BL8" i="2" s="1"/>
  <c r="BK6" i="2" a="1"/>
  <c r="BK6" i="2"/>
  <c r="BK7" i="2" s="1"/>
  <c r="BJ6" i="2" a="1"/>
  <c r="BJ6" i="2" s="1"/>
  <c r="BI6" i="2" a="1"/>
  <c r="BI6" i="2"/>
  <c r="BI7" i="2" s="1"/>
  <c r="BH6" i="2" a="1"/>
  <c r="BH6" i="2"/>
  <c r="BG6" i="2" a="1"/>
  <c r="BG6" i="2"/>
  <c r="BG7" i="2" s="1"/>
  <c r="BF6" i="2" a="1"/>
  <c r="BF6" i="2" s="1"/>
  <c r="BF7" i="2" s="1"/>
  <c r="BE6" i="2" a="1"/>
  <c r="BE6" i="2" s="1"/>
  <c r="BE7" i="2" s="1"/>
  <c r="BD6" i="2" a="1"/>
  <c r="BD6" i="2"/>
  <c r="BD7" i="2" s="1"/>
  <c r="BC6" i="2" a="1"/>
  <c r="BC6" i="2"/>
  <c r="BC7" i="2" s="1"/>
  <c r="BB6" i="2" a="1"/>
  <c r="BB6" i="2"/>
  <c r="BB7" i="2" s="1"/>
  <c r="BA6" i="2" a="1"/>
  <c r="BA6" i="2" s="1"/>
  <c r="AZ6" i="2" a="1"/>
  <c r="AZ6" i="2" s="1"/>
  <c r="AY6" i="2" a="1"/>
  <c r="AY6" i="2" s="1"/>
  <c r="AX6" i="2" a="1"/>
  <c r="AX6" i="2"/>
  <c r="AX8" i="2" s="1"/>
  <c r="AW6" i="2" a="1"/>
  <c r="AW6" i="2"/>
  <c r="AV6" i="2" a="1"/>
  <c r="AV6" i="2"/>
  <c r="AU6" i="2" a="1"/>
  <c r="AU6" i="2" s="1"/>
  <c r="AU7" i="2" s="1"/>
  <c r="AT6" i="2" a="1"/>
  <c r="AT6" i="2"/>
  <c r="AS6" i="2" a="1"/>
  <c r="AS6" i="2" s="1"/>
  <c r="AS8" i="2" s="1"/>
  <c r="AR6" i="2" a="1"/>
  <c r="AR6" i="2"/>
  <c r="AR8" i="2" s="1"/>
  <c r="AQ6" i="2" a="1"/>
  <c r="AQ6" i="2"/>
  <c r="AQ8" i="2" s="1"/>
  <c r="AP6" i="2" a="1"/>
  <c r="AP6" i="2"/>
  <c r="AO6" i="2" a="1"/>
  <c r="AO6" i="2" s="1"/>
  <c r="AO7" i="2" s="1"/>
  <c r="AN6" i="2" a="1"/>
  <c r="AN6" i="2" s="1"/>
  <c r="AN8" i="2" s="1"/>
  <c r="AM6" i="2" a="1"/>
  <c r="AM6" i="2"/>
  <c r="AL6" i="2" a="1"/>
  <c r="AL6" i="2"/>
  <c r="AK6" i="2" a="1"/>
  <c r="AK6" i="2"/>
  <c r="AK7" i="2" s="1"/>
  <c r="AJ6" i="2" a="1"/>
  <c r="AJ6" i="2" s="1"/>
  <c r="AI6" i="2" a="1"/>
  <c r="AI6" i="2"/>
  <c r="AH6" i="2" a="1"/>
  <c r="AH6" i="2" s="1"/>
  <c r="AH7" i="2" s="1"/>
  <c r="AG6" i="2" a="1"/>
  <c r="AG6" i="2" s="1"/>
  <c r="AF6" i="2" a="1"/>
  <c r="AF6" i="2"/>
  <c r="AF7" i="2" s="1"/>
  <c r="AE6" i="2" a="1"/>
  <c r="AE6" i="2"/>
  <c r="AE7" i="2" s="1"/>
  <c r="AD6" i="2" a="1"/>
  <c r="AD6" i="2"/>
  <c r="AD7" i="2" s="1"/>
  <c r="AC6" i="2" a="1"/>
  <c r="AC6" i="2" s="1"/>
  <c r="AC7" i="2" s="1"/>
  <c r="AB6" i="2" a="1"/>
  <c r="AB6" i="2"/>
  <c r="AB8" i="2" s="1"/>
  <c r="AA6" i="2" a="1"/>
  <c r="AA6" i="2"/>
  <c r="AA8" i="2" s="1"/>
  <c r="Z6" i="2" a="1"/>
  <c r="Z6" i="2" s="1"/>
  <c r="Z8" i="2" s="1"/>
  <c r="Y6" i="2" a="1"/>
  <c r="Y6" i="2" s="1"/>
  <c r="Y7" i="2" s="1"/>
  <c r="X6" i="2" a="1"/>
  <c r="X6" i="2"/>
  <c r="X7" i="2" s="1"/>
  <c r="W6" i="2" a="1"/>
  <c r="W6" i="2"/>
  <c r="V6" i="2" a="1"/>
  <c r="V6" i="2"/>
  <c r="U6" i="2" a="1"/>
  <c r="U6" i="2" s="1"/>
  <c r="T6" i="2" a="1"/>
  <c r="T6" i="2"/>
  <c r="S6" i="2" a="1"/>
  <c r="S6" i="2"/>
  <c r="R6" i="2" a="1"/>
  <c r="R6" i="2" s="1"/>
  <c r="R8" i="2" s="1"/>
  <c r="Q6" i="2" a="1"/>
  <c r="Q6" i="2"/>
  <c r="Q8" i="2" s="1"/>
  <c r="P6" i="2" a="1"/>
  <c r="P6" i="2"/>
  <c r="P7" i="2" s="1"/>
  <c r="O6" i="2" a="1"/>
  <c r="O6" i="2"/>
  <c r="O7" i="2" s="1"/>
  <c r="N6" i="2" a="1"/>
  <c r="N6" i="2" s="1"/>
  <c r="N7" i="2" s="1"/>
  <c r="M6" i="2" a="1"/>
  <c r="M6" i="2" s="1"/>
  <c r="L6" i="2" a="1"/>
  <c r="L6" i="2"/>
  <c r="K6" i="2" a="1"/>
  <c r="K6" i="2"/>
  <c r="J6" i="2" a="1"/>
  <c r="J6" i="2"/>
  <c r="I6" i="2" a="1"/>
  <c r="I6" i="2" s="1"/>
  <c r="I8" i="2" s="1"/>
  <c r="H6" i="2" a="1"/>
  <c r="H6" i="2"/>
  <c r="G6" i="2" a="1"/>
  <c r="G6" i="2" s="1"/>
  <c r="G7" i="2" s="1"/>
  <c r="F6" i="2" a="1"/>
  <c r="F6" i="2" s="1"/>
  <c r="E6" i="2" a="1"/>
  <c r="E6" i="2"/>
  <c r="E8" i="2" s="1"/>
  <c r="D6" i="2" a="1"/>
  <c r="D6" i="2"/>
  <c r="D8" i="2" s="1"/>
  <c r="C6" i="2" a="1"/>
  <c r="C6" i="2" s="1"/>
  <c r="C8" i="2" s="1"/>
  <c r="EN25" i="1"/>
  <c r="EM25" i="1"/>
  <c r="EO25" i="1" s="1"/>
  <c r="EO24" i="1"/>
  <c r="EN24" i="1"/>
  <c r="EM24" i="1"/>
  <c r="B24" i="1"/>
  <c r="EN23" i="1"/>
  <c r="EM23" i="1"/>
  <c r="EO23" i="1" s="1"/>
  <c r="B23" i="1"/>
  <c r="EN22" i="1"/>
  <c r="EO22" i="1" s="1"/>
  <c r="EM22" i="1"/>
  <c r="B22" i="1"/>
  <c r="EN21" i="1"/>
  <c r="EM21" i="1"/>
  <c r="EO21" i="1" s="1"/>
  <c r="B21" i="1"/>
  <c r="EN20" i="1"/>
  <c r="EO20" i="1" s="1"/>
  <c r="EM20" i="1"/>
  <c r="B20" i="1"/>
  <c r="EN19" i="1"/>
  <c r="EM19" i="1"/>
  <c r="EO19" i="1" s="1"/>
  <c r="B19" i="1"/>
  <c r="EO18" i="1"/>
  <c r="EN18" i="1"/>
  <c r="EM18" i="1"/>
  <c r="B18" i="1"/>
  <c r="EN17" i="1"/>
  <c r="EO17" i="1" s="1"/>
  <c r="EM17" i="1"/>
  <c r="B17" i="1"/>
  <c r="EN16" i="1"/>
  <c r="EM16" i="1"/>
  <c r="B16" i="1"/>
  <c r="EN15" i="1"/>
  <c r="EM15" i="1"/>
  <c r="EO15" i="1" s="1"/>
  <c r="B15" i="1"/>
  <c r="EN14" i="1"/>
  <c r="EM14" i="1"/>
  <c r="EO14" i="1" s="1"/>
  <c r="B14" i="1"/>
  <c r="EN13" i="1"/>
  <c r="EM13" i="1"/>
  <c r="EO13" i="1" s="1"/>
  <c r="B13" i="1"/>
  <c r="EO12" i="1"/>
  <c r="EN12" i="1"/>
  <c r="EM12" i="1"/>
  <c r="B12" i="1"/>
  <c r="EH8" i="1"/>
  <c r="EG8" i="1"/>
  <c r="EF8" i="1"/>
  <c r="DY8" i="1"/>
  <c r="DX8" i="1"/>
  <c r="DW8" i="1"/>
  <c r="DV8" i="1"/>
  <c r="DU8" i="1"/>
  <c r="DT8" i="1"/>
  <c r="DS8" i="1"/>
  <c r="DP8" i="1"/>
  <c r="DN8" i="1"/>
  <c r="DH8" i="1"/>
  <c r="DF8" i="1"/>
  <c r="DE8" i="1"/>
  <c r="DD8" i="1"/>
  <c r="DC8" i="1"/>
  <c r="CY8" i="1"/>
  <c r="CX8" i="1"/>
  <c r="CW8" i="1"/>
  <c r="CV8" i="1"/>
  <c r="CR8" i="1"/>
  <c r="CG8" i="1"/>
  <c r="BZ8" i="1"/>
  <c r="BY8" i="1"/>
  <c r="BX8" i="1"/>
  <c r="BV8" i="1"/>
  <c r="BU8" i="1"/>
  <c r="BT8" i="1"/>
  <c r="BS8" i="1"/>
  <c r="BR8" i="1"/>
  <c r="BM8" i="1"/>
  <c r="BK8" i="1"/>
  <c r="BC8" i="1"/>
  <c r="BB8" i="1"/>
  <c r="AZ8" i="1"/>
  <c r="AR8" i="1"/>
  <c r="AO8" i="1"/>
  <c r="AN8" i="1"/>
  <c r="AM8" i="1"/>
  <c r="AL8" i="1"/>
  <c r="AK8" i="1"/>
  <c r="AJ8" i="1"/>
  <c r="AF8" i="1"/>
  <c r="AD8" i="1"/>
  <c r="AC8" i="1"/>
  <c r="AB8" i="1"/>
  <c r="T8" i="1"/>
  <c r="P8" i="1"/>
  <c r="H8" i="1"/>
  <c r="G8" i="1"/>
  <c r="EM7" i="1"/>
  <c r="EJ7" i="1"/>
  <c r="EI7" i="1"/>
  <c r="ED7" i="1"/>
  <c r="EC7" i="1"/>
  <c r="EB7" i="1"/>
  <c r="DY7" i="1"/>
  <c r="DT7" i="1"/>
  <c r="DS7" i="1"/>
  <c r="DN7" i="1"/>
  <c r="DK7" i="1"/>
  <c r="DJ7" i="1"/>
  <c r="DI7" i="1"/>
  <c r="DF7" i="1"/>
  <c r="DC7" i="1"/>
  <c r="CX7" i="1"/>
  <c r="CW7" i="1"/>
  <c r="CV7" i="1"/>
  <c r="CU7" i="1"/>
  <c r="CS7" i="1"/>
  <c r="CR7" i="1"/>
  <c r="CK7" i="1"/>
  <c r="CG7" i="1"/>
  <c r="BZ7" i="1"/>
  <c r="BY7" i="1"/>
  <c r="BW7" i="1"/>
  <c r="BV7" i="1"/>
  <c r="BO7" i="1"/>
  <c r="BN7" i="1"/>
  <c r="BK7" i="1"/>
  <c r="AZ7" i="1"/>
  <c r="AY7" i="1"/>
  <c r="AR7" i="1"/>
  <c r="AQ7" i="1"/>
  <c r="AP7" i="1"/>
  <c r="AL7" i="1"/>
  <c r="AE7" i="1"/>
  <c r="AD7" i="1"/>
  <c r="AC7" i="1"/>
  <c r="Z7" i="1"/>
  <c r="Y7" i="1"/>
  <c r="T7" i="1"/>
  <c r="S7" i="1"/>
  <c r="O7" i="1"/>
  <c r="H7" i="1"/>
  <c r="F7" i="1"/>
  <c r="E7" i="1"/>
  <c r="D7" i="1"/>
  <c r="C7" i="1"/>
  <c r="EM6" i="1" a="1"/>
  <c r="EM6" i="1"/>
  <c r="EM8" i="1" s="1"/>
  <c r="EL6" i="1" a="1"/>
  <c r="EL6" i="1"/>
  <c r="EK6" i="1" a="1"/>
  <c r="EK6" i="1"/>
  <c r="EK8" i="1" s="1"/>
  <c r="EJ6" i="1" a="1"/>
  <c r="EJ6" i="1"/>
  <c r="EJ8" i="1" s="1"/>
  <c r="EI6" i="1" a="1"/>
  <c r="EI6" i="1"/>
  <c r="EI8" i="1" s="1"/>
  <c r="EH6" i="1" a="1"/>
  <c r="EH6" i="1"/>
  <c r="EH7" i="1" s="1"/>
  <c r="EG6" i="1" a="1"/>
  <c r="EG6" i="1"/>
  <c r="EG7" i="1" s="1"/>
  <c r="EF6" i="1" a="1"/>
  <c r="EF6" i="1" s="1"/>
  <c r="EF7" i="1" s="1"/>
  <c r="EE6" i="1" a="1"/>
  <c r="EE6" i="1"/>
  <c r="EE7" i="1" s="1"/>
  <c r="ED6" i="1" a="1"/>
  <c r="ED6" i="1"/>
  <c r="ED8" i="1" s="1"/>
  <c r="EC6" i="1" a="1"/>
  <c r="EC6" i="1"/>
  <c r="EC8" i="1" s="1"/>
  <c r="EB6" i="1" a="1"/>
  <c r="EB6" i="1" s="1"/>
  <c r="EB8" i="1" s="1"/>
  <c r="EA6" i="1" a="1"/>
  <c r="EA6" i="1"/>
  <c r="EA8" i="1" s="1"/>
  <c r="DZ6" i="1" a="1"/>
  <c r="DZ6" i="1"/>
  <c r="DZ8" i="1" s="1"/>
  <c r="DY6" i="1" a="1"/>
  <c r="DY6" i="1"/>
  <c r="DX6" i="1" a="1"/>
  <c r="DX6" i="1"/>
  <c r="DX7" i="1" s="1"/>
  <c r="DW6" i="1" a="1"/>
  <c r="DW6" i="1"/>
  <c r="DW7" i="1" s="1"/>
  <c r="DV6" i="1" a="1"/>
  <c r="DV6" i="1"/>
  <c r="DV7" i="1" s="1"/>
  <c r="DU6" i="1" a="1"/>
  <c r="DU6" i="1" s="1"/>
  <c r="DU7" i="1" s="1"/>
  <c r="DT6" i="1" a="1"/>
  <c r="DT6" i="1"/>
  <c r="DS6" i="1" a="1"/>
  <c r="DS6" i="1"/>
  <c r="DR6" i="1" a="1"/>
  <c r="DR6" i="1"/>
  <c r="DR7" i="1" s="1"/>
  <c r="DQ6" i="1" a="1"/>
  <c r="DQ6" i="1"/>
  <c r="DQ7" i="1" s="1"/>
  <c r="DP6" i="1" a="1"/>
  <c r="DP6" i="1"/>
  <c r="DP7" i="1" s="1"/>
  <c r="DO6" i="1" a="1"/>
  <c r="DO6" i="1"/>
  <c r="DN6" i="1" a="1"/>
  <c r="DN6" i="1"/>
  <c r="DM6" i="1" a="1"/>
  <c r="DM6" i="1"/>
  <c r="DL6" i="1" a="1"/>
  <c r="DL6" i="1"/>
  <c r="DK6" i="1" a="1"/>
  <c r="DK6" i="1"/>
  <c r="DK8" i="1" s="1"/>
  <c r="DJ6" i="1" a="1"/>
  <c r="DJ6" i="1" s="1"/>
  <c r="DJ8" i="1" s="1"/>
  <c r="DI6" i="1" a="1"/>
  <c r="DI6" i="1" s="1"/>
  <c r="DI8" i="1" s="1"/>
  <c r="DH6" i="1" a="1"/>
  <c r="DH6" i="1"/>
  <c r="DH7" i="1" s="1"/>
  <c r="DG6" i="1" a="1"/>
  <c r="DG6" i="1"/>
  <c r="DF6" i="1" a="1"/>
  <c r="DF6" i="1"/>
  <c r="DE6" i="1" a="1"/>
  <c r="DE6" i="1" s="1"/>
  <c r="DE7" i="1" s="1"/>
  <c r="DD6" i="1" a="1"/>
  <c r="DD6" i="1"/>
  <c r="DD7" i="1" s="1"/>
  <c r="DC6" i="1" a="1"/>
  <c r="DC6" i="1"/>
  <c r="DB6" i="1" a="1"/>
  <c r="DB6" i="1"/>
  <c r="DA6" i="1" a="1"/>
  <c r="DA6" i="1"/>
  <c r="DA8" i="1" s="1"/>
  <c r="CZ6" i="1" a="1"/>
  <c r="CZ6" i="1" s="1"/>
  <c r="CY6" i="1" a="1"/>
  <c r="CY6" i="1" s="1"/>
  <c r="CY7" i="1" s="1"/>
  <c r="CX6" i="1" a="1"/>
  <c r="CX6" i="1"/>
  <c r="CW6" i="1" a="1"/>
  <c r="CW6" i="1"/>
  <c r="CV6" i="1" a="1"/>
  <c r="CV6" i="1"/>
  <c r="CU6" i="1" a="1"/>
  <c r="CU6" i="1"/>
  <c r="CU8" i="1" s="1"/>
  <c r="CT6" i="1" a="1"/>
  <c r="CT6" i="1"/>
  <c r="CT7" i="1" s="1"/>
  <c r="CS6" i="1" a="1"/>
  <c r="CS6" i="1"/>
  <c r="CS8" i="1" s="1"/>
  <c r="CR6" i="1" a="1"/>
  <c r="CR6" i="1"/>
  <c r="CQ6" i="1" a="1"/>
  <c r="CQ6" i="1"/>
  <c r="CQ7" i="1" s="1"/>
  <c r="CP6" i="1" a="1"/>
  <c r="CP6" i="1"/>
  <c r="CP7" i="1" s="1"/>
  <c r="CO6" i="1" a="1"/>
  <c r="CO6" i="1"/>
  <c r="CN6" i="1" a="1"/>
  <c r="CN6" i="1" s="1"/>
  <c r="CM6" i="1" a="1"/>
  <c r="CM6" i="1"/>
  <c r="CL6" i="1" a="1"/>
  <c r="CL6" i="1" s="1"/>
  <c r="CK6" i="1" a="1"/>
  <c r="CK6" i="1"/>
  <c r="CK8" i="1" s="1"/>
  <c r="CJ6" i="1" a="1"/>
  <c r="CJ6" i="1"/>
  <c r="CI6" i="1" a="1"/>
  <c r="CI6" i="1"/>
  <c r="CH6" i="1" a="1"/>
  <c r="CH6" i="1" s="1"/>
  <c r="CH8" i="1" s="1"/>
  <c r="CG6" i="1" a="1"/>
  <c r="CG6" i="1"/>
  <c r="CF6" i="1" a="1"/>
  <c r="CF6" i="1"/>
  <c r="CF7" i="1" s="1"/>
  <c r="CE6" i="1" a="1"/>
  <c r="CE6" i="1"/>
  <c r="CE8" i="1" s="1"/>
  <c r="CD6" i="1" a="1"/>
  <c r="CD6" i="1"/>
  <c r="CD7" i="1" s="1"/>
  <c r="CC6" i="1" a="1"/>
  <c r="CC6" i="1" s="1"/>
  <c r="CC7" i="1" s="1"/>
  <c r="CB6" i="1" a="1"/>
  <c r="CB6" i="1"/>
  <c r="CA6" i="1" a="1"/>
  <c r="CA6" i="1"/>
  <c r="BZ6" i="1" a="1"/>
  <c r="BZ6" i="1"/>
  <c r="BY6" i="1" a="1"/>
  <c r="BY6" i="1"/>
  <c r="BX6" i="1" a="1"/>
  <c r="BX6" i="1"/>
  <c r="BX7" i="1" s="1"/>
  <c r="BW6" i="1" a="1"/>
  <c r="BW6" i="1"/>
  <c r="BW8" i="1" s="1"/>
  <c r="BV6" i="1" a="1"/>
  <c r="BV6" i="1"/>
  <c r="BU6" i="1" a="1"/>
  <c r="BU6" i="1"/>
  <c r="BU7" i="1" s="1"/>
  <c r="BT6" i="1" a="1"/>
  <c r="BT6" i="1"/>
  <c r="BT7" i="1" s="1"/>
  <c r="BS6" i="1" a="1"/>
  <c r="BS6" i="1"/>
  <c r="BS7" i="1" s="1"/>
  <c r="BR6" i="1" a="1"/>
  <c r="BR6" i="1" s="1"/>
  <c r="BR7" i="1" s="1"/>
  <c r="BQ6" i="1" a="1"/>
  <c r="BQ6" i="1"/>
  <c r="BQ7" i="1" s="1"/>
  <c r="BP6" i="1" a="1"/>
  <c r="BP6" i="1" s="1"/>
  <c r="BO6" i="1" a="1"/>
  <c r="BO6" i="1" s="1"/>
  <c r="BO8" i="1" s="1"/>
  <c r="BN6" i="1" a="1"/>
  <c r="BN6" i="1"/>
  <c r="BN8" i="1" s="1"/>
  <c r="BM6" i="1" a="1"/>
  <c r="BM6" i="1"/>
  <c r="BM7" i="1" s="1"/>
  <c r="BL6" i="1" a="1"/>
  <c r="BL6" i="1"/>
  <c r="BL7" i="1" s="1"/>
  <c r="BK6" i="1" a="1"/>
  <c r="BK6" i="1"/>
  <c r="BJ6" i="1" a="1"/>
  <c r="BJ6" i="1"/>
  <c r="BI6" i="1" a="1"/>
  <c r="BI6" i="1"/>
  <c r="BH6" i="1" a="1"/>
  <c r="BH6" i="1"/>
  <c r="BG6" i="1" a="1"/>
  <c r="BG6" i="1" s="1"/>
  <c r="BG8" i="1" s="1"/>
  <c r="BF6" i="1" a="1"/>
  <c r="BF6" i="1"/>
  <c r="BF8" i="1" s="1"/>
  <c r="BE6" i="1" a="1"/>
  <c r="BE6" i="1"/>
  <c r="BE8" i="1" s="1"/>
  <c r="BD6" i="1" a="1"/>
  <c r="BD6" i="1" s="1"/>
  <c r="BC6" i="1" a="1"/>
  <c r="BC6" i="1"/>
  <c r="BC7" i="1" s="1"/>
  <c r="BB6" i="1" a="1"/>
  <c r="BB6" i="1"/>
  <c r="BB7" i="1" s="1"/>
  <c r="BA6" i="1" a="1"/>
  <c r="BA6" i="1"/>
  <c r="AZ6" i="1" a="1"/>
  <c r="AZ6" i="1"/>
  <c r="AY6" i="1" a="1"/>
  <c r="AY6" i="1"/>
  <c r="AY8" i="1" s="1"/>
  <c r="AX6" i="1" a="1"/>
  <c r="AX6" i="1"/>
  <c r="AX7" i="1" s="1"/>
  <c r="AW6" i="1" a="1"/>
  <c r="AW6" i="1"/>
  <c r="AW7" i="1" s="1"/>
  <c r="AV6" i="1" a="1"/>
  <c r="AV6" i="1" s="1"/>
  <c r="AV7" i="1" s="1"/>
  <c r="AU6" i="1" a="1"/>
  <c r="AU6" i="1"/>
  <c r="AU7" i="1" s="1"/>
  <c r="AT6" i="1" a="1"/>
  <c r="AT6" i="1"/>
  <c r="AT8" i="1" s="1"/>
  <c r="AS6" i="1" a="1"/>
  <c r="AS6" i="1"/>
  <c r="AR6" i="1" a="1"/>
  <c r="AR6" i="1" s="1"/>
  <c r="AQ6" i="1" a="1"/>
  <c r="AQ6" i="1"/>
  <c r="AQ8" i="1" s="1"/>
  <c r="AP6" i="1" a="1"/>
  <c r="AP6" i="1"/>
  <c r="AP8" i="1" s="1"/>
  <c r="AO6" i="1" a="1"/>
  <c r="AO6" i="1"/>
  <c r="AO7" i="1" s="1"/>
  <c r="AN6" i="1" a="1"/>
  <c r="AN6" i="1"/>
  <c r="AN7" i="1" s="1"/>
  <c r="AM6" i="1" a="1"/>
  <c r="AM6" i="1"/>
  <c r="AM7" i="1" s="1"/>
  <c r="AL6" i="1" a="1"/>
  <c r="AL6" i="1"/>
  <c r="AK6" i="1" a="1"/>
  <c r="AK6" i="1" s="1"/>
  <c r="AK7" i="1" s="1"/>
  <c r="AJ6" i="1" a="1"/>
  <c r="AJ6" i="1"/>
  <c r="AJ7" i="1" s="1"/>
  <c r="AI6" i="1" a="1"/>
  <c r="AI6" i="1"/>
  <c r="AH6" i="1" a="1"/>
  <c r="AH6" i="1"/>
  <c r="AG6" i="1" a="1"/>
  <c r="AG6" i="1"/>
  <c r="AF6" i="1" a="1"/>
  <c r="AF6" i="1"/>
  <c r="AF7" i="1" s="1"/>
  <c r="AE6" i="1" a="1"/>
  <c r="AE6" i="1"/>
  <c r="AE8" i="1" s="1"/>
  <c r="AD6" i="1" a="1"/>
  <c r="AD6" i="1"/>
  <c r="AC6" i="1" a="1"/>
  <c r="AC6" i="1"/>
  <c r="AB6" i="1" a="1"/>
  <c r="AB6" i="1"/>
  <c r="AB7" i="1" s="1"/>
  <c r="AA6" i="1" a="1"/>
  <c r="AA6" i="1"/>
  <c r="AA7" i="1" s="1"/>
  <c r="Z6" i="1" a="1"/>
  <c r="Z6" i="1" s="1"/>
  <c r="Z8" i="1" s="1"/>
  <c r="Y6" i="1" a="1"/>
  <c r="Y6" i="1"/>
  <c r="Y8" i="1" s="1"/>
  <c r="X6" i="1" a="1"/>
  <c r="X6" i="1"/>
  <c r="X8" i="1" s="1"/>
  <c r="W6" i="1" a="1"/>
  <c r="W6" i="1"/>
  <c r="W8" i="1" s="1"/>
  <c r="V6" i="1" a="1"/>
  <c r="V6" i="1"/>
  <c r="V7" i="1" s="1"/>
  <c r="U6" i="1" a="1"/>
  <c r="U6" i="1" s="1"/>
  <c r="T6" i="1" a="1"/>
  <c r="T6" i="1"/>
  <c r="S6" i="1" a="1"/>
  <c r="S6" i="1"/>
  <c r="S8" i="1" s="1"/>
  <c r="R6" i="1" a="1"/>
  <c r="R6" i="1"/>
  <c r="Q6" i="1" a="1"/>
  <c r="Q6" i="1" s="1"/>
  <c r="Q7" i="1" s="1"/>
  <c r="P6" i="1" a="1"/>
  <c r="P6" i="1"/>
  <c r="P7" i="1" s="1"/>
  <c r="O6" i="1" a="1"/>
  <c r="O6" i="1" s="1"/>
  <c r="O8" i="1" s="1"/>
  <c r="N6" i="1" a="1"/>
  <c r="N6" i="1"/>
  <c r="N7" i="1" s="1"/>
  <c r="M6" i="1" a="1"/>
  <c r="M6" i="1"/>
  <c r="M7" i="1" s="1"/>
  <c r="L6" i="1" a="1"/>
  <c r="L6" i="1"/>
  <c r="L8" i="1" s="1"/>
  <c r="K6" i="1" a="1"/>
  <c r="K6" i="1"/>
  <c r="J6" i="1" a="1"/>
  <c r="J6" i="1"/>
  <c r="J7" i="1" s="1"/>
  <c r="I6" i="1" a="1"/>
  <c r="I6" i="1"/>
  <c r="H6" i="1" a="1"/>
  <c r="H6" i="1"/>
  <c r="G6" i="1" a="1"/>
  <c r="G6" i="1"/>
  <c r="G7" i="1" s="1"/>
  <c r="F6" i="1" a="1"/>
  <c r="F6" i="1"/>
  <c r="F8" i="1" s="1"/>
  <c r="E6" i="1" a="1"/>
  <c r="E6" i="1"/>
  <c r="E8" i="1" s="1"/>
  <c r="D6" i="1" a="1"/>
  <c r="D6" i="1" s="1"/>
  <c r="D8" i="1" s="1"/>
  <c r="C6" i="1" a="1"/>
  <c r="C6" i="1"/>
  <c r="C8" i="1" s="1"/>
  <c r="EO24" i="2" l="1"/>
  <c r="BD8" i="1"/>
  <c r="BD7" i="1"/>
  <c r="CW7" i="7"/>
  <c r="CW8" i="7"/>
  <c r="G7" i="7"/>
  <c r="G8" i="7"/>
  <c r="DM7" i="3"/>
  <c r="DM8" i="3"/>
  <c r="EA8" i="3"/>
  <c r="EA7" i="3"/>
  <c r="EM14" i="3"/>
  <c r="EN14" i="3" s="1"/>
  <c r="CZ7" i="1"/>
  <c r="CZ8" i="1"/>
  <c r="DM8" i="1"/>
  <c r="DM7" i="1"/>
  <c r="BP8" i="1"/>
  <c r="BP7" i="1"/>
  <c r="CB8" i="1"/>
  <c r="CB7" i="1"/>
  <c r="CO7" i="1"/>
  <c r="CO8" i="1"/>
  <c r="CI7" i="2"/>
  <c r="CI8" i="2"/>
  <c r="F8" i="2"/>
  <c r="F7" i="2"/>
  <c r="U7" i="1"/>
  <c r="U8" i="1"/>
  <c r="AG8" i="1"/>
  <c r="AG7" i="1"/>
  <c r="AS8" i="1"/>
  <c r="AS7" i="1"/>
  <c r="U8" i="3"/>
  <c r="U7" i="3"/>
  <c r="EM7" i="2"/>
  <c r="EM8" i="2"/>
  <c r="CN8" i="2"/>
  <c r="CN7" i="2"/>
  <c r="DN8" i="2"/>
  <c r="DN7" i="2"/>
  <c r="EA8" i="2"/>
  <c r="EA7" i="2"/>
  <c r="EM13" i="3"/>
  <c r="EN13" i="3" s="1"/>
  <c r="DM7" i="4"/>
  <c r="DM8" i="4"/>
  <c r="EL7" i="4"/>
  <c r="EL8" i="4"/>
  <c r="AZ8" i="2"/>
  <c r="AZ7" i="2"/>
  <c r="BN7" i="2"/>
  <c r="BN8" i="2"/>
  <c r="CA8" i="2"/>
  <c r="CA7" i="2"/>
  <c r="EM12" i="3"/>
  <c r="EN12" i="3" s="1"/>
  <c r="AO7" i="3"/>
  <c r="DP8" i="4"/>
  <c r="CC8" i="1"/>
  <c r="CH7" i="4"/>
  <c r="CH8" i="4"/>
  <c r="DS7" i="4"/>
  <c r="DS8" i="4"/>
  <c r="L7" i="4"/>
  <c r="DQ8" i="4"/>
  <c r="BG8" i="7"/>
  <c r="BG7" i="7"/>
  <c r="BT8" i="7"/>
  <c r="BT7" i="7"/>
  <c r="CU8" i="7"/>
  <c r="CU7" i="7"/>
  <c r="EL7" i="7"/>
  <c r="EL8" i="7"/>
  <c r="CP8" i="7"/>
  <c r="AT7" i="1"/>
  <c r="M8" i="1"/>
  <c r="AU8" i="1"/>
  <c r="CD8" i="1"/>
  <c r="DQ8" i="1"/>
  <c r="Q7" i="2"/>
  <c r="AE8" i="2"/>
  <c r="T7" i="3"/>
  <c r="T8" i="3"/>
  <c r="BN8" i="3"/>
  <c r="CU7" i="4"/>
  <c r="CU8" i="4"/>
  <c r="M7" i="4"/>
  <c r="BH7" i="4"/>
  <c r="EG7" i="4"/>
  <c r="CC8" i="4"/>
  <c r="DJ7" i="7"/>
  <c r="DJ8" i="7"/>
  <c r="CI7" i="1"/>
  <c r="CI8" i="1"/>
  <c r="DG8" i="1"/>
  <c r="DG7" i="1"/>
  <c r="L7" i="1"/>
  <c r="N8" i="1"/>
  <c r="AV8" i="1"/>
  <c r="CF8" i="1"/>
  <c r="DR8" i="1"/>
  <c r="S8" i="2"/>
  <c r="S7" i="2"/>
  <c r="AT7" i="2"/>
  <c r="AT8" i="2"/>
  <c r="CU8" i="2"/>
  <c r="CU7" i="2"/>
  <c r="DU7" i="2"/>
  <c r="DU8" i="2"/>
  <c r="R7" i="2"/>
  <c r="AF8" i="2"/>
  <c r="AU7" i="3"/>
  <c r="AU8" i="3"/>
  <c r="CP7" i="3"/>
  <c r="AF8" i="3"/>
  <c r="EM18" i="3"/>
  <c r="EN18" i="3" s="1"/>
  <c r="BI7" i="4"/>
  <c r="AS8" i="4"/>
  <c r="DU8" i="4"/>
  <c r="T8" i="7"/>
  <c r="T7" i="7"/>
  <c r="AG8" i="7"/>
  <c r="AG7" i="7"/>
  <c r="AU8" i="7"/>
  <c r="AU7" i="7"/>
  <c r="AT7" i="7"/>
  <c r="AW8" i="1"/>
  <c r="EH7" i="2"/>
  <c r="DE8" i="2"/>
  <c r="V7" i="3"/>
  <c r="CQ7" i="3"/>
  <c r="AG8" i="3"/>
  <c r="BP8" i="3"/>
  <c r="DF8" i="3"/>
  <c r="AM7" i="4"/>
  <c r="AM8" i="4"/>
  <c r="AV8" i="4"/>
  <c r="CI8" i="4"/>
  <c r="DY8" i="7"/>
  <c r="DY7" i="7"/>
  <c r="AY7" i="7"/>
  <c r="CM7" i="7"/>
  <c r="BQ8" i="1"/>
  <c r="AH8" i="1"/>
  <c r="AH7" i="1"/>
  <c r="DB8" i="2"/>
  <c r="DB7" i="2"/>
  <c r="EB8" i="2"/>
  <c r="EB7" i="2"/>
  <c r="DO7" i="3"/>
  <c r="DZ7" i="4"/>
  <c r="DA7" i="1"/>
  <c r="CR7" i="2"/>
  <c r="CR8" i="2"/>
  <c r="CO8" i="3"/>
  <c r="BS8" i="2"/>
  <c r="AM7" i="2"/>
  <c r="AM8" i="2"/>
  <c r="BA8" i="2"/>
  <c r="BA7" i="2"/>
  <c r="CA8" i="3"/>
  <c r="CA7" i="3"/>
  <c r="CB8" i="2"/>
  <c r="CB7" i="2"/>
  <c r="BB8" i="3"/>
  <c r="BB7" i="3"/>
  <c r="DA7" i="3"/>
  <c r="DA8" i="3"/>
  <c r="EB7" i="3"/>
  <c r="EB8" i="3"/>
  <c r="DN7" i="3"/>
  <c r="CP7" i="4"/>
  <c r="CP8" i="4"/>
  <c r="CC7" i="7"/>
  <c r="CC8" i="7"/>
  <c r="DB7" i="1"/>
  <c r="DB8" i="1"/>
  <c r="EL7" i="1"/>
  <c r="EL8" i="1"/>
  <c r="M8" i="2"/>
  <c r="M7" i="2"/>
  <c r="CP8" i="2"/>
  <c r="CP7" i="2"/>
  <c r="DC8" i="2"/>
  <c r="DC7" i="2"/>
  <c r="AN7" i="2"/>
  <c r="CB8" i="3"/>
  <c r="CB7" i="3"/>
  <c r="AT8" i="4"/>
  <c r="AT7" i="4"/>
  <c r="BF8" i="4"/>
  <c r="BF7" i="4"/>
  <c r="K8" i="1"/>
  <c r="K7" i="1"/>
  <c r="AI8" i="1"/>
  <c r="AI7" i="1"/>
  <c r="DO8" i="1"/>
  <c r="DO7" i="1"/>
  <c r="BP8" i="2"/>
  <c r="BP7" i="2"/>
  <c r="EC8" i="2"/>
  <c r="EC7" i="2"/>
  <c r="P8" i="3"/>
  <c r="P7" i="3"/>
  <c r="CC8" i="3"/>
  <c r="CC7" i="3"/>
  <c r="DB8" i="3"/>
  <c r="DB7" i="3"/>
  <c r="AP7" i="3"/>
  <c r="DP7" i="3"/>
  <c r="J7" i="4"/>
  <c r="J8" i="4"/>
  <c r="EB7" i="4"/>
  <c r="EB8" i="4"/>
  <c r="AP7" i="7"/>
  <c r="AP8" i="7"/>
  <c r="BQ7" i="7"/>
  <c r="BQ8" i="7"/>
  <c r="EK7" i="1"/>
  <c r="AP8" i="2"/>
  <c r="AP7" i="2"/>
  <c r="DD8" i="2"/>
  <c r="DD7" i="2"/>
  <c r="BQ7" i="3"/>
  <c r="BQ8" i="3"/>
  <c r="ED8" i="3"/>
  <c r="ED7" i="3"/>
  <c r="CN8" i="3"/>
  <c r="AU8" i="4"/>
  <c r="AU7" i="4"/>
  <c r="BG8" i="4"/>
  <c r="BG7" i="4"/>
  <c r="BS7" i="4"/>
  <c r="BS8" i="4"/>
  <c r="BH8" i="1"/>
  <c r="BH7" i="1"/>
  <c r="ED8" i="2"/>
  <c r="ED7" i="2"/>
  <c r="CD8" i="3"/>
  <c r="CD7" i="3"/>
  <c r="DC8" i="3"/>
  <c r="DC7" i="3"/>
  <c r="W8" i="4"/>
  <c r="W7" i="4"/>
  <c r="BT7" i="4"/>
  <c r="BT8" i="4"/>
  <c r="CF8" i="4"/>
  <c r="CF7" i="4"/>
  <c r="EA7" i="4"/>
  <c r="B21" i="6"/>
  <c r="CD7" i="7"/>
  <c r="CQ8" i="2"/>
  <c r="DD7" i="3"/>
  <c r="DD8" i="3"/>
  <c r="EE7" i="3"/>
  <c r="EE8" i="3"/>
  <c r="DE7" i="4"/>
  <c r="DE8" i="4"/>
  <c r="CO7" i="4"/>
  <c r="EC7" i="4"/>
  <c r="BI8" i="1"/>
  <c r="BI7" i="1"/>
  <c r="EE7" i="2"/>
  <c r="EE8" i="2"/>
  <c r="X8" i="4"/>
  <c r="X7" i="4"/>
  <c r="BU7" i="4"/>
  <c r="BU8" i="4"/>
  <c r="I7" i="4"/>
  <c r="CQ7" i="4"/>
  <c r="ED7" i="4"/>
  <c r="AJ8" i="4"/>
  <c r="DO8" i="4"/>
  <c r="J8" i="1"/>
  <c r="AC8" i="2"/>
  <c r="DE8" i="3"/>
  <c r="DE7" i="3"/>
  <c r="EF8" i="3"/>
  <c r="EF7" i="3"/>
  <c r="AB8" i="3"/>
  <c r="DF8" i="4"/>
  <c r="DF7" i="4"/>
  <c r="K7" i="4"/>
  <c r="EG8" i="7"/>
  <c r="BJ7" i="1"/>
  <c r="BJ8" i="1"/>
  <c r="AD8" i="2"/>
  <c r="EG8" i="3"/>
  <c r="EG7" i="3"/>
  <c r="AC8" i="3"/>
  <c r="EM20" i="3"/>
  <c r="EN20" i="3" s="1"/>
  <c r="CJ7" i="1"/>
  <c r="CJ8" i="1"/>
  <c r="CE7" i="1"/>
  <c r="AX8" i="1"/>
  <c r="T8" i="2"/>
  <c r="T7" i="2"/>
  <c r="Z7" i="2"/>
  <c r="CS7" i="2"/>
  <c r="BR8" i="2"/>
  <c r="DF8" i="2"/>
  <c r="CR7" i="3"/>
  <c r="EC7" i="3"/>
  <c r="AW8" i="4"/>
  <c r="U8" i="7"/>
  <c r="U7" i="7"/>
  <c r="AH7" i="7"/>
  <c r="AH8" i="7"/>
  <c r="AV7" i="7"/>
  <c r="AV8" i="7"/>
  <c r="BB8" i="7"/>
  <c r="BA8" i="1"/>
  <c r="BA7" i="1"/>
  <c r="Q8" i="1"/>
  <c r="CP8" i="1"/>
  <c r="AV8" i="2"/>
  <c r="AV7" i="2"/>
  <c r="AA7" i="2"/>
  <c r="CV7" i="2"/>
  <c r="BV8" i="3"/>
  <c r="BV7" i="3"/>
  <c r="CS7" i="3"/>
  <c r="AI8" i="3"/>
  <c r="DI8" i="3"/>
  <c r="AN7" i="4"/>
  <c r="AN8" i="4"/>
  <c r="EH8" i="4"/>
  <c r="EH7" i="4"/>
  <c r="AX8" i="4"/>
  <c r="CK8" i="4"/>
  <c r="CQ7" i="7"/>
  <c r="R7" i="1"/>
  <c r="R8" i="1"/>
  <c r="CH7" i="1"/>
  <c r="CQ8" i="1"/>
  <c r="AB7" i="2"/>
  <c r="CV8" i="3"/>
  <c r="CV7" i="3"/>
  <c r="DW7" i="3"/>
  <c r="DW8" i="3"/>
  <c r="AD7" i="3"/>
  <c r="AJ8" i="3"/>
  <c r="I7" i="7"/>
  <c r="I8" i="7"/>
  <c r="V8" i="7"/>
  <c r="V7" i="7"/>
  <c r="BK8" i="7"/>
  <c r="BK7" i="7"/>
  <c r="BC7" i="7"/>
  <c r="V7" i="2"/>
  <c r="V8" i="2"/>
  <c r="AW8" i="2"/>
  <c r="AW7" i="2"/>
  <c r="CL8" i="4"/>
  <c r="CL7" i="4"/>
  <c r="DG7" i="4"/>
  <c r="P8" i="4"/>
  <c r="BL8" i="7"/>
  <c r="BL7" i="7"/>
  <c r="DD8" i="7"/>
  <c r="CL8" i="1"/>
  <c r="CL7" i="1"/>
  <c r="V8" i="1"/>
  <c r="CT8" i="1"/>
  <c r="BO7" i="2"/>
  <c r="X8" i="3"/>
  <c r="X7" i="3"/>
  <c r="C8" i="3"/>
  <c r="AG7" i="4"/>
  <c r="BQ7" i="4"/>
  <c r="Q8" i="4"/>
  <c r="BB8" i="4"/>
  <c r="DE8" i="7"/>
  <c r="CM8" i="1"/>
  <c r="CM7" i="1"/>
  <c r="BE7" i="1"/>
  <c r="W7" i="2"/>
  <c r="W8" i="2"/>
  <c r="G8" i="2"/>
  <c r="AO8" i="2"/>
  <c r="CE8" i="3"/>
  <c r="AH7" i="4"/>
  <c r="BR7" i="4"/>
  <c r="CS8" i="4"/>
  <c r="AL8" i="7"/>
  <c r="AL7" i="7"/>
  <c r="DA7" i="7"/>
  <c r="DA8" i="7"/>
  <c r="BH7" i="7"/>
  <c r="DI7" i="7"/>
  <c r="O8" i="7"/>
  <c r="CA7" i="1"/>
  <c r="CA8" i="1"/>
  <c r="DL8" i="1"/>
  <c r="DL7" i="1"/>
  <c r="W7" i="1"/>
  <c r="BF7" i="1"/>
  <c r="DZ7" i="1"/>
  <c r="AA8" i="1"/>
  <c r="CZ8" i="2"/>
  <c r="CZ7" i="2"/>
  <c r="BT7" i="2"/>
  <c r="Y7" i="3"/>
  <c r="Y8" i="3"/>
  <c r="CZ7" i="3"/>
  <c r="CF8" i="3"/>
  <c r="AI7" i="4"/>
  <c r="CT8" i="4"/>
  <c r="BZ7" i="7"/>
  <c r="BZ8" i="7"/>
  <c r="DL7" i="7"/>
  <c r="CN8" i="1"/>
  <c r="CN7" i="1"/>
  <c r="X7" i="1"/>
  <c r="BG7" i="1"/>
  <c r="EA7" i="1"/>
  <c r="BL8" i="1"/>
  <c r="BZ8" i="2"/>
  <c r="BZ7" i="2"/>
  <c r="BV7" i="2"/>
  <c r="DO8" i="2"/>
  <c r="BR7" i="3"/>
  <c r="AR8" i="3"/>
  <c r="BY7" i="4"/>
  <c r="BE8" i="4"/>
  <c r="CA7" i="7"/>
  <c r="CA8" i="7"/>
  <c r="DB7" i="7"/>
  <c r="DB8" i="7"/>
  <c r="W7" i="7"/>
  <c r="BJ7" i="7"/>
  <c r="DM7" i="7"/>
  <c r="BP8" i="7"/>
  <c r="DV7" i="2"/>
  <c r="O7" i="4"/>
  <c r="DC8" i="7"/>
  <c r="DC7" i="7"/>
  <c r="C24" i="8"/>
  <c r="EE8" i="1"/>
  <c r="EO16" i="1"/>
  <c r="EI7" i="4"/>
  <c r="DT8" i="4"/>
  <c r="EE7" i="7"/>
  <c r="BR8" i="7"/>
  <c r="AX7" i="2"/>
  <c r="Z7" i="3"/>
  <c r="AA7" i="4"/>
  <c r="DG8" i="7"/>
  <c r="DG7" i="7"/>
  <c r="I8" i="1"/>
  <c r="I7" i="1"/>
  <c r="AY7" i="2"/>
  <c r="AY8" i="2"/>
  <c r="EJ8" i="7"/>
  <c r="EJ7" i="7"/>
  <c r="AR8" i="7"/>
  <c r="CT8" i="7"/>
  <c r="CT7" i="7"/>
  <c r="DH7" i="7"/>
  <c r="C16" i="8"/>
  <c r="BS7" i="7"/>
  <c r="BS8" i="7"/>
  <c r="R7" i="7"/>
  <c r="C28" i="8"/>
  <c r="S8" i="7"/>
  <c r="S7" i="7"/>
  <c r="DS8" i="7"/>
  <c r="C20" i="8"/>
  <c r="CG8" i="7"/>
  <c r="CG7" i="7"/>
  <c r="AO8" i="7"/>
  <c r="AO7" i="7"/>
  <c r="C32" i="8" l="1"/>
  <c r="C31" i="8"/>
  <c r="C33" i="8" s="1"/>
  <c r="C30" i="8"/>
</calcChain>
</file>

<file path=xl/sharedStrings.xml><?xml version="1.0" encoding="utf-8"?>
<sst xmlns="http://schemas.openxmlformats.org/spreadsheetml/2006/main" count="2658" uniqueCount="336">
  <si>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</si>
  <si>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</si>
  <si>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</si>
  <si>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</si>
  <si>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</si>
  <si>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</si>
  <si>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</si>
  <si>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</si>
  <si>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</si>
  <si>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</si>
  <si>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</si>
  <si>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</si>
  <si>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</si>
  <si>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</si>
  <si>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</si>
  <si>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</si>
  <si>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</si>
  <si>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</si>
  <si>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</si>
  <si>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</si>
  <si>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</si>
  <si>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</si>
  <si>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</si>
  <si>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</si>
  <si>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</si>
  <si>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</si>
  <si>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</si>
  <si>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</si>
  <si>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</si>
  <si>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</si>
  <si>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</si>
  <si>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</si>
  <si>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</si>
  <si>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</si>
  <si>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</si>
  <si>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</si>
  <si>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</si>
  <si>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</si>
  <si>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</si>
  <si>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</si>
  <si>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</si>
  <si>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</si>
  <si>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</si>
  <si>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</si>
  <si>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</si>
  <si>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</si>
  <si>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</si>
  <si>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</si>
  <si>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</si>
  <si>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</si>
  <si>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</si>
  <si>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</si>
  <si>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</si>
  <si>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</si>
  <si>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</si>
  <si>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</si>
  <si>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</si>
  <si>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</si>
  <si>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</si>
  <si>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</si>
  <si>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</si>
  <si>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</si>
  <si>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</si>
  <si>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</si>
  <si>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</si>
  <si>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</si>
  <si>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</si>
  <si>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</si>
  <si>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</si>
  <si>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</si>
  <si>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</si>
  <si>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</si>
  <si>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</si>
  <si>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</si>
  <si>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</si>
  <si>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</si>
  <si>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</si>
  <si>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</si>
  <si>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</si>
  <si>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</si>
  <si>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</si>
  <si>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</si>
  <si>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</si>
  <si>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</si>
  <si>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</si>
  <si>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</si>
  <si>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</si>
  <si>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</si>
  <si>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</si>
  <si>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</si>
  <si>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</si>
  <si>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</si>
  <si>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</si>
  <si>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</si>
  <si>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</si>
  <si>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</si>
  <si>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</si>
  <si>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</si>
  <si>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</si>
  <si>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</si>
  <si>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</si>
  <si>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</si>
  <si>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</si>
  <si>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</si>
  <si>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</si>
  <si>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</si>
  <si>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</si>
  <si>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</si>
  <si>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</si>
  <si>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</si>
  <si>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</si>
  <si>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</si>
  <si>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</si>
  <si>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</si>
  <si>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</si>
  <si>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</si>
  <si>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</si>
  <si>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</si>
  <si>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</si>
  <si>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</si>
  <si>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</si>
  <si>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</si>
  <si>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</si>
  <si>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</si>
  <si>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</si>
  <si>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</si>
  <si>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</si>
  <si>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</si>
  <si>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</si>
  <si>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</si>
  <si>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</si>
  <si>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</si>
  <si>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</si>
  <si>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</si>
  <si>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</si>
  <si>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</si>
  <si>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</si>
  <si>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</si>
  <si>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</si>
  <si>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</si>
  <si>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</si>
  <si>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</si>
  <si>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</si>
  <si>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</si>
  <si>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</si>
  <si>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</si>
  <si>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</si>
  <si>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</si>
  <si>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</si>
  <si>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</si>
  <si>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</si>
  <si>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</si>
  <si>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</si>
  <si>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</si>
  <si>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</si>
  <si>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</si>
  <si>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</si>
  <si>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</si>
  <si>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3043</t>
  </si>
  <si>
    <t>5455</t>
  </si>
  <si>
    <t>6130</t>
  </si>
  <si>
    <t>6114</t>
  </si>
  <si>
    <t>5324</t>
  </si>
  <si>
    <t>2388</t>
  </si>
  <si>
    <t>3176</t>
  </si>
  <si>
    <t>8044</t>
  </si>
  <si>
    <t>2028</t>
  </si>
  <si>
    <t>6225</t>
  </si>
  <si>
    <t>3232</t>
  </si>
  <si>
    <t>6259</t>
  </si>
  <si>
    <t>9906</t>
  </si>
  <si>
    <t>3272</t>
  </si>
  <si>
    <t>3095</t>
  </si>
  <si>
    <t>6291</t>
  </si>
  <si>
    <t>3064</t>
  </si>
  <si>
    <t>3205</t>
  </si>
  <si>
    <t>5386</t>
  </si>
  <si>
    <t>6165</t>
  </si>
  <si>
    <t>1475</t>
  </si>
  <si>
    <t>4303</t>
  </si>
  <si>
    <t>5310</t>
  </si>
  <si>
    <t>6236</t>
  </si>
  <si>
    <t>5475</t>
  </si>
  <si>
    <t>8070</t>
  </si>
  <si>
    <t>3228</t>
  </si>
  <si>
    <t>4304</t>
  </si>
  <si>
    <t>3191</t>
  </si>
  <si>
    <t>5348</t>
  </si>
  <si>
    <t>1325</t>
  </si>
  <si>
    <t>9103</t>
  </si>
  <si>
    <t>3138</t>
  </si>
  <si>
    <t>6276</t>
  </si>
  <si>
    <t>2007</t>
  </si>
  <si>
    <t>3093</t>
  </si>
  <si>
    <t>6241</t>
  </si>
  <si>
    <t>3443</t>
  </si>
  <si>
    <t>2615</t>
  </si>
  <si>
    <t>8933</t>
  </si>
  <si>
    <t>5364</t>
  </si>
  <si>
    <t>2482</t>
  </si>
  <si>
    <t>2321</t>
  </si>
  <si>
    <t>3308</t>
  </si>
  <si>
    <t>1519</t>
  </si>
  <si>
    <t>1808</t>
  </si>
  <si>
    <t>5314</t>
  </si>
  <si>
    <t>2314</t>
  </si>
  <si>
    <t>1101</t>
  </si>
  <si>
    <t>公司名稱</t>
  </si>
  <si>
    <t>科風</t>
  </si>
  <si>
    <t>昇益</t>
  </si>
  <si>
    <t>上亞科技</t>
  </si>
  <si>
    <t>久威</t>
  </si>
  <si>
    <t>士開</t>
  </si>
  <si>
    <t>威盛</t>
  </si>
  <si>
    <t>基亞</t>
  </si>
  <si>
    <t>網家</t>
  </si>
  <si>
    <t>威致</t>
  </si>
  <si>
    <t>天瀚</t>
  </si>
  <si>
    <t>昱捷</t>
  </si>
  <si>
    <t>百徽</t>
  </si>
  <si>
    <t>欣巴巴</t>
  </si>
  <si>
    <t>東碩</t>
  </si>
  <si>
    <t>及成</t>
  </si>
  <si>
    <t>沛亨</t>
  </si>
  <si>
    <t>泰偉</t>
  </si>
  <si>
    <t>佰研</t>
  </si>
  <si>
    <t>青雲</t>
  </si>
  <si>
    <t>浪凡</t>
  </si>
  <si>
    <t>業旺</t>
  </si>
  <si>
    <t>信立</t>
  </si>
  <si>
    <t>天剛</t>
  </si>
  <si>
    <t>中湛</t>
  </si>
  <si>
    <t>德宏</t>
  </si>
  <si>
    <t>長華*</t>
  </si>
  <si>
    <t>金麗科</t>
  </si>
  <si>
    <t>勝昱</t>
  </si>
  <si>
    <t>雲嘉南</t>
  </si>
  <si>
    <t>正能量智能</t>
  </si>
  <si>
    <t>恒大</t>
  </si>
  <si>
    <t>美德醫療-DR</t>
  </si>
  <si>
    <t>耀登</t>
  </si>
  <si>
    <t>安鈦克</t>
  </si>
  <si>
    <t>燁興</t>
  </si>
  <si>
    <t>港建*</t>
  </si>
  <si>
    <t>易通展</t>
  </si>
  <si>
    <t>創意</t>
  </si>
  <si>
    <t>萬海</t>
  </si>
  <si>
    <t>愛地雅</t>
  </si>
  <si>
    <t>力麗店</t>
  </si>
  <si>
    <t>連宇</t>
  </si>
  <si>
    <t>東訊</t>
  </si>
  <si>
    <t>聯德</t>
  </si>
  <si>
    <t>華城</t>
  </si>
  <si>
    <t>潤隆</t>
  </si>
  <si>
    <t>世紀*</t>
  </si>
  <si>
    <t>台揚</t>
  </si>
  <si>
    <t>台泥</t>
  </si>
  <si>
    <t>高</t>
  </si>
  <si>
    <t>2540</t>
  </si>
  <si>
    <t>2330</t>
  </si>
  <si>
    <t>2323</t>
  </si>
  <si>
    <t>8941</t>
  </si>
  <si>
    <t>2408</t>
  </si>
  <si>
    <t>4502</t>
  </si>
  <si>
    <t>6283</t>
  </si>
  <si>
    <t>6246</t>
  </si>
  <si>
    <t>2496</t>
  </si>
  <si>
    <t>3252</t>
  </si>
  <si>
    <t>2337</t>
  </si>
  <si>
    <t>1906</t>
  </si>
  <si>
    <t>2342</t>
  </si>
  <si>
    <t>9958</t>
  </si>
  <si>
    <t>1529</t>
  </si>
  <si>
    <t>8085</t>
  </si>
  <si>
    <t>2409</t>
  </si>
  <si>
    <t>5608</t>
  </si>
  <si>
    <t>1314</t>
  </si>
  <si>
    <t>2609</t>
  </si>
  <si>
    <t>2364</t>
  </si>
  <si>
    <t>1312</t>
  </si>
  <si>
    <t>2603</t>
  </si>
  <si>
    <t>6103</t>
  </si>
  <si>
    <t>6144</t>
  </si>
  <si>
    <t>8937</t>
  </si>
  <si>
    <t>9962</t>
  </si>
  <si>
    <t>愛山林</t>
  </si>
  <si>
    <t>台積電</t>
  </si>
  <si>
    <t>中環</t>
  </si>
  <si>
    <t>關中</t>
  </si>
  <si>
    <t>南亞科</t>
  </si>
  <si>
    <t>健信</t>
  </si>
  <si>
    <t>淳安</t>
  </si>
  <si>
    <t>臺龍</t>
  </si>
  <si>
    <t>卓越</t>
  </si>
  <si>
    <t>海灣</t>
  </si>
  <si>
    <t>旺宏</t>
  </si>
  <si>
    <t>寶隆</t>
  </si>
  <si>
    <t>茂矽</t>
  </si>
  <si>
    <t>世紀鋼</t>
  </si>
  <si>
    <t>樂事綠能</t>
  </si>
  <si>
    <t>福華</t>
  </si>
  <si>
    <t>友達</t>
  </si>
  <si>
    <t>四維航</t>
  </si>
  <si>
    <t>中石化</t>
  </si>
  <si>
    <t>陽明</t>
  </si>
  <si>
    <t>倫飛</t>
  </si>
  <si>
    <t>國喬</t>
  </si>
  <si>
    <t>長榮</t>
  </si>
  <si>
    <t>合邦</t>
  </si>
  <si>
    <t>得利影</t>
  </si>
  <si>
    <t>合騏</t>
  </si>
  <si>
    <t>有益</t>
  </si>
  <si>
    <t>sum</t>
  </si>
  <si>
    <t>勝率</t>
  </si>
  <si>
    <t>OLS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</si>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</sst>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4" borderId="1" xfId="0" applyFill="1" applyBorder="1"/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0.11090887899948915</c:v>
                </c:pt>
                <c:pt idx="2">
                  <c:v>0.11784500839018432</c:v>
                </c:pt>
                <c:pt idx="3">
                  <c:v>9.2289106041470462E-2</c:v>
                </c:pt>
                <c:pt idx="4">
                  <c:v>5.9516346122490564E-2</c:v>
                </c:pt>
                <c:pt idx="5">
                  <c:v>6.7227368851246389E-2</c:v>
                </c:pt>
                <c:pt idx="6">
                  <c:v>2.061540476099346E-2</c:v>
                </c:pt>
                <c:pt idx="7">
                  <c:v>7.7297064350521222E-2</c:v>
                </c:pt>
                <c:pt idx="8">
                  <c:v>8.5275479760135789E-2</c:v>
                </c:pt>
                <c:pt idx="9">
                  <c:v>8.4425775957238311E-2</c:v>
                </c:pt>
                <c:pt idx="10">
                  <c:v>0.1184905712233414</c:v>
                </c:pt>
                <c:pt idx="11">
                  <c:v>0.14018053686155418</c:v>
                </c:pt>
                <c:pt idx="12">
                  <c:v>0.16962952535874262</c:v>
                </c:pt>
                <c:pt idx="13">
                  <c:v>0.17408423282422708</c:v>
                </c:pt>
                <c:pt idx="14">
                  <c:v>0.19632347082890689</c:v>
                </c:pt>
                <c:pt idx="15">
                  <c:v>0.18316375540907842</c:v>
                </c:pt>
                <c:pt idx="16">
                  <c:v>0.22364561139237688</c:v>
                </c:pt>
                <c:pt idx="17">
                  <c:v>0.27095273936646913</c:v>
                </c:pt>
                <c:pt idx="18">
                  <c:v>0.28130471307670807</c:v>
                </c:pt>
                <c:pt idx="19">
                  <c:v>0.28385856613702792</c:v>
                </c:pt>
                <c:pt idx="20">
                  <c:v>0.31696678072877815</c:v>
                </c:pt>
                <c:pt idx="21">
                  <c:v>0.27075654021849344</c:v>
                </c:pt>
                <c:pt idx="22">
                  <c:v>0.23403491771158536</c:v>
                </c:pt>
                <c:pt idx="23">
                  <c:v>0.28339372503615418</c:v>
                </c:pt>
                <c:pt idx="24">
                  <c:v>0.2504854873299216</c:v>
                </c:pt>
                <c:pt idx="25">
                  <c:v>0.21938369317753548</c:v>
                </c:pt>
                <c:pt idx="26">
                  <c:v>0.26945779787189916</c:v>
                </c:pt>
                <c:pt idx="27">
                  <c:v>0.28153462039253535</c:v>
                </c:pt>
                <c:pt idx="28">
                  <c:v>0.32648856417908656</c:v>
                </c:pt>
                <c:pt idx="29">
                  <c:v>0.27641288046382717</c:v>
                </c:pt>
                <c:pt idx="30">
                  <c:v>0.31407003308966175</c:v>
                </c:pt>
                <c:pt idx="31">
                  <c:v>0.31798189306420094</c:v>
                </c:pt>
                <c:pt idx="32">
                  <c:v>0.32572259331057724</c:v>
                </c:pt>
                <c:pt idx="33">
                  <c:v>0.33566104269307262</c:v>
                </c:pt>
                <c:pt idx="34">
                  <c:v>0.37677573594586156</c:v>
                </c:pt>
                <c:pt idx="35">
                  <c:v>0.38639972582063969</c:v>
                </c:pt>
                <c:pt idx="36">
                  <c:v>0.39949804359368124</c:v>
                </c:pt>
                <c:pt idx="37">
                  <c:v>0.45935023479693116</c:v>
                </c:pt>
                <c:pt idx="38">
                  <c:v>0.48825491056185705</c:v>
                </c:pt>
                <c:pt idx="39">
                  <c:v>0.5026838566816747</c:v>
                </c:pt>
                <c:pt idx="40">
                  <c:v>0.48795172292475464</c:v>
                </c:pt>
                <c:pt idx="41">
                  <c:v>0.49495351324977116</c:v>
                </c:pt>
                <c:pt idx="42">
                  <c:v>0.46591490994254198</c:v>
                </c:pt>
                <c:pt idx="43">
                  <c:v>0.53773027924067651</c:v>
                </c:pt>
                <c:pt idx="44">
                  <c:v>0.55481665482413078</c:v>
                </c:pt>
                <c:pt idx="45">
                  <c:v>0.5282562433420146</c:v>
                </c:pt>
                <c:pt idx="46">
                  <c:v>0.53366583629536657</c:v>
                </c:pt>
                <c:pt idx="47">
                  <c:v>0.58945615018540154</c:v>
                </c:pt>
                <c:pt idx="48">
                  <c:v>0.5860235793877504</c:v>
                </c:pt>
                <c:pt idx="49">
                  <c:v>0.57285940976227012</c:v>
                </c:pt>
                <c:pt idx="50">
                  <c:v>0.57776367212032931</c:v>
                </c:pt>
                <c:pt idx="51">
                  <c:v>0.57880614303624023</c:v>
                </c:pt>
                <c:pt idx="52">
                  <c:v>0.58258946342678697</c:v>
                </c:pt>
                <c:pt idx="53">
                  <c:v>0.59743741248326054</c:v>
                </c:pt>
                <c:pt idx="54">
                  <c:v>0.56981673586020498</c:v>
                </c:pt>
                <c:pt idx="55">
                  <c:v>0.61559783811727786</c:v>
                </c:pt>
                <c:pt idx="56">
                  <c:v>0.65035508039904855</c:v>
                </c:pt>
                <c:pt idx="57">
                  <c:v>0.66698195077219391</c:v>
                </c:pt>
                <c:pt idx="58">
                  <c:v>0.6971148776255921</c:v>
                </c:pt>
                <c:pt idx="59">
                  <c:v>0.71608823051530301</c:v>
                </c:pt>
                <c:pt idx="60">
                  <c:v>0.70310563803023696</c:v>
                </c:pt>
                <c:pt idx="61">
                  <c:v>0.73022978380976866</c:v>
                </c:pt>
                <c:pt idx="62">
                  <c:v>0.77053138342856875</c:v>
                </c:pt>
                <c:pt idx="63">
                  <c:v>0.78232480692357032</c:v>
                </c:pt>
                <c:pt idx="64">
                  <c:v>0.75773698169872672</c:v>
                </c:pt>
                <c:pt idx="65">
                  <c:v>0.74525448878806322</c:v>
                </c:pt>
                <c:pt idx="66">
                  <c:v>0.77139586195969179</c:v>
                </c:pt>
                <c:pt idx="67">
                  <c:v>0.76558969382001585</c:v>
                </c:pt>
                <c:pt idx="68">
                  <c:v>0.7357866835414073</c:v>
                </c:pt>
                <c:pt idx="69">
                  <c:v>0.74460019461377314</c:v>
                </c:pt>
                <c:pt idx="70">
                  <c:v>0.72089232354272437</c:v>
                </c:pt>
                <c:pt idx="71">
                  <c:v>0.68633756540604418</c:v>
                </c:pt>
                <c:pt idx="72">
                  <c:v>0.67639863821313151</c:v>
                </c:pt>
                <c:pt idx="73">
                  <c:v>0.66920204583611853</c:v>
                </c:pt>
                <c:pt idx="74">
                  <c:v>0.61809252299691064</c:v>
                </c:pt>
                <c:pt idx="75">
                  <c:v>0.61104250626794399</c:v>
                </c:pt>
                <c:pt idx="76">
                  <c:v>0.64405591730676415</c:v>
                </c:pt>
                <c:pt idx="77">
                  <c:v>0.65259296586773352</c:v>
                </c:pt>
                <c:pt idx="78">
                  <c:v>0.63304723151687781</c:v>
                </c:pt>
                <c:pt idx="79">
                  <c:v>0.58094369355192021</c:v>
                </c:pt>
                <c:pt idx="80">
                  <c:v>0.59538123232841067</c:v>
                </c:pt>
                <c:pt idx="81">
                  <c:v>0.60653181724145788</c:v>
                </c:pt>
                <c:pt idx="82">
                  <c:v>0.55687047130707845</c:v>
                </c:pt>
                <c:pt idx="83">
                  <c:v>0.57228093026381965</c:v>
                </c:pt>
                <c:pt idx="84">
                  <c:v>0.54169268094025791</c:v>
                </c:pt>
                <c:pt idx="85">
                  <c:v>0.53121217027488676</c:v>
                </c:pt>
                <c:pt idx="86">
                  <c:v>0.59145575396203642</c:v>
                </c:pt>
                <c:pt idx="87">
                  <c:v>0.62478951180564357</c:v>
                </c:pt>
                <c:pt idx="88">
                  <c:v>0.59274273391290744</c:v>
                </c:pt>
                <c:pt idx="89">
                  <c:v>0.62522737890532309</c:v>
                </c:pt>
                <c:pt idx="90">
                  <c:v>0.60353125106701555</c:v>
                </c:pt>
                <c:pt idx="91">
                  <c:v>0.59498904247017637</c:v>
                </c:pt>
                <c:pt idx="92">
                  <c:v>0.65219989894757702</c:v>
                </c:pt>
                <c:pt idx="93">
                  <c:v>0.60969316233240833</c:v>
                </c:pt>
                <c:pt idx="94">
                  <c:v>0.61541920560401198</c:v>
                </c:pt>
                <c:pt idx="95">
                  <c:v>0.60891049193850222</c:v>
                </c:pt>
                <c:pt idx="96">
                  <c:v>0.68566109324405877</c:v>
                </c:pt>
                <c:pt idx="97">
                  <c:v>0.61720702053059773</c:v>
                </c:pt>
                <c:pt idx="98">
                  <c:v>0.64315409078129893</c:v>
                </c:pt>
                <c:pt idx="99">
                  <c:v>0.6222818947015154</c:v>
                </c:pt>
                <c:pt idx="100">
                  <c:v>0.59627018922606256</c:v>
                </c:pt>
                <c:pt idx="101">
                  <c:v>0.57767457739936057</c:v>
                </c:pt>
                <c:pt idx="102">
                  <c:v>0.59387257863769916</c:v>
                </c:pt>
                <c:pt idx="103">
                  <c:v>0.61006174798158164</c:v>
                </c:pt>
                <c:pt idx="104">
                  <c:v>0.57955906061011342</c:v>
                </c:pt>
                <c:pt idx="105">
                  <c:v>0.63890948231644618</c:v>
                </c:pt>
                <c:pt idx="106">
                  <c:v>0.61924493805093206</c:v>
                </c:pt>
                <c:pt idx="107">
                  <c:v>0.6073151932081412</c:v>
                </c:pt>
                <c:pt idx="108">
                  <c:v>0.64796700746855429</c:v>
                </c:pt>
                <c:pt idx="109">
                  <c:v>0.68050925670294116</c:v>
                </c:pt>
                <c:pt idx="110">
                  <c:v>0.70033297113334947</c:v>
                </c:pt>
                <c:pt idx="111">
                  <c:v>0.66997107873980377</c:v>
                </c:pt>
                <c:pt idx="112">
                  <c:v>0.68307511968684398</c:v>
                </c:pt>
                <c:pt idx="113">
                  <c:v>0.70918870625042707</c:v>
                </c:pt>
                <c:pt idx="114">
                  <c:v>0.69089209426009957</c:v>
                </c:pt>
                <c:pt idx="115">
                  <c:v>0.68087888330446344</c:v>
                </c:pt>
                <c:pt idx="116">
                  <c:v>0.70425452730939209</c:v>
                </c:pt>
                <c:pt idx="117">
                  <c:v>0.74017016825908877</c:v>
                </c:pt>
                <c:pt idx="118">
                  <c:v>0.67826781183306284</c:v>
                </c:pt>
                <c:pt idx="119">
                  <c:v>0.65665712012897659</c:v>
                </c:pt>
                <c:pt idx="120">
                  <c:v>0.60678064578733482</c:v>
                </c:pt>
                <c:pt idx="121">
                  <c:v>0.63370959251703218</c:v>
                </c:pt>
                <c:pt idx="122">
                  <c:v>0.59671376883144711</c:v>
                </c:pt>
                <c:pt idx="123">
                  <c:v>0.58901038322530008</c:v>
                </c:pt>
                <c:pt idx="124">
                  <c:v>0.58581720794274228</c:v>
                </c:pt>
                <c:pt idx="125">
                  <c:v>0.62344325258542177</c:v>
                </c:pt>
                <c:pt idx="126">
                  <c:v>0.65308092214703417</c:v>
                </c:pt>
                <c:pt idx="127">
                  <c:v>0.67366137420812988</c:v>
                </c:pt>
                <c:pt idx="128">
                  <c:v>0.72565951249939242</c:v>
                </c:pt>
                <c:pt idx="129">
                  <c:v>0.75373118965301167</c:v>
                </c:pt>
                <c:pt idx="130">
                  <c:v>0.72753624717422438</c:v>
                </c:pt>
                <c:pt idx="131">
                  <c:v>0.71888951729553341</c:v>
                </c:pt>
                <c:pt idx="132">
                  <c:v>0.69819648362812314</c:v>
                </c:pt>
                <c:pt idx="133">
                  <c:v>0.67636400119424089</c:v>
                </c:pt>
                <c:pt idx="134">
                  <c:v>0.64715676509804521</c:v>
                </c:pt>
                <c:pt idx="135">
                  <c:v>0.66689702647724847</c:v>
                </c:pt>
                <c:pt idx="136">
                  <c:v>0.66098896259163764</c:v>
                </c:pt>
                <c:pt idx="137">
                  <c:v>0.64976398074394226</c:v>
                </c:pt>
                <c:pt idx="138">
                  <c:v>0.66196397516024219</c:v>
                </c:pt>
                <c:pt idx="139">
                  <c:v>0.6451912577913923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2-4C67-87AC-FB6F33ADABA5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5.4000687411234302E-2</c:v>
                </c:pt>
                <c:pt idx="2">
                  <c:v>5.6779544678494033E-2</c:v>
                </c:pt>
                <c:pt idx="3">
                  <c:v>3.3822185337969157E-2</c:v>
                </c:pt>
                <c:pt idx="4">
                  <c:v>1.7037961490704478E-2</c:v>
                </c:pt>
                <c:pt idx="5">
                  <c:v>2.5415904882634524E-2</c:v>
                </c:pt>
                <c:pt idx="6">
                  <c:v>-2.4020196798847746E-2</c:v>
                </c:pt>
                <c:pt idx="7">
                  <c:v>3.5969519115317677E-2</c:v>
                </c:pt>
                <c:pt idx="8">
                  <c:v>7.1907464242621594E-2</c:v>
                </c:pt>
                <c:pt idx="9">
                  <c:v>6.8873732622511022E-2</c:v>
                </c:pt>
                <c:pt idx="10">
                  <c:v>8.340608912218106E-2</c:v>
                </c:pt>
                <c:pt idx="11">
                  <c:v>0.13127606846399878</c:v>
                </c:pt>
                <c:pt idx="12">
                  <c:v>0.16604892268342464</c:v>
                </c:pt>
                <c:pt idx="13">
                  <c:v>0.1667251860057708</c:v>
                </c:pt>
                <c:pt idx="14">
                  <c:v>0.1992657210821005</c:v>
                </c:pt>
                <c:pt idx="15">
                  <c:v>0.19013948203831857</c:v>
                </c:pt>
                <c:pt idx="16">
                  <c:v>0.2573794533979531</c:v>
                </c:pt>
                <c:pt idx="17">
                  <c:v>0.32778455897065917</c:v>
                </c:pt>
                <c:pt idx="18">
                  <c:v>0.37845914429784983</c:v>
                </c:pt>
                <c:pt idx="19">
                  <c:v>0.38189142926357117</c:v>
                </c:pt>
                <c:pt idx="20">
                  <c:v>0.39948203028275497</c:v>
                </c:pt>
                <c:pt idx="21">
                  <c:v>0.3372678591560494</c:v>
                </c:pt>
                <c:pt idx="22">
                  <c:v>0.32862095206474801</c:v>
                </c:pt>
                <c:pt idx="23">
                  <c:v>0.38831837609125552</c:v>
                </c:pt>
                <c:pt idx="24">
                  <c:v>0.3604613709780371</c:v>
                </c:pt>
                <c:pt idx="25">
                  <c:v>0.31468895847342865</c:v>
                </c:pt>
                <c:pt idx="26">
                  <c:v>0.36770921947621327</c:v>
                </c:pt>
                <c:pt idx="27">
                  <c:v>0.37417555664153312</c:v>
                </c:pt>
                <c:pt idx="28">
                  <c:v>0.44009428294273162</c:v>
                </c:pt>
                <c:pt idx="29">
                  <c:v>0.37245606134104031</c:v>
                </c:pt>
                <c:pt idx="30">
                  <c:v>0.41617574282198971</c:v>
                </c:pt>
                <c:pt idx="31">
                  <c:v>0.42854898599673286</c:v>
                </c:pt>
                <c:pt idx="32">
                  <c:v>0.44813919292217869</c:v>
                </c:pt>
                <c:pt idx="33">
                  <c:v>0.46375884766693115</c:v>
                </c:pt>
                <c:pt idx="34">
                  <c:v>0.52745197221741247</c:v>
                </c:pt>
                <c:pt idx="35">
                  <c:v>0.53267710918769828</c:v>
                </c:pt>
                <c:pt idx="36">
                  <c:v>0.52729071463135513</c:v>
                </c:pt>
                <c:pt idx="37">
                  <c:v>0.62423055655615445</c:v>
                </c:pt>
                <c:pt idx="38">
                  <c:v>0.65568018819646312</c:v>
                </c:pt>
                <c:pt idx="39">
                  <c:v>0.66502033725116516</c:v>
                </c:pt>
                <c:pt idx="40">
                  <c:v>0.64908295738738075</c:v>
                </c:pt>
                <c:pt idx="41">
                  <c:v>0.65213003146007709</c:v>
                </c:pt>
                <c:pt idx="42">
                  <c:v>0.61725246345536744</c:v>
                </c:pt>
                <c:pt idx="43">
                  <c:v>0.71218161544421299</c:v>
                </c:pt>
                <c:pt idx="44">
                  <c:v>0.7431300493075359</c:v>
                </c:pt>
                <c:pt idx="45">
                  <c:v>0.71115088513612412</c:v>
                </c:pt>
                <c:pt idx="46">
                  <c:v>0.71383853999324354</c:v>
                </c:pt>
                <c:pt idx="47">
                  <c:v>0.76593931314832953</c:v>
                </c:pt>
                <c:pt idx="48">
                  <c:v>0.77311746792134706</c:v>
                </c:pt>
                <c:pt idx="49">
                  <c:v>0.76177399974466242</c:v>
                </c:pt>
                <c:pt idx="50">
                  <c:v>0.77265044711464248</c:v>
                </c:pt>
                <c:pt idx="51">
                  <c:v>0.78128423416116166</c:v>
                </c:pt>
                <c:pt idx="52">
                  <c:v>0.78745463545360517</c:v>
                </c:pt>
                <c:pt idx="53">
                  <c:v>0.80215739102587691</c:v>
                </c:pt>
                <c:pt idx="54">
                  <c:v>0.76540044573443966</c:v>
                </c:pt>
                <c:pt idx="55">
                  <c:v>0.87068143314635982</c:v>
                </c:pt>
                <c:pt idx="56">
                  <c:v>0.91147518192161914</c:v>
                </c:pt>
                <c:pt idx="57">
                  <c:v>0.92828439134272478</c:v>
                </c:pt>
                <c:pt idx="58">
                  <c:v>0.97291102856971101</c:v>
                </c:pt>
                <c:pt idx="59">
                  <c:v>0.98729038388115242</c:v>
                </c:pt>
                <c:pt idx="60">
                  <c:v>0.95909347112855348</c:v>
                </c:pt>
                <c:pt idx="61">
                  <c:v>0.99803452990890318</c:v>
                </c:pt>
                <c:pt idx="62">
                  <c:v>1.0446470454738785</c:v>
                </c:pt>
                <c:pt idx="63">
                  <c:v>1.0490345926211524</c:v>
                </c:pt>
                <c:pt idx="64">
                  <c:v>1.0079442578473088</c:v>
                </c:pt>
                <c:pt idx="65">
                  <c:v>1.0026240430272486</c:v>
                </c:pt>
                <c:pt idx="66">
                  <c:v>1.0123830636302589</c:v>
                </c:pt>
                <c:pt idx="67">
                  <c:v>1.0064455112544859</c:v>
                </c:pt>
                <c:pt idx="68">
                  <c:v>0.97239679489575248</c:v>
                </c:pt>
                <c:pt idx="69">
                  <c:v>0.96737141672127713</c:v>
                </c:pt>
                <c:pt idx="70">
                  <c:v>0.94285510020517882</c:v>
                </c:pt>
                <c:pt idx="71">
                  <c:v>0.89337635926956738</c:v>
                </c:pt>
                <c:pt idx="72">
                  <c:v>0.89394094273855917</c:v>
                </c:pt>
                <c:pt idx="73">
                  <c:v>0.87818560917248734</c:v>
                </c:pt>
                <c:pt idx="74">
                  <c:v>0.82933940908422144</c:v>
                </c:pt>
                <c:pt idx="75">
                  <c:v>0.82689345237398348</c:v>
                </c:pt>
                <c:pt idx="76">
                  <c:v>0.85319703055980667</c:v>
                </c:pt>
                <c:pt idx="77">
                  <c:v>0.88115359170680552</c:v>
                </c:pt>
                <c:pt idx="78">
                  <c:v>0.88222526379825184</c:v>
                </c:pt>
                <c:pt idx="79">
                  <c:v>0.88541101830024749</c:v>
                </c:pt>
                <c:pt idx="80">
                  <c:v>0.90114623219161938</c:v>
                </c:pt>
                <c:pt idx="81">
                  <c:v>0.93026543404185391</c:v>
                </c:pt>
                <c:pt idx="82">
                  <c:v>0.88106278129819304</c:v>
                </c:pt>
                <c:pt idx="83">
                  <c:v>0.88946445302224608</c:v>
                </c:pt>
                <c:pt idx="84">
                  <c:v>0.8393712066246708</c:v>
                </c:pt>
                <c:pt idx="85">
                  <c:v>0.84146179915581187</c:v>
                </c:pt>
                <c:pt idx="86">
                  <c:v>0.90697891752733228</c:v>
                </c:pt>
                <c:pt idx="87">
                  <c:v>0.94068435043974963</c:v>
                </c:pt>
                <c:pt idx="88">
                  <c:v>0.90569495633003405</c:v>
                </c:pt>
                <c:pt idx="89">
                  <c:v>0.94317380285006558</c:v>
                </c:pt>
                <c:pt idx="90">
                  <c:v>0.89929995301750787</c:v>
                </c:pt>
                <c:pt idx="91">
                  <c:v>0.91384020356295248</c:v>
                </c:pt>
                <c:pt idx="92">
                  <c:v>0.97048193570237318</c:v>
                </c:pt>
                <c:pt idx="93">
                  <c:v>0.90997921122971781</c:v>
                </c:pt>
                <c:pt idx="94">
                  <c:v>0.91321021768458388</c:v>
                </c:pt>
                <c:pt idx="95">
                  <c:v>0.90468174943820001</c:v>
                </c:pt>
                <c:pt idx="96">
                  <c:v>1.016469801005299</c:v>
                </c:pt>
                <c:pt idx="97">
                  <c:v>0.93956244479201645</c:v>
                </c:pt>
                <c:pt idx="98">
                  <c:v>0.97335803883987537</c:v>
                </c:pt>
                <c:pt idx="99">
                  <c:v>0.94294211375227055</c:v>
                </c:pt>
                <c:pt idx="100">
                  <c:v>0.88670842784385906</c:v>
                </c:pt>
                <c:pt idx="101">
                  <c:v>0.88028569505493848</c:v>
                </c:pt>
                <c:pt idx="102">
                  <c:v>0.89680366495326547</c:v>
                </c:pt>
                <c:pt idx="103">
                  <c:v>0.93432949958307998</c:v>
                </c:pt>
                <c:pt idx="104">
                  <c:v>0.90916410685089155</c:v>
                </c:pt>
                <c:pt idx="105">
                  <c:v>0.98085737884252744</c:v>
                </c:pt>
                <c:pt idx="106">
                  <c:v>0.96661726408394077</c:v>
                </c:pt>
                <c:pt idx="107">
                  <c:v>0.99375535963569117</c:v>
                </c:pt>
                <c:pt idx="108">
                  <c:v>1.0585748121575598</c:v>
                </c:pt>
                <c:pt idx="109">
                  <c:v>1.0957497170038473</c:v>
                </c:pt>
                <c:pt idx="110">
                  <c:v>1.1108545106097534</c:v>
                </c:pt>
                <c:pt idx="111">
                  <c:v>1.109362894762687</c:v>
                </c:pt>
                <c:pt idx="112">
                  <c:v>1.1162157176323251</c:v>
                </c:pt>
                <c:pt idx="113">
                  <c:v>1.148144084559503</c:v>
                </c:pt>
                <c:pt idx="114">
                  <c:v>1.1583165987443664</c:v>
                </c:pt>
                <c:pt idx="115">
                  <c:v>1.1538118344150765</c:v>
                </c:pt>
                <c:pt idx="116">
                  <c:v>1.1948795509606414</c:v>
                </c:pt>
                <c:pt idx="117">
                  <c:v>1.2483910388034309</c:v>
                </c:pt>
                <c:pt idx="118">
                  <c:v>1.187170443080467</c:v>
                </c:pt>
                <c:pt idx="119">
                  <c:v>1.1669371265716237</c:v>
                </c:pt>
                <c:pt idx="120">
                  <c:v>1.1395373534225903</c:v>
                </c:pt>
                <c:pt idx="121">
                  <c:v>1.1669124661762535</c:v>
                </c:pt>
                <c:pt idx="122">
                  <c:v>1.1460975551376653</c:v>
                </c:pt>
                <c:pt idx="123">
                  <c:v>1.1280156590949728</c:v>
                </c:pt>
                <c:pt idx="124">
                  <c:v>1.1068231802652237</c:v>
                </c:pt>
                <c:pt idx="125">
                  <c:v>1.1626986879544636</c:v>
                </c:pt>
                <c:pt idx="126">
                  <c:v>1.1605999741342756</c:v>
                </c:pt>
                <c:pt idx="127">
                  <c:v>1.1840363215614451</c:v>
                </c:pt>
                <c:pt idx="128">
                  <c:v>1.2304973034171882</c:v>
                </c:pt>
                <c:pt idx="129">
                  <c:v>1.28757783659884</c:v>
                </c:pt>
                <c:pt idx="130">
                  <c:v>1.2466375549566682</c:v>
                </c:pt>
                <c:pt idx="131">
                  <c:v>1.2032819856247901</c:v>
                </c:pt>
                <c:pt idx="132">
                  <c:v>1.1744706960205955</c:v>
                </c:pt>
                <c:pt idx="133">
                  <c:v>1.1384887678951832</c:v>
                </c:pt>
                <c:pt idx="134">
                  <c:v>1.0852271297737546</c:v>
                </c:pt>
                <c:pt idx="135">
                  <c:v>1.096432359987094</c:v>
                </c:pt>
                <c:pt idx="136">
                  <c:v>1.0898838886858755</c:v>
                </c:pt>
                <c:pt idx="137">
                  <c:v>1.096278393171177</c:v>
                </c:pt>
                <c:pt idx="138">
                  <c:v>1.1101503109966055</c:v>
                </c:pt>
                <c:pt idx="139">
                  <c:v>1.0559499494867637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2-4C67-87AC-FB6F33ADABA5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5.895953541636189E-2</c:v>
                </c:pt>
                <c:pt idx="2">
                  <c:v>3.2274019778892861E-2</c:v>
                </c:pt>
                <c:pt idx="3">
                  <c:v>5.2245903817657008E-2</c:v>
                </c:pt>
                <c:pt idx="4">
                  <c:v>-2.2839466814604761E-2</c:v>
                </c:pt>
                <c:pt idx="5">
                  <c:v>-1.5783772745562707E-2</c:v>
                </c:pt>
                <c:pt idx="6">
                  <c:v>-9.8097363468092988E-2</c:v>
                </c:pt>
                <c:pt idx="7">
                  <c:v>-3.4006215421892791E-2</c:v>
                </c:pt>
                <c:pt idx="8">
                  <c:v>-3.2374061427003879E-2</c:v>
                </c:pt>
                <c:pt idx="9">
                  <c:v>-9.0887625496974933E-2</c:v>
                </c:pt>
                <c:pt idx="10">
                  <c:v>-9.316279489892873E-2</c:v>
                </c:pt>
                <c:pt idx="11">
                  <c:v>-2.5511520888901074E-2</c:v>
                </c:pt>
                <c:pt idx="12">
                  <c:v>-1.951719413509613E-3</c:v>
                </c:pt>
                <c:pt idx="13">
                  <c:v>4.8810560006746122E-3</c:v>
                </c:pt>
                <c:pt idx="14">
                  <c:v>7.7267448451869475E-2</c:v>
                </c:pt>
                <c:pt idx="15">
                  <c:v>0.10601013467361814</c:v>
                </c:pt>
                <c:pt idx="16">
                  <c:v>0.24559424401972924</c:v>
                </c:pt>
                <c:pt idx="17">
                  <c:v>0.28923488073257192</c:v>
                </c:pt>
                <c:pt idx="18">
                  <c:v>0.39991931483366733</c:v>
                </c:pt>
                <c:pt idx="19">
                  <c:v>0.36568781503480974</c:v>
                </c:pt>
                <c:pt idx="20">
                  <c:v>0.39256160455207079</c:v>
                </c:pt>
                <c:pt idx="21">
                  <c:v>0.28935829706552396</c:v>
                </c:pt>
                <c:pt idx="22">
                  <c:v>0.29858454709171511</c:v>
                </c:pt>
                <c:pt idx="23">
                  <c:v>0.40479677898913424</c:v>
                </c:pt>
                <c:pt idx="24">
                  <c:v>0.36041164417201982</c:v>
                </c:pt>
                <c:pt idx="25">
                  <c:v>0.29118392985925756</c:v>
                </c:pt>
                <c:pt idx="26">
                  <c:v>0.31100829894110477</c:v>
                </c:pt>
                <c:pt idx="27">
                  <c:v>0.3247522681321533</c:v>
                </c:pt>
                <c:pt idx="28">
                  <c:v>0.43304865244856072</c:v>
                </c:pt>
                <c:pt idx="29">
                  <c:v>0.35620528634753562</c:v>
                </c:pt>
                <c:pt idx="30">
                  <c:v>0.38486127267933723</c:v>
                </c:pt>
                <c:pt idx="31">
                  <c:v>0.43574066880094819</c:v>
                </c:pt>
                <c:pt idx="32">
                  <c:v>0.40833768287554928</c:v>
                </c:pt>
                <c:pt idx="33">
                  <c:v>0.44003856984873591</c:v>
                </c:pt>
                <c:pt idx="34">
                  <c:v>0.49848969248745484</c:v>
                </c:pt>
                <c:pt idx="35">
                  <c:v>0.52443448216925104</c:v>
                </c:pt>
                <c:pt idx="36">
                  <c:v>0.52808036426385763</c:v>
                </c:pt>
                <c:pt idx="37">
                  <c:v>0.63249593749169997</c:v>
                </c:pt>
                <c:pt idx="38">
                  <c:v>0.66510060527469661</c:v>
                </c:pt>
                <c:pt idx="39">
                  <c:v>0.70770500416533644</c:v>
                </c:pt>
                <c:pt idx="40">
                  <c:v>0.68803931888835923</c:v>
                </c:pt>
                <c:pt idx="41">
                  <c:v>0.69541457570354681</c:v>
                </c:pt>
                <c:pt idx="42">
                  <c:v>0.70889257725852339</c:v>
                </c:pt>
                <c:pt idx="43">
                  <c:v>0.84670699076250888</c:v>
                </c:pt>
                <c:pt idx="44">
                  <c:v>0.92422418128056083</c:v>
                </c:pt>
                <c:pt idx="45">
                  <c:v>0.8905133555280409</c:v>
                </c:pt>
                <c:pt idx="46">
                  <c:v>0.91777993682983317</c:v>
                </c:pt>
                <c:pt idx="47">
                  <c:v>0.95854992036413156</c:v>
                </c:pt>
                <c:pt idx="48">
                  <c:v>1.0044488680629231</c:v>
                </c:pt>
                <c:pt idx="49">
                  <c:v>0.96416078279695483</c:v>
                </c:pt>
                <c:pt idx="50">
                  <c:v>1.0009223989043874</c:v>
                </c:pt>
                <c:pt idx="51">
                  <c:v>1.0786587547709685</c:v>
                </c:pt>
                <c:pt idx="52">
                  <c:v>1.0991819588270739</c:v>
                </c:pt>
                <c:pt idx="53">
                  <c:v>1.1426903437056517</c:v>
                </c:pt>
                <c:pt idx="54">
                  <c:v>1.070878226133624</c:v>
                </c:pt>
                <c:pt idx="55">
                  <c:v>1.2281694525202724</c:v>
                </c:pt>
                <c:pt idx="56">
                  <c:v>1.3104990205884572</c:v>
                </c:pt>
                <c:pt idx="57">
                  <c:v>1.3437835034941861</c:v>
                </c:pt>
                <c:pt idx="58">
                  <c:v>1.3985101305789995</c:v>
                </c:pt>
                <c:pt idx="59">
                  <c:v>1.404838419822189</c:v>
                </c:pt>
                <c:pt idx="60">
                  <c:v>1.315995012859063</c:v>
                </c:pt>
                <c:pt idx="61">
                  <c:v>1.3484987988411021</c:v>
                </c:pt>
                <c:pt idx="62">
                  <c:v>1.3814199636645474</c:v>
                </c:pt>
                <c:pt idx="63">
                  <c:v>1.4080040990439626</c:v>
                </c:pt>
                <c:pt idx="64">
                  <c:v>1.3837882830932662</c:v>
                </c:pt>
                <c:pt idx="65">
                  <c:v>1.3970918646568071</c:v>
                </c:pt>
                <c:pt idx="66">
                  <c:v>1.3738290284018204</c:v>
                </c:pt>
                <c:pt idx="67">
                  <c:v>1.3306624836456242</c:v>
                </c:pt>
                <c:pt idx="68">
                  <c:v>1.3010508684648805</c:v>
                </c:pt>
                <c:pt idx="69">
                  <c:v>1.26400559728603</c:v>
                </c:pt>
                <c:pt idx="70">
                  <c:v>1.2436917091363355</c:v>
                </c:pt>
                <c:pt idx="71">
                  <c:v>1.1626107028456636</c:v>
                </c:pt>
                <c:pt idx="72">
                  <c:v>1.1551180656686368</c:v>
                </c:pt>
                <c:pt idx="73">
                  <c:v>1.0977580191341572</c:v>
                </c:pt>
                <c:pt idx="74">
                  <c:v>0.99955425350828198</c:v>
                </c:pt>
                <c:pt idx="75">
                  <c:v>0.94978207990050967</c:v>
                </c:pt>
                <c:pt idx="76">
                  <c:v>0.93448126550167931</c:v>
                </c:pt>
                <c:pt idx="77">
                  <c:v>0.92857440918260825</c:v>
                </c:pt>
                <c:pt idx="78">
                  <c:v>0.91911875762476969</c:v>
                </c:pt>
                <c:pt idx="79">
                  <c:v>0.96593410669675095</c:v>
                </c:pt>
                <c:pt idx="80">
                  <c:v>0.93685021389391954</c:v>
                </c:pt>
                <c:pt idx="81">
                  <c:v>0.98760598674104538</c:v>
                </c:pt>
                <c:pt idx="82">
                  <c:v>0.92244501834652826</c:v>
                </c:pt>
                <c:pt idx="83">
                  <c:v>0.99337763566106296</c:v>
                </c:pt>
                <c:pt idx="84">
                  <c:v>0.87953342118908695</c:v>
                </c:pt>
                <c:pt idx="85">
                  <c:v>0.88615422272724953</c:v>
                </c:pt>
                <c:pt idx="86">
                  <c:v>0.94009691485432967</c:v>
                </c:pt>
                <c:pt idx="87">
                  <c:v>1.0046092878034369</c:v>
                </c:pt>
                <c:pt idx="88">
                  <c:v>0.96808870324283702</c:v>
                </c:pt>
                <c:pt idx="89">
                  <c:v>1.0138818053512804</c:v>
                </c:pt>
                <c:pt idx="90">
                  <c:v>0.94259107788583307</c:v>
                </c:pt>
                <c:pt idx="91">
                  <c:v>1.0092365185737289</c:v>
                </c:pt>
                <c:pt idx="92">
                  <c:v>1.0262205045571327</c:v>
                </c:pt>
                <c:pt idx="93">
                  <c:v>0.98290086635316909</c:v>
                </c:pt>
                <c:pt idx="94">
                  <c:v>1.006328217653498</c:v>
                </c:pt>
                <c:pt idx="95">
                  <c:v>1.033506122289618</c:v>
                </c:pt>
                <c:pt idx="96">
                  <c:v>1.1639994415524673</c:v>
                </c:pt>
                <c:pt idx="97">
                  <c:v>1.0292596939206895</c:v>
                </c:pt>
                <c:pt idx="98">
                  <c:v>1.0704676372201403</c:v>
                </c:pt>
                <c:pt idx="99">
                  <c:v>1.0169081164601561</c:v>
                </c:pt>
                <c:pt idx="100">
                  <c:v>0.90723649269386375</c:v>
                </c:pt>
                <c:pt idx="101">
                  <c:v>0.86794096388244746</c:v>
                </c:pt>
                <c:pt idx="102">
                  <c:v>0.86977487830629063</c:v>
                </c:pt>
                <c:pt idx="103">
                  <c:v>0.88067985132404802</c:v>
                </c:pt>
                <c:pt idx="104">
                  <c:v>0.86825888492993353</c:v>
                </c:pt>
                <c:pt idx="105">
                  <c:v>0.96699365334902665</c:v>
                </c:pt>
                <c:pt idx="106">
                  <c:v>0.93954943225467047</c:v>
                </c:pt>
                <c:pt idx="107">
                  <c:v>0.98196725095716975</c:v>
                </c:pt>
                <c:pt idx="108">
                  <c:v>1.0666004983355841</c:v>
                </c:pt>
                <c:pt idx="109">
                  <c:v>1.0992767358034516</c:v>
                </c:pt>
                <c:pt idx="110">
                  <c:v>1.0854227345674867</c:v>
                </c:pt>
                <c:pt idx="111">
                  <c:v>1.0947589461595109</c:v>
                </c:pt>
                <c:pt idx="112">
                  <c:v>1.0716057364861917</c:v>
                </c:pt>
                <c:pt idx="113">
                  <c:v>1.111478369729179</c:v>
                </c:pt>
                <c:pt idx="114">
                  <c:v>1.1273580216880974</c:v>
                </c:pt>
                <c:pt idx="115">
                  <c:v>1.192038212898761</c:v>
                </c:pt>
                <c:pt idx="116">
                  <c:v>1.2595297678901207</c:v>
                </c:pt>
                <c:pt idx="117">
                  <c:v>1.29461399687489</c:v>
                </c:pt>
                <c:pt idx="118">
                  <c:v>1.2619684638587219</c:v>
                </c:pt>
                <c:pt idx="119">
                  <c:v>1.2083546950095165</c:v>
                </c:pt>
                <c:pt idx="120">
                  <c:v>1.1398293871722998</c:v>
                </c:pt>
                <c:pt idx="121">
                  <c:v>1.1549546722727473</c:v>
                </c:pt>
                <c:pt idx="122">
                  <c:v>1.0672079809493473</c:v>
                </c:pt>
                <c:pt idx="123">
                  <c:v>1.0345048689374803</c:v>
                </c:pt>
                <c:pt idx="124">
                  <c:v>1.0247851831719432</c:v>
                </c:pt>
                <c:pt idx="125">
                  <c:v>1.1209230523357181</c:v>
                </c:pt>
                <c:pt idx="126">
                  <c:v>1.1498796803892786</c:v>
                </c:pt>
                <c:pt idx="127">
                  <c:v>1.137979584732246</c:v>
                </c:pt>
                <c:pt idx="128">
                  <c:v>1.200922702988426</c:v>
                </c:pt>
                <c:pt idx="129">
                  <c:v>1.2855425196515102</c:v>
                </c:pt>
                <c:pt idx="130">
                  <c:v>1.2680685841561679</c:v>
                </c:pt>
                <c:pt idx="131">
                  <c:v>1.217927262086455</c:v>
                </c:pt>
                <c:pt idx="132">
                  <c:v>1.1727955464117275</c:v>
                </c:pt>
                <c:pt idx="133">
                  <c:v>1.1137199734250409</c:v>
                </c:pt>
                <c:pt idx="134">
                  <c:v>0.98775516175555556</c:v>
                </c:pt>
                <c:pt idx="135">
                  <c:v>0.99943321500645443</c:v>
                </c:pt>
                <c:pt idx="136">
                  <c:v>1.0498251075269858</c:v>
                </c:pt>
                <c:pt idx="137">
                  <c:v>1.0598787547942001</c:v>
                </c:pt>
                <c:pt idx="138">
                  <c:v>1.1376683994995846</c:v>
                </c:pt>
                <c:pt idx="139">
                  <c:v>1.0898972070813022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2-4C67-87AC-FB6F33ADABA5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7.8751377282507598E-2</c:v>
                </c:pt>
                <c:pt idx="2">
                  <c:v>4.2273082458134791E-2</c:v>
                </c:pt>
                <c:pt idx="3">
                  <c:v>0.11469733836086207</c:v>
                </c:pt>
                <c:pt idx="4">
                  <c:v>0.11216155859482643</c:v>
                </c:pt>
                <c:pt idx="5">
                  <c:v>0.12849896490330012</c:v>
                </c:pt>
                <c:pt idx="6">
                  <c:v>2.0258009089041407E-4</c:v>
                </c:pt>
                <c:pt idx="7">
                  <c:v>0.1355612425340337</c:v>
                </c:pt>
                <c:pt idx="8">
                  <c:v>0.18141733721326109</c:v>
                </c:pt>
                <c:pt idx="9">
                  <c:v>7.790921515450619E-2</c:v>
                </c:pt>
                <c:pt idx="10">
                  <c:v>0.13420507402219925</c:v>
                </c:pt>
                <c:pt idx="11">
                  <c:v>0.22397739066396616</c:v>
                </c:pt>
                <c:pt idx="12">
                  <c:v>0.27650265615581771</c:v>
                </c:pt>
                <c:pt idx="13">
                  <c:v>0.32278609042363093</c:v>
                </c:pt>
                <c:pt idx="14">
                  <c:v>0.4398436257474958</c:v>
                </c:pt>
                <c:pt idx="15">
                  <c:v>0.52551690605681545</c:v>
                </c:pt>
                <c:pt idx="16">
                  <c:v>0.70575305078492911</c:v>
                </c:pt>
                <c:pt idx="17">
                  <c:v>0.76395153755321754</c:v>
                </c:pt>
                <c:pt idx="18">
                  <c:v>0.90191459389413342</c:v>
                </c:pt>
                <c:pt idx="19">
                  <c:v>0.84131459820443477</c:v>
                </c:pt>
                <c:pt idx="20">
                  <c:v>0.85675557590162621</c:v>
                </c:pt>
                <c:pt idx="21">
                  <c:v>0.75231659685992913</c:v>
                </c:pt>
                <c:pt idx="22">
                  <c:v>0.74109979189232877</c:v>
                </c:pt>
                <c:pt idx="23">
                  <c:v>0.78946616128841218</c:v>
                </c:pt>
                <c:pt idx="24">
                  <c:v>0.73488670791625188</c:v>
                </c:pt>
                <c:pt idx="25">
                  <c:v>0.66051489345762593</c:v>
                </c:pt>
                <c:pt idx="26">
                  <c:v>0.62663164740099786</c:v>
                </c:pt>
                <c:pt idx="27">
                  <c:v>0.57962428882397932</c:v>
                </c:pt>
                <c:pt idx="28">
                  <c:v>0.75564745641040187</c:v>
                </c:pt>
                <c:pt idx="29">
                  <c:v>0.62316075162869433</c:v>
                </c:pt>
                <c:pt idx="30">
                  <c:v>0.64720875753467932</c:v>
                </c:pt>
                <c:pt idx="31">
                  <c:v>0.6942994503303167</c:v>
                </c:pt>
                <c:pt idx="32">
                  <c:v>0.6757269224346153</c:v>
                </c:pt>
                <c:pt idx="33">
                  <c:v>0.72870134987508672</c:v>
                </c:pt>
                <c:pt idx="34">
                  <c:v>0.78666529102451466</c:v>
                </c:pt>
                <c:pt idx="35">
                  <c:v>0.84137375819716942</c:v>
                </c:pt>
                <c:pt idx="36">
                  <c:v>0.84624710415033666</c:v>
                </c:pt>
                <c:pt idx="37">
                  <c:v>0.96495107046278394</c:v>
                </c:pt>
                <c:pt idx="38">
                  <c:v>1.008749417549923</c:v>
                </c:pt>
                <c:pt idx="39">
                  <c:v>1.065706673699137</c:v>
                </c:pt>
                <c:pt idx="40">
                  <c:v>1.1038091424537049</c:v>
                </c:pt>
                <c:pt idx="41">
                  <c:v>1.1151275119412061</c:v>
                </c:pt>
                <c:pt idx="42">
                  <c:v>1.1801563155604562</c:v>
                </c:pt>
                <c:pt idx="43">
                  <c:v>1.3879952734295926</c:v>
                </c:pt>
                <c:pt idx="44">
                  <c:v>1.4789280014592019</c:v>
                </c:pt>
                <c:pt idx="45">
                  <c:v>1.4323530884681996</c:v>
                </c:pt>
                <c:pt idx="46">
                  <c:v>1.4077927281536478</c:v>
                </c:pt>
                <c:pt idx="47">
                  <c:v>1.5218724213004962</c:v>
                </c:pt>
                <c:pt idx="48">
                  <c:v>1.5295693196100204</c:v>
                </c:pt>
                <c:pt idx="49">
                  <c:v>1.4880900251928724</c:v>
                </c:pt>
                <c:pt idx="50">
                  <c:v>1.504547963686337</c:v>
                </c:pt>
                <c:pt idx="51">
                  <c:v>1.5955838944162264</c:v>
                </c:pt>
                <c:pt idx="52">
                  <c:v>1.6631247782164684</c:v>
                </c:pt>
                <c:pt idx="53">
                  <c:v>1.7472816989459603</c:v>
                </c:pt>
                <c:pt idx="54">
                  <c:v>1.683948860100523</c:v>
                </c:pt>
                <c:pt idx="55">
                  <c:v>1.9110492635878189</c:v>
                </c:pt>
                <c:pt idx="56">
                  <c:v>1.9541296446310703</c:v>
                </c:pt>
                <c:pt idx="57">
                  <c:v>2.0046938998250097</c:v>
                </c:pt>
                <c:pt idx="58">
                  <c:v>2.0665573040458325</c:v>
                </c:pt>
                <c:pt idx="59">
                  <c:v>2.1127123388197577</c:v>
                </c:pt>
                <c:pt idx="60">
                  <c:v>2.0085747843175459</c:v>
                </c:pt>
                <c:pt idx="61">
                  <c:v>2.0844665002522902</c:v>
                </c:pt>
                <c:pt idx="62">
                  <c:v>2.1389593321661184</c:v>
                </c:pt>
                <c:pt idx="63">
                  <c:v>2.1855405020665959</c:v>
                </c:pt>
                <c:pt idx="64">
                  <c:v>2.1541451285919817</c:v>
                </c:pt>
                <c:pt idx="65">
                  <c:v>2.178483557968605</c:v>
                </c:pt>
                <c:pt idx="66">
                  <c:v>2.1181721853353235</c:v>
                </c:pt>
                <c:pt idx="67">
                  <c:v>2.043115189522775</c:v>
                </c:pt>
                <c:pt idx="68">
                  <c:v>2.0391364115230766</c:v>
                </c:pt>
                <c:pt idx="69">
                  <c:v>1.9899091701020206</c:v>
                </c:pt>
                <c:pt idx="70">
                  <c:v>1.982648288000235</c:v>
                </c:pt>
                <c:pt idx="71">
                  <c:v>1.9187998652298279</c:v>
                </c:pt>
                <c:pt idx="72">
                  <c:v>1.8888394326776534</c:v>
                </c:pt>
                <c:pt idx="73">
                  <c:v>1.8967489731758664</c:v>
                </c:pt>
                <c:pt idx="74">
                  <c:v>1.779727469528781</c:v>
                </c:pt>
                <c:pt idx="75">
                  <c:v>1.6929547090710417</c:v>
                </c:pt>
                <c:pt idx="76">
                  <c:v>1.6990398586392264</c:v>
                </c:pt>
                <c:pt idx="77">
                  <c:v>1.6464278769916509</c:v>
                </c:pt>
                <c:pt idx="78">
                  <c:v>1.5386006201284361</c:v>
                </c:pt>
                <c:pt idx="79">
                  <c:v>1.5604055518713471</c:v>
                </c:pt>
                <c:pt idx="80">
                  <c:v>1.4553945953808394</c:v>
                </c:pt>
                <c:pt idx="81">
                  <c:v>1.5418389576712996</c:v>
                </c:pt>
                <c:pt idx="82">
                  <c:v>1.4379296374146608</c:v>
                </c:pt>
                <c:pt idx="83">
                  <c:v>1.4947550679624155</c:v>
                </c:pt>
                <c:pt idx="84">
                  <c:v>1.4576101226420606</c:v>
                </c:pt>
                <c:pt idx="85">
                  <c:v>1.5015822265455692</c:v>
                </c:pt>
                <c:pt idx="86">
                  <c:v>1.6450040532523102</c:v>
                </c:pt>
                <c:pt idx="87">
                  <c:v>1.7401418708509149</c:v>
                </c:pt>
                <c:pt idx="88">
                  <c:v>1.7139811303409451</c:v>
                </c:pt>
                <c:pt idx="89">
                  <c:v>1.7998532631886599</c:v>
                </c:pt>
                <c:pt idx="90">
                  <c:v>1.6047571914790144</c:v>
                </c:pt>
                <c:pt idx="91">
                  <c:v>1.6835822763975758</c:v>
                </c:pt>
                <c:pt idx="92">
                  <c:v>1.6900305658274868</c:v>
                </c:pt>
                <c:pt idx="93">
                  <c:v>1.581145283025069</c:v>
                </c:pt>
                <c:pt idx="94">
                  <c:v>1.6057939536857306</c:v>
                </c:pt>
                <c:pt idx="95">
                  <c:v>1.6372204635184822</c:v>
                </c:pt>
                <c:pt idx="96">
                  <c:v>1.7976165180645673</c:v>
                </c:pt>
                <c:pt idx="97">
                  <c:v>1.6387802427749303</c:v>
                </c:pt>
                <c:pt idx="98">
                  <c:v>1.6699494533990036</c:v>
                </c:pt>
                <c:pt idx="99">
                  <c:v>1.5842391106318729</c:v>
                </c:pt>
                <c:pt idx="100">
                  <c:v>1.5160814207513087</c:v>
                </c:pt>
                <c:pt idx="101">
                  <c:v>1.5215384677319497</c:v>
                </c:pt>
                <c:pt idx="102">
                  <c:v>1.4987201136893566</c:v>
                </c:pt>
                <c:pt idx="103">
                  <c:v>1.5269574911256001</c:v>
                </c:pt>
                <c:pt idx="104">
                  <c:v>1.5093591147115948</c:v>
                </c:pt>
                <c:pt idx="105">
                  <c:v>1.5763559188212566</c:v>
                </c:pt>
                <c:pt idx="106">
                  <c:v>1.5512344774093216</c:v>
                </c:pt>
                <c:pt idx="107">
                  <c:v>1.5607877568921158</c:v>
                </c:pt>
                <c:pt idx="108">
                  <c:v>1.6587970689743905</c:v>
                </c:pt>
                <c:pt idx="109">
                  <c:v>1.660318234503616</c:v>
                </c:pt>
                <c:pt idx="110">
                  <c:v>1.6318497677985644</c:v>
                </c:pt>
                <c:pt idx="111">
                  <c:v>1.5690707985851744</c:v>
                </c:pt>
                <c:pt idx="112">
                  <c:v>1.5485957043344187</c:v>
                </c:pt>
                <c:pt idx="113">
                  <c:v>1.5937700982355176</c:v>
                </c:pt>
                <c:pt idx="114">
                  <c:v>1.5413600259656435</c:v>
                </c:pt>
                <c:pt idx="115">
                  <c:v>1.6525345593947307</c:v>
                </c:pt>
                <c:pt idx="116">
                  <c:v>1.6945702917327947</c:v>
                </c:pt>
                <c:pt idx="117">
                  <c:v>1.6819745131495671</c:v>
                </c:pt>
                <c:pt idx="118">
                  <c:v>1.6559827426800413</c:v>
                </c:pt>
                <c:pt idx="119">
                  <c:v>1.6302845676252213</c:v>
                </c:pt>
                <c:pt idx="120">
                  <c:v>1.5999261980567505</c:v>
                </c:pt>
                <c:pt idx="121">
                  <c:v>1.6223816547013228</c:v>
                </c:pt>
                <c:pt idx="122">
                  <c:v>1.4666767720395066</c:v>
                </c:pt>
                <c:pt idx="123">
                  <c:v>1.4578677629774981</c:v>
                </c:pt>
                <c:pt idx="124">
                  <c:v>1.4416700603815109</c:v>
                </c:pt>
                <c:pt idx="125">
                  <c:v>1.4796744660031975</c:v>
                </c:pt>
                <c:pt idx="126">
                  <c:v>1.399874270328866</c:v>
                </c:pt>
                <c:pt idx="127">
                  <c:v>1.3591152199392733</c:v>
                </c:pt>
                <c:pt idx="128">
                  <c:v>1.4238554986370857</c:v>
                </c:pt>
                <c:pt idx="129">
                  <c:v>1.5372207521581751</c:v>
                </c:pt>
                <c:pt idx="130">
                  <c:v>1.454261668073946</c:v>
                </c:pt>
                <c:pt idx="131">
                  <c:v>1.3586809998051608</c:v>
                </c:pt>
                <c:pt idx="132">
                  <c:v>1.3025901301318061</c:v>
                </c:pt>
                <c:pt idx="133">
                  <c:v>1.2576771809530842</c:v>
                </c:pt>
                <c:pt idx="134">
                  <c:v>0.99622843937414807</c:v>
                </c:pt>
                <c:pt idx="135">
                  <c:v>1.0195787926104023</c:v>
                </c:pt>
                <c:pt idx="136">
                  <c:v>0.99248048533483113</c:v>
                </c:pt>
                <c:pt idx="137">
                  <c:v>1.003434553955344</c:v>
                </c:pt>
                <c:pt idx="138">
                  <c:v>1.1175342507676922</c:v>
                </c:pt>
                <c:pt idx="139">
                  <c:v>1.1590919312689292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2-4C67-87AC-FB6F33ADABA5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8.7090470666445596E-2</c:v>
                </c:pt>
                <c:pt idx="2">
                  <c:v>8.8345110484346304E-2</c:v>
                </c:pt>
                <c:pt idx="3">
                  <c:v>0.18989021787590721</c:v>
                </c:pt>
                <c:pt idx="4">
                  <c:v>0.1015418357603896</c:v>
                </c:pt>
                <c:pt idx="5">
                  <c:v>0.12740417609151825</c:v>
                </c:pt>
                <c:pt idx="6">
                  <c:v>-1.1224171939773153E-2</c:v>
                </c:pt>
                <c:pt idx="7">
                  <c:v>0.13863660493334476</c:v>
                </c:pt>
                <c:pt idx="8">
                  <c:v>0.17414901982282133</c:v>
                </c:pt>
                <c:pt idx="9">
                  <c:v>8.1642859805709678E-2</c:v>
                </c:pt>
                <c:pt idx="10">
                  <c:v>0.13556895180467676</c:v>
                </c:pt>
                <c:pt idx="11">
                  <c:v>0.22235994792199881</c:v>
                </c:pt>
                <c:pt idx="12">
                  <c:v>0.29735794100694024</c:v>
                </c:pt>
                <c:pt idx="13">
                  <c:v>0.33680348114636338</c:v>
                </c:pt>
                <c:pt idx="14">
                  <c:v>0.46121685274505747</c:v>
                </c:pt>
                <c:pt idx="15">
                  <c:v>0.52911360738689839</c:v>
                </c:pt>
                <c:pt idx="16">
                  <c:v>0.72534306992806763</c:v>
                </c:pt>
                <c:pt idx="17">
                  <c:v>0.81956979608166047</c:v>
                </c:pt>
                <c:pt idx="18">
                  <c:v>0.96323041716792934</c:v>
                </c:pt>
                <c:pt idx="19">
                  <c:v>0.88793453493930241</c:v>
                </c:pt>
                <c:pt idx="20">
                  <c:v>0.95067857766046637</c:v>
                </c:pt>
                <c:pt idx="21">
                  <c:v>0.84883830790287729</c:v>
                </c:pt>
                <c:pt idx="22">
                  <c:v>0.83260109226923851</c:v>
                </c:pt>
                <c:pt idx="23">
                  <c:v>0.88108962108389666</c:v>
                </c:pt>
                <c:pt idx="24">
                  <c:v>0.83495668759376607</c:v>
                </c:pt>
                <c:pt idx="25">
                  <c:v>0.75127734406030411</c:v>
                </c:pt>
                <c:pt idx="26">
                  <c:v>0.72619072191749312</c:v>
                </c:pt>
                <c:pt idx="27">
                  <c:v>0.71430718794895653</c:v>
                </c:pt>
                <c:pt idx="28">
                  <c:v>0.90867736149325362</c:v>
                </c:pt>
                <c:pt idx="29">
                  <c:v>0.76597617788112338</c:v>
                </c:pt>
                <c:pt idx="30">
                  <c:v>0.79696094078788282</c:v>
                </c:pt>
                <c:pt idx="31">
                  <c:v>0.85553791218083586</c:v>
                </c:pt>
                <c:pt idx="32">
                  <c:v>0.83038669773130391</c:v>
                </c:pt>
                <c:pt idx="33">
                  <c:v>0.88942910047707979</c:v>
                </c:pt>
                <c:pt idx="34">
                  <c:v>0.95385050130945181</c:v>
                </c:pt>
                <c:pt idx="35">
                  <c:v>0.98755832643246111</c:v>
                </c:pt>
                <c:pt idx="36">
                  <c:v>0.98573318259870324</c:v>
                </c:pt>
                <c:pt idx="37">
                  <c:v>1.1231360965061861</c:v>
                </c:pt>
                <c:pt idx="38">
                  <c:v>1.1870647995614281</c:v>
                </c:pt>
                <c:pt idx="39">
                  <c:v>1.2644659485401912</c:v>
                </c:pt>
                <c:pt idx="40">
                  <c:v>1.3161209656889852</c:v>
                </c:pt>
                <c:pt idx="41">
                  <c:v>1.3380740127164374</c:v>
                </c:pt>
                <c:pt idx="42">
                  <c:v>1.4037941045648152</c:v>
                </c:pt>
                <c:pt idx="43">
                  <c:v>1.6251149416089057</c:v>
                </c:pt>
                <c:pt idx="44">
                  <c:v>1.7399497132010771</c:v>
                </c:pt>
                <c:pt idx="45">
                  <c:v>1.6748916837609349</c:v>
                </c:pt>
                <c:pt idx="46">
                  <c:v>1.675354995463642</c:v>
                </c:pt>
                <c:pt idx="47">
                  <c:v>1.78895059237559</c:v>
                </c:pt>
                <c:pt idx="48">
                  <c:v>1.7842391939571107</c:v>
                </c:pt>
                <c:pt idx="49">
                  <c:v>1.7660837956963362</c:v>
                </c:pt>
                <c:pt idx="50">
                  <c:v>1.7781807815044781</c:v>
                </c:pt>
                <c:pt idx="51">
                  <c:v>1.8946682866211209</c:v>
                </c:pt>
                <c:pt idx="52">
                  <c:v>1.9600606171574206</c:v>
                </c:pt>
                <c:pt idx="53">
                  <c:v>2.0508480084770975</c:v>
                </c:pt>
                <c:pt idx="54">
                  <c:v>1.9950984237173175</c:v>
                </c:pt>
                <c:pt idx="55">
                  <c:v>2.1310025287406602</c:v>
                </c:pt>
                <c:pt idx="56">
                  <c:v>2.1879323310986889</c:v>
                </c:pt>
                <c:pt idx="57">
                  <c:v>2.2208420859186364</c:v>
                </c:pt>
                <c:pt idx="58">
                  <c:v>2.2920924740542734</c:v>
                </c:pt>
                <c:pt idx="59">
                  <c:v>2.3432574579854988</c:v>
                </c:pt>
                <c:pt idx="60">
                  <c:v>2.2407082415636168</c:v>
                </c:pt>
                <c:pt idx="61">
                  <c:v>2.3101046401009606</c:v>
                </c:pt>
                <c:pt idx="62">
                  <c:v>2.3545662342848552</c:v>
                </c:pt>
                <c:pt idx="63">
                  <c:v>2.3994075637302221</c:v>
                </c:pt>
                <c:pt idx="64">
                  <c:v>2.3737064848439666</c:v>
                </c:pt>
                <c:pt idx="65">
                  <c:v>2.4086264976661078</c:v>
                </c:pt>
                <c:pt idx="66">
                  <c:v>2.3466943399170939</c:v>
                </c:pt>
                <c:pt idx="67">
                  <c:v>2.2861050418380189</c:v>
                </c:pt>
                <c:pt idx="68">
                  <c:v>2.2940062810150756</c:v>
                </c:pt>
                <c:pt idx="69">
                  <c:v>2.2438466867080376</c:v>
                </c:pt>
                <c:pt idx="70">
                  <c:v>2.2586676293114154</c:v>
                </c:pt>
                <c:pt idx="71">
                  <c:v>2.2210892552148254</c:v>
                </c:pt>
                <c:pt idx="72">
                  <c:v>2.1823419695034092</c:v>
                </c:pt>
                <c:pt idx="73">
                  <c:v>2.1742427258989396</c:v>
                </c:pt>
                <c:pt idx="74">
                  <c:v>2.0426167129818111</c:v>
                </c:pt>
                <c:pt idx="75">
                  <c:v>1.9626821410785691</c:v>
                </c:pt>
                <c:pt idx="76">
                  <c:v>1.9848248406699773</c:v>
                </c:pt>
                <c:pt idx="77">
                  <c:v>1.9253588705040328</c:v>
                </c:pt>
                <c:pt idx="78">
                  <c:v>1.8071087108811235</c:v>
                </c:pt>
                <c:pt idx="79">
                  <c:v>1.825654305985337</c:v>
                </c:pt>
                <c:pt idx="80">
                  <c:v>1.7047720540822577</c:v>
                </c:pt>
                <c:pt idx="81">
                  <c:v>1.7830784418369512</c:v>
                </c:pt>
                <c:pt idx="82">
                  <c:v>1.6671016225640063</c:v>
                </c:pt>
                <c:pt idx="83">
                  <c:v>1.7362195415448989</c:v>
                </c:pt>
                <c:pt idx="84">
                  <c:v>1.6871298002948651</c:v>
                </c:pt>
                <c:pt idx="85">
                  <c:v>1.7438729804159983</c:v>
                </c:pt>
                <c:pt idx="86">
                  <c:v>1.8853428829673495</c:v>
                </c:pt>
                <c:pt idx="87">
                  <c:v>1.9985998507460483</c:v>
                </c:pt>
                <c:pt idx="88">
                  <c:v>1.9773359609434422</c:v>
                </c:pt>
                <c:pt idx="89">
                  <c:v>2.0387158358807675</c:v>
                </c:pt>
                <c:pt idx="90">
                  <c:v>1.8285602351257866</c:v>
                </c:pt>
                <c:pt idx="91">
                  <c:v>1.9089663781011943</c:v>
                </c:pt>
                <c:pt idx="92">
                  <c:v>1.9846263467253995</c:v>
                </c:pt>
                <c:pt idx="93">
                  <c:v>1.8750431181402769</c:v>
                </c:pt>
                <c:pt idx="94">
                  <c:v>1.8904561632614041</c:v>
                </c:pt>
                <c:pt idx="95">
                  <c:v>1.922320405509629</c:v>
                </c:pt>
                <c:pt idx="96">
                  <c:v>2.0816067186256944</c:v>
                </c:pt>
                <c:pt idx="97">
                  <c:v>1.949164386726258</c:v>
                </c:pt>
                <c:pt idx="98">
                  <c:v>2.0049649077722735</c:v>
                </c:pt>
                <c:pt idx="99">
                  <c:v>1.8789469485148567</c:v>
                </c:pt>
                <c:pt idx="100">
                  <c:v>1.8000108314989345</c:v>
                </c:pt>
                <c:pt idx="101">
                  <c:v>1.7733648635081305</c:v>
                </c:pt>
                <c:pt idx="102">
                  <c:v>1.7389453707207643</c:v>
                </c:pt>
                <c:pt idx="103">
                  <c:v>1.7743871567312988</c:v>
                </c:pt>
                <c:pt idx="104">
                  <c:v>1.7587919804538652</c:v>
                </c:pt>
                <c:pt idx="105">
                  <c:v>1.8405552528607558</c:v>
                </c:pt>
                <c:pt idx="106">
                  <c:v>1.8143415076238345</c:v>
                </c:pt>
                <c:pt idx="107">
                  <c:v>1.802868701866102</c:v>
                </c:pt>
                <c:pt idx="108">
                  <c:v>1.8915714641063617</c:v>
                </c:pt>
                <c:pt idx="109">
                  <c:v>1.8971447532499546</c:v>
                </c:pt>
                <c:pt idx="110">
                  <c:v>1.8569981459361702</c:v>
                </c:pt>
                <c:pt idx="111">
                  <c:v>1.7974796896173924</c:v>
                </c:pt>
                <c:pt idx="112">
                  <c:v>1.7939174923678411</c:v>
                </c:pt>
                <c:pt idx="113">
                  <c:v>1.8035444232403173</c:v>
                </c:pt>
                <c:pt idx="114">
                  <c:v>1.7529533604038128</c:v>
                </c:pt>
                <c:pt idx="115">
                  <c:v>1.8559538461161467</c:v>
                </c:pt>
                <c:pt idx="116">
                  <c:v>1.9113302865836657</c:v>
                </c:pt>
                <c:pt idx="117">
                  <c:v>1.9292531754849722</c:v>
                </c:pt>
                <c:pt idx="118">
                  <c:v>1.9044142798711519</c:v>
                </c:pt>
                <c:pt idx="119">
                  <c:v>1.8665827829385377</c:v>
                </c:pt>
                <c:pt idx="120">
                  <c:v>1.8422085208861614</c:v>
                </c:pt>
                <c:pt idx="121">
                  <c:v>1.901141856380129</c:v>
                </c:pt>
                <c:pt idx="122">
                  <c:v>1.7232285180544291</c:v>
                </c:pt>
                <c:pt idx="123">
                  <c:v>1.7196321123166434</c:v>
                </c:pt>
                <c:pt idx="124">
                  <c:v>1.6910872432392596</c:v>
                </c:pt>
                <c:pt idx="125">
                  <c:v>1.7353059182413126</c:v>
                </c:pt>
                <c:pt idx="126">
                  <c:v>1.6457242397953291</c:v>
                </c:pt>
                <c:pt idx="127">
                  <c:v>1.607726994542191</c:v>
                </c:pt>
                <c:pt idx="128">
                  <c:v>1.6919615170218181</c:v>
                </c:pt>
                <c:pt idx="129">
                  <c:v>1.8030600524613374</c:v>
                </c:pt>
                <c:pt idx="130">
                  <c:v>1.7207755102308981</c:v>
                </c:pt>
                <c:pt idx="131">
                  <c:v>1.6225062043751446</c:v>
                </c:pt>
                <c:pt idx="132">
                  <c:v>1.5639769782232851</c:v>
                </c:pt>
                <c:pt idx="133">
                  <c:v>1.5037343382503552</c:v>
                </c:pt>
                <c:pt idx="134">
                  <c:v>1.2226698437230306</c:v>
                </c:pt>
                <c:pt idx="135">
                  <c:v>1.2432038056594346</c:v>
                </c:pt>
                <c:pt idx="136">
                  <c:v>1.2129038316427121</c:v>
                </c:pt>
                <c:pt idx="137">
                  <c:v>1.2395882607184177</c:v>
                </c:pt>
                <c:pt idx="138">
                  <c:v>1.3558871358266318</c:v>
                </c:pt>
                <c:pt idx="139">
                  <c:v>1.3762449458795294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2-4C67-87AC-FB6F33ADABA5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7.2845874730196714E-2</c:v>
                </c:pt>
                <c:pt idx="2">
                  <c:v>5.8508269792160984E-2</c:v>
                </c:pt>
                <c:pt idx="3">
                  <c:v>0.20155292187242127</c:v>
                </c:pt>
                <c:pt idx="4">
                  <c:v>0.11277124003174968</c:v>
                </c:pt>
                <c:pt idx="5">
                  <c:v>0.14146796534140649</c:v>
                </c:pt>
                <c:pt idx="6">
                  <c:v>-1.2300449380815204E-2</c:v>
                </c:pt>
                <c:pt idx="7">
                  <c:v>0.14734056160261538</c:v>
                </c:pt>
                <c:pt idx="8">
                  <c:v>0.19369260846577119</c:v>
                </c:pt>
                <c:pt idx="9">
                  <c:v>0.12046042042443626</c:v>
                </c:pt>
                <c:pt idx="10">
                  <c:v>0.17569752565771954</c:v>
                </c:pt>
                <c:pt idx="11">
                  <c:v>0.27317527234534966</c:v>
                </c:pt>
                <c:pt idx="12">
                  <c:v>0.33554140176968683</c:v>
                </c:pt>
                <c:pt idx="13">
                  <c:v>0.35752443378753451</c:v>
                </c:pt>
                <c:pt idx="14">
                  <c:v>0.48578711873353297</c:v>
                </c:pt>
                <c:pt idx="15">
                  <c:v>0.55668666255111288</c:v>
                </c:pt>
                <c:pt idx="16">
                  <c:v>0.80265226109733812</c:v>
                </c:pt>
                <c:pt idx="17">
                  <c:v>0.89652898855383145</c:v>
                </c:pt>
                <c:pt idx="18">
                  <c:v>1.0579342471694246</c:v>
                </c:pt>
                <c:pt idx="19">
                  <c:v>0.98647495933689799</c:v>
                </c:pt>
                <c:pt idx="20">
                  <c:v>1.0630566560135852</c:v>
                </c:pt>
                <c:pt idx="21">
                  <c:v>0.92896535143073233</c:v>
                </c:pt>
                <c:pt idx="22">
                  <c:v>0.92597270596384729</c:v>
                </c:pt>
                <c:pt idx="23">
                  <c:v>0.98279708799847398</c:v>
                </c:pt>
                <c:pt idx="24">
                  <c:v>0.93166806032820726</c:v>
                </c:pt>
                <c:pt idx="25">
                  <c:v>0.845782829288935</c:v>
                </c:pt>
                <c:pt idx="26">
                  <c:v>0.82797874315461717</c:v>
                </c:pt>
                <c:pt idx="27">
                  <c:v>0.81574079565413526</c:v>
                </c:pt>
                <c:pt idx="28">
                  <c:v>0.99058004526590815</c:v>
                </c:pt>
                <c:pt idx="29">
                  <c:v>0.80896290850618779</c:v>
                </c:pt>
                <c:pt idx="30">
                  <c:v>0.87539800754933594</c:v>
                </c:pt>
                <c:pt idx="31">
                  <c:v>0.96916656789785638</c:v>
                </c:pt>
                <c:pt idx="32">
                  <c:v>0.96798167176949523</c:v>
                </c:pt>
                <c:pt idx="33">
                  <c:v>1.0518289831242849</c:v>
                </c:pt>
                <c:pt idx="34">
                  <c:v>1.0836414691241048</c:v>
                </c:pt>
                <c:pt idx="35">
                  <c:v>1.115482939825593</c:v>
                </c:pt>
                <c:pt idx="36">
                  <c:v>1.1166474723086253</c:v>
                </c:pt>
                <c:pt idx="37">
                  <c:v>1.2316791798402047</c:v>
                </c:pt>
                <c:pt idx="38">
                  <c:v>1.2608292633536002</c:v>
                </c:pt>
                <c:pt idx="39">
                  <c:v>1.3613351164342893</c:v>
                </c:pt>
                <c:pt idx="40">
                  <c:v>1.3944324135899715</c:v>
                </c:pt>
                <c:pt idx="41">
                  <c:v>1.4190325400819224</c:v>
                </c:pt>
                <c:pt idx="42">
                  <c:v>1.5051322131382123</c:v>
                </c:pt>
                <c:pt idx="43">
                  <c:v>1.772633944951614</c:v>
                </c:pt>
                <c:pt idx="44">
                  <c:v>1.9371459075773334</c:v>
                </c:pt>
                <c:pt idx="45">
                  <c:v>1.8649586926408848</c:v>
                </c:pt>
                <c:pt idx="46">
                  <c:v>1.8524310263872981</c:v>
                </c:pt>
                <c:pt idx="47">
                  <c:v>1.9484421091958408</c:v>
                </c:pt>
                <c:pt idx="48">
                  <c:v>1.9436090762388776</c:v>
                </c:pt>
                <c:pt idx="49">
                  <c:v>1.9635909993955771</c:v>
                </c:pt>
                <c:pt idx="50">
                  <c:v>1.9732874025842857</c:v>
                </c:pt>
                <c:pt idx="51">
                  <c:v>2.1152235366157486</c:v>
                </c:pt>
                <c:pt idx="52">
                  <c:v>2.1971414542757461</c:v>
                </c:pt>
                <c:pt idx="53">
                  <c:v>2.2753138749034516</c:v>
                </c:pt>
                <c:pt idx="54">
                  <c:v>2.1961674462287912</c:v>
                </c:pt>
                <c:pt idx="55">
                  <c:v>2.3456459169589001</c:v>
                </c:pt>
                <c:pt idx="56">
                  <c:v>2.3591402662196943</c:v>
                </c:pt>
                <c:pt idx="57">
                  <c:v>2.4251807675383454</c:v>
                </c:pt>
                <c:pt idx="58">
                  <c:v>2.4823885750195966</c:v>
                </c:pt>
                <c:pt idx="59">
                  <c:v>2.5599743608619017</c:v>
                </c:pt>
                <c:pt idx="60">
                  <c:v>2.4630581409746068</c:v>
                </c:pt>
                <c:pt idx="61">
                  <c:v>2.5064612372333843</c:v>
                </c:pt>
                <c:pt idx="62">
                  <c:v>2.5301470106369717</c:v>
                </c:pt>
                <c:pt idx="63">
                  <c:v>2.5865290623848565</c:v>
                </c:pt>
                <c:pt idx="64">
                  <c:v>2.5762604326054594</c:v>
                </c:pt>
                <c:pt idx="65">
                  <c:v>2.6121052740605935</c:v>
                </c:pt>
                <c:pt idx="66">
                  <c:v>2.5525808192768586</c:v>
                </c:pt>
                <c:pt idx="67">
                  <c:v>2.5201121438030278</c:v>
                </c:pt>
                <c:pt idx="68">
                  <c:v>2.5293446411932212</c:v>
                </c:pt>
                <c:pt idx="69">
                  <c:v>2.5022086596294901</c:v>
                </c:pt>
                <c:pt idx="70">
                  <c:v>2.5504231650724978</c:v>
                </c:pt>
                <c:pt idx="71">
                  <c:v>2.4845222313443354</c:v>
                </c:pt>
                <c:pt idx="72">
                  <c:v>2.4060903522715336</c:v>
                </c:pt>
                <c:pt idx="73">
                  <c:v>2.4036598808081049</c:v>
                </c:pt>
                <c:pt idx="74">
                  <c:v>2.3081990610715537</c:v>
                </c:pt>
                <c:pt idx="75">
                  <c:v>2.2205958879156062</c:v>
                </c:pt>
                <c:pt idx="76">
                  <c:v>2.2400125688394215</c:v>
                </c:pt>
                <c:pt idx="77">
                  <c:v>2.1837021250535957</c:v>
                </c:pt>
                <c:pt idx="78">
                  <c:v>1.9993820584959798</c:v>
                </c:pt>
                <c:pt idx="79">
                  <c:v>1.9976692279746735</c:v>
                </c:pt>
                <c:pt idx="80">
                  <c:v>1.8393904287275513</c:v>
                </c:pt>
                <c:pt idx="81">
                  <c:v>1.90836655650005</c:v>
                </c:pt>
                <c:pt idx="82">
                  <c:v>1.7850962739225666</c:v>
                </c:pt>
                <c:pt idx="83">
                  <c:v>1.8308731453246696</c:v>
                </c:pt>
                <c:pt idx="84">
                  <c:v>1.774959856518642</c:v>
                </c:pt>
                <c:pt idx="85">
                  <c:v>1.8565849553919018</c:v>
                </c:pt>
                <c:pt idx="86">
                  <c:v>1.9996284254305161</c:v>
                </c:pt>
                <c:pt idx="87">
                  <c:v>2.1078747430908837</c:v>
                </c:pt>
                <c:pt idx="88">
                  <c:v>2.077619354688748</c:v>
                </c:pt>
                <c:pt idx="89">
                  <c:v>2.1492210885583733</c:v>
                </c:pt>
                <c:pt idx="90">
                  <c:v>1.9320259929879717</c:v>
                </c:pt>
                <c:pt idx="91">
                  <c:v>2.0314788539438555</c:v>
                </c:pt>
                <c:pt idx="92">
                  <c:v>2.0976318051813516</c:v>
                </c:pt>
                <c:pt idx="93">
                  <c:v>2.018517189276559</c:v>
                </c:pt>
                <c:pt idx="94">
                  <c:v>2.0332652034391856</c:v>
                </c:pt>
                <c:pt idx="95">
                  <c:v>2.0734205490385578</c:v>
                </c:pt>
                <c:pt idx="96">
                  <c:v>2.2281120963236094</c:v>
                </c:pt>
                <c:pt idx="97">
                  <c:v>2.1053169327843539</c:v>
                </c:pt>
                <c:pt idx="98">
                  <c:v>2.1748791722917384</c:v>
                </c:pt>
                <c:pt idx="99">
                  <c:v>2.0492145245452611</c:v>
                </c:pt>
                <c:pt idx="100">
                  <c:v>2.0030243136508625</c:v>
                </c:pt>
                <c:pt idx="101">
                  <c:v>1.9754286240325447</c:v>
                </c:pt>
                <c:pt idx="102">
                  <c:v>1.9266009954611945</c:v>
                </c:pt>
                <c:pt idx="103">
                  <c:v>1.9480460639989354</c:v>
                </c:pt>
                <c:pt idx="104">
                  <c:v>1.9222437316964391</c:v>
                </c:pt>
                <c:pt idx="105">
                  <c:v>2.0182489179890166</c:v>
                </c:pt>
                <c:pt idx="106">
                  <c:v>1.9931972656619481</c:v>
                </c:pt>
                <c:pt idx="107">
                  <c:v>1.9963388077976467</c:v>
                </c:pt>
                <c:pt idx="108">
                  <c:v>2.0937322159789318</c:v>
                </c:pt>
                <c:pt idx="109">
                  <c:v>2.1209988418380998</c:v>
                </c:pt>
                <c:pt idx="110">
                  <c:v>2.089087113906468</c:v>
                </c:pt>
                <c:pt idx="111">
                  <c:v>2.0229142902047283</c:v>
                </c:pt>
                <c:pt idx="112">
                  <c:v>2.030548138919126</c:v>
                </c:pt>
                <c:pt idx="113">
                  <c:v>2.0339257910823889</c:v>
                </c:pt>
                <c:pt idx="114">
                  <c:v>1.9452234953377763</c:v>
                </c:pt>
                <c:pt idx="115">
                  <c:v>2.0860163392796265</c:v>
                </c:pt>
                <c:pt idx="116">
                  <c:v>2.1611810293672886</c:v>
                </c:pt>
                <c:pt idx="117">
                  <c:v>2.1929011537036005</c:v>
                </c:pt>
                <c:pt idx="118">
                  <c:v>2.1452573165371263</c:v>
                </c:pt>
                <c:pt idx="119">
                  <c:v>2.0915291961463147</c:v>
                </c:pt>
                <c:pt idx="120">
                  <c:v>2.0857619051872454</c:v>
                </c:pt>
                <c:pt idx="121">
                  <c:v>2.1624902583251808</c:v>
                </c:pt>
                <c:pt idx="122">
                  <c:v>1.966846292123448</c:v>
                </c:pt>
                <c:pt idx="123">
                  <c:v>1.9690958563384282</c:v>
                </c:pt>
                <c:pt idx="124">
                  <c:v>1.9298239915957827</c:v>
                </c:pt>
                <c:pt idx="125">
                  <c:v>1.9867792636730521</c:v>
                </c:pt>
                <c:pt idx="126">
                  <c:v>1.894163519076018</c:v>
                </c:pt>
                <c:pt idx="127">
                  <c:v>1.8199013139954958</c:v>
                </c:pt>
                <c:pt idx="128">
                  <c:v>1.9250527239538462</c:v>
                </c:pt>
                <c:pt idx="129">
                  <c:v>2.0460125440235126</c:v>
                </c:pt>
                <c:pt idx="130">
                  <c:v>1.9893090951629608</c:v>
                </c:pt>
                <c:pt idx="131">
                  <c:v>1.9192711310690971</c:v>
                </c:pt>
                <c:pt idx="132">
                  <c:v>1.8528337834240021</c:v>
                </c:pt>
                <c:pt idx="133">
                  <c:v>1.7811136637356826</c:v>
                </c:pt>
                <c:pt idx="134">
                  <c:v>1.4890520585929665</c:v>
                </c:pt>
                <c:pt idx="135">
                  <c:v>1.5048031418125867</c:v>
                </c:pt>
                <c:pt idx="136">
                  <c:v>1.4746487336845515</c:v>
                </c:pt>
                <c:pt idx="137">
                  <c:v>1.50398880686231</c:v>
                </c:pt>
                <c:pt idx="138">
                  <c:v>1.6378784465946137</c:v>
                </c:pt>
                <c:pt idx="139">
                  <c:v>1.657218093524905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B2-4C67-87AC-FB6F33ADABA5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0.14663916641642327</c:v>
                </c:pt>
                <c:pt idx="2">
                  <c:v>0.1596877549010669</c:v>
                </c:pt>
                <c:pt idx="3">
                  <c:v>0.31767083596886558</c:v>
                </c:pt>
                <c:pt idx="4">
                  <c:v>0.24218016841559736</c:v>
                </c:pt>
                <c:pt idx="5">
                  <c:v>0.26109816809760533</c:v>
                </c:pt>
                <c:pt idx="6">
                  <c:v>0.11288659768624285</c:v>
                </c:pt>
                <c:pt idx="7">
                  <c:v>0.30608622481273173</c:v>
                </c:pt>
                <c:pt idx="8">
                  <c:v>0.36764130227563185</c:v>
                </c:pt>
                <c:pt idx="9">
                  <c:v>0.30693030590737647</c:v>
                </c:pt>
                <c:pt idx="10">
                  <c:v>0.36086919184992883</c:v>
                </c:pt>
                <c:pt idx="11">
                  <c:v>0.45482345279985259</c:v>
                </c:pt>
                <c:pt idx="12">
                  <c:v>0.5443524180925976</c:v>
                </c:pt>
                <c:pt idx="13">
                  <c:v>0.55463642608507713</c:v>
                </c:pt>
                <c:pt idx="14">
                  <c:v>0.70490655100663457</c:v>
                </c:pt>
                <c:pt idx="15">
                  <c:v>0.78855590660789687</c:v>
                </c:pt>
                <c:pt idx="16">
                  <c:v>1.069699124832822</c:v>
                </c:pt>
                <c:pt idx="17">
                  <c:v>1.1581951240598169</c:v>
                </c:pt>
                <c:pt idx="18">
                  <c:v>1.309239716883968</c:v>
                </c:pt>
                <c:pt idx="19">
                  <c:v>1.2410577888811858</c:v>
                </c:pt>
                <c:pt idx="20">
                  <c:v>1.3300880542157203</c:v>
                </c:pt>
                <c:pt idx="21">
                  <c:v>1.203257773242453</c:v>
                </c:pt>
                <c:pt idx="22">
                  <c:v>1.2173821041235362</c:v>
                </c:pt>
                <c:pt idx="23">
                  <c:v>1.2844875309309187</c:v>
                </c:pt>
                <c:pt idx="24">
                  <c:v>1.2326869006540873</c:v>
                </c:pt>
                <c:pt idx="25">
                  <c:v>1.1378654792712382</c:v>
                </c:pt>
                <c:pt idx="26">
                  <c:v>1.1199212448460041</c:v>
                </c:pt>
                <c:pt idx="27">
                  <c:v>1.0815742509323796</c:v>
                </c:pt>
                <c:pt idx="28">
                  <c:v>1.2839069128574496</c:v>
                </c:pt>
                <c:pt idx="29">
                  <c:v>1.0503736263677816</c:v>
                </c:pt>
                <c:pt idx="30">
                  <c:v>1.1056161837273744</c:v>
                </c:pt>
                <c:pt idx="31">
                  <c:v>1.19253375844719</c:v>
                </c:pt>
                <c:pt idx="32">
                  <c:v>1.2066607395464604</c:v>
                </c:pt>
                <c:pt idx="33">
                  <c:v>1.2828085910208455</c:v>
                </c:pt>
                <c:pt idx="34">
                  <c:v>1.2806211100521714</c:v>
                </c:pt>
                <c:pt idx="35">
                  <c:v>1.306866928619131</c:v>
                </c:pt>
                <c:pt idx="36">
                  <c:v>1.3113991165091194</c:v>
                </c:pt>
                <c:pt idx="37">
                  <c:v>1.4386876128103281</c:v>
                </c:pt>
                <c:pt idx="38">
                  <c:v>1.4517598131591536</c:v>
                </c:pt>
                <c:pt idx="39">
                  <c:v>1.5273564334776095</c:v>
                </c:pt>
                <c:pt idx="40">
                  <c:v>1.5203877586430012</c:v>
                </c:pt>
                <c:pt idx="41">
                  <c:v>1.5478977050942391</c:v>
                </c:pt>
                <c:pt idx="42">
                  <c:v>1.5828785615962904</c:v>
                </c:pt>
                <c:pt idx="43">
                  <c:v>1.8804321575104546</c:v>
                </c:pt>
                <c:pt idx="44">
                  <c:v>2.0535722651803274</c:v>
                </c:pt>
                <c:pt idx="45">
                  <c:v>1.9748076354776052</c:v>
                </c:pt>
                <c:pt idx="46">
                  <c:v>1.9651911813261853</c:v>
                </c:pt>
                <c:pt idx="47">
                  <c:v>2.1036750413929752</c:v>
                </c:pt>
                <c:pt idx="48">
                  <c:v>2.098448035911713</c:v>
                </c:pt>
                <c:pt idx="49">
                  <c:v>2.1251504494882614</c:v>
                </c:pt>
                <c:pt idx="50">
                  <c:v>2.1072894210708872</c:v>
                </c:pt>
                <c:pt idx="51">
                  <c:v>2.2758652199801777</c:v>
                </c:pt>
                <c:pt idx="52">
                  <c:v>2.3581540452777126</c:v>
                </c:pt>
                <c:pt idx="53">
                  <c:v>2.4100211171460617</c:v>
                </c:pt>
                <c:pt idx="54">
                  <c:v>2.3340431471506258</c:v>
                </c:pt>
                <c:pt idx="55">
                  <c:v>2.4779161318369942</c:v>
                </c:pt>
                <c:pt idx="56">
                  <c:v>2.4953091119629009</c:v>
                </c:pt>
                <c:pt idx="57">
                  <c:v>2.5146224312671439</c:v>
                </c:pt>
                <c:pt idx="58">
                  <c:v>2.5651511957310849</c:v>
                </c:pt>
                <c:pt idx="59">
                  <c:v>2.6057829947275453</c:v>
                </c:pt>
                <c:pt idx="60">
                  <c:v>2.4785989618299484</c:v>
                </c:pt>
                <c:pt idx="61">
                  <c:v>2.5377797582586412</c:v>
                </c:pt>
                <c:pt idx="62">
                  <c:v>2.5848444913432473</c:v>
                </c:pt>
                <c:pt idx="63">
                  <c:v>2.6422360450829081</c:v>
                </c:pt>
                <c:pt idx="64">
                  <c:v>2.6217195775315414</c:v>
                </c:pt>
                <c:pt idx="65">
                  <c:v>2.6468888306629643</c:v>
                </c:pt>
                <c:pt idx="66">
                  <c:v>2.6022207654663223</c:v>
                </c:pt>
                <c:pt idx="67">
                  <c:v>2.6024218242518118</c:v>
                </c:pt>
                <c:pt idx="68">
                  <c:v>2.6111729830709858</c:v>
                </c:pt>
                <c:pt idx="69">
                  <c:v>2.5817088139368241</c:v>
                </c:pt>
                <c:pt idx="70">
                  <c:v>2.6275754139792951</c:v>
                </c:pt>
                <c:pt idx="71">
                  <c:v>2.6371138742199567</c:v>
                </c:pt>
                <c:pt idx="72">
                  <c:v>2.5572954651736701</c:v>
                </c:pt>
                <c:pt idx="73">
                  <c:v>2.5262865641211101</c:v>
                </c:pt>
                <c:pt idx="74">
                  <c:v>2.43836801718333</c:v>
                </c:pt>
                <c:pt idx="75">
                  <c:v>2.3285534460567234</c:v>
                </c:pt>
                <c:pt idx="76">
                  <c:v>2.3517774299749479</c:v>
                </c:pt>
                <c:pt idx="77">
                  <c:v>2.2975611020815734</c:v>
                </c:pt>
                <c:pt idx="78">
                  <c:v>2.0775958546505064</c:v>
                </c:pt>
                <c:pt idx="79">
                  <c:v>2.0865740664230579</c:v>
                </c:pt>
                <c:pt idx="80">
                  <c:v>1.9526414595134758</c:v>
                </c:pt>
                <c:pt idx="81">
                  <c:v>2.0115199893446394</c:v>
                </c:pt>
                <c:pt idx="82">
                  <c:v>1.8408315118257286</c:v>
                </c:pt>
                <c:pt idx="83">
                  <c:v>1.8859038405721231</c:v>
                </c:pt>
                <c:pt idx="84">
                  <c:v>1.8556494309150637</c:v>
                </c:pt>
                <c:pt idx="85">
                  <c:v>1.9545889372560719</c:v>
                </c:pt>
                <c:pt idx="86">
                  <c:v>2.1036951545560623</c:v>
                </c:pt>
                <c:pt idx="87">
                  <c:v>2.2159070259831011</c:v>
                </c:pt>
                <c:pt idx="88">
                  <c:v>2.201051399427874</c:v>
                </c:pt>
                <c:pt idx="89">
                  <c:v>2.2842813642354916</c:v>
                </c:pt>
                <c:pt idx="90">
                  <c:v>2.0734792387640755</c:v>
                </c:pt>
                <c:pt idx="91">
                  <c:v>2.1860743043379682</c:v>
                </c:pt>
                <c:pt idx="92">
                  <c:v>2.2339652092365472</c:v>
                </c:pt>
                <c:pt idx="93">
                  <c:v>2.1861508636436859</c:v>
                </c:pt>
                <c:pt idx="94">
                  <c:v>2.2247090951744641</c:v>
                </c:pt>
                <c:pt idx="95">
                  <c:v>2.2622107400940425</c:v>
                </c:pt>
                <c:pt idx="96">
                  <c:v>2.4294453040991111</c:v>
                </c:pt>
                <c:pt idx="97">
                  <c:v>2.3236137312573435</c:v>
                </c:pt>
                <c:pt idx="98">
                  <c:v>2.4053272169994737</c:v>
                </c:pt>
                <c:pt idx="99">
                  <c:v>2.3077873484461819</c:v>
                </c:pt>
                <c:pt idx="100">
                  <c:v>2.2426173020141023</c:v>
                </c:pt>
                <c:pt idx="101">
                  <c:v>2.1777724447275557</c:v>
                </c:pt>
                <c:pt idx="102">
                  <c:v>2.1244583210115513</c:v>
                </c:pt>
                <c:pt idx="103">
                  <c:v>2.1464518274574163</c:v>
                </c:pt>
                <c:pt idx="104">
                  <c:v>2.130112916447628</c:v>
                </c:pt>
                <c:pt idx="105">
                  <c:v>2.1932470875759287</c:v>
                </c:pt>
                <c:pt idx="106">
                  <c:v>2.1593807971623926</c:v>
                </c:pt>
                <c:pt idx="107">
                  <c:v>2.1962702826952989</c:v>
                </c:pt>
                <c:pt idx="108">
                  <c:v>2.2858676630415573</c:v>
                </c:pt>
                <c:pt idx="109">
                  <c:v>2.3143107251703219</c:v>
                </c:pt>
                <c:pt idx="110">
                  <c:v>2.2764237705775154</c:v>
                </c:pt>
                <c:pt idx="111">
                  <c:v>2.2104007950547699</c:v>
                </c:pt>
                <c:pt idx="112">
                  <c:v>2.2457413603448328</c:v>
                </c:pt>
                <c:pt idx="113">
                  <c:v>2.2493607924735985</c:v>
                </c:pt>
                <c:pt idx="114">
                  <c:v>2.1660504125255065</c:v>
                </c:pt>
                <c:pt idx="115">
                  <c:v>2.3195164048820489</c:v>
                </c:pt>
                <c:pt idx="116">
                  <c:v>2.3610458746135916</c:v>
                </c:pt>
                <c:pt idx="117">
                  <c:v>2.3789140062279199</c:v>
                </c:pt>
                <c:pt idx="118">
                  <c:v>2.3417475971177932</c:v>
                </c:pt>
                <c:pt idx="119">
                  <c:v>2.2896492691553467</c:v>
                </c:pt>
                <c:pt idx="120">
                  <c:v>2.2926970693223945</c:v>
                </c:pt>
                <c:pt idx="121">
                  <c:v>2.388205635954884</c:v>
                </c:pt>
                <c:pt idx="122">
                  <c:v>2.2212116571659428</c:v>
                </c:pt>
                <c:pt idx="123">
                  <c:v>2.2048535650759096</c:v>
                </c:pt>
                <c:pt idx="124">
                  <c:v>2.1710144694816571</c:v>
                </c:pt>
                <c:pt idx="125">
                  <c:v>2.2495267539138393</c:v>
                </c:pt>
                <c:pt idx="126">
                  <c:v>2.1219291273135741</c:v>
                </c:pt>
                <c:pt idx="127">
                  <c:v>2.0248730636005705</c:v>
                </c:pt>
                <c:pt idx="128">
                  <c:v>2.16442504819786</c:v>
                </c:pt>
                <c:pt idx="129">
                  <c:v>2.2735029356256851</c:v>
                </c:pt>
                <c:pt idx="130">
                  <c:v>2.2216376952370416</c:v>
                </c:pt>
                <c:pt idx="131">
                  <c:v>2.1818901035130165</c:v>
                </c:pt>
                <c:pt idx="132">
                  <c:v>2.1215077757513341</c:v>
                </c:pt>
                <c:pt idx="133">
                  <c:v>2.0394687840375449</c:v>
                </c:pt>
                <c:pt idx="134">
                  <c:v>1.7101120773719025</c:v>
                </c:pt>
                <c:pt idx="135">
                  <c:v>1.727104464333991</c:v>
                </c:pt>
                <c:pt idx="136">
                  <c:v>1.7133116221071962</c:v>
                </c:pt>
                <c:pt idx="137">
                  <c:v>1.7412556582857917</c:v>
                </c:pt>
                <c:pt idx="138">
                  <c:v>1.883424434940401</c:v>
                </c:pt>
                <c:pt idx="139">
                  <c:v>1.8749024363124633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B2-4C67-87AC-FB6F33ADABA5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0.14430565152060182</c:v>
                </c:pt>
                <c:pt idx="2">
                  <c:v>0.20132491974873534</c:v>
                </c:pt>
                <c:pt idx="3">
                  <c:v>0.33705484845427536</c:v>
                </c:pt>
                <c:pt idx="4">
                  <c:v>0.22424102172721755</c:v>
                </c:pt>
                <c:pt idx="5">
                  <c:v>0.26037466594888031</c:v>
                </c:pt>
                <c:pt idx="6">
                  <c:v>7.724167919981631E-2</c:v>
                </c:pt>
                <c:pt idx="7">
                  <c:v>0.28329698419356691</c:v>
                </c:pt>
                <c:pt idx="8">
                  <c:v>0.41166012133915281</c:v>
                </c:pt>
                <c:pt idx="9">
                  <c:v>0.36663467679897699</c:v>
                </c:pt>
                <c:pt idx="10">
                  <c:v>0.42322182850095846</c:v>
                </c:pt>
                <c:pt idx="11">
                  <c:v>0.51894046756110113</c:v>
                </c:pt>
                <c:pt idx="12">
                  <c:v>0.60277494856274849</c:v>
                </c:pt>
                <c:pt idx="13">
                  <c:v>0.63494349997436006</c:v>
                </c:pt>
                <c:pt idx="14">
                  <c:v>0.78695041217629214</c:v>
                </c:pt>
                <c:pt idx="15">
                  <c:v>0.87971360762960638</c:v>
                </c:pt>
                <c:pt idx="16">
                  <c:v>1.2042644161315645</c:v>
                </c:pt>
                <c:pt idx="17">
                  <c:v>1.2749707793070613</c:v>
                </c:pt>
                <c:pt idx="18">
                  <c:v>1.4027617699759394</c:v>
                </c:pt>
                <c:pt idx="19">
                  <c:v>1.3259681962420924</c:v>
                </c:pt>
                <c:pt idx="20">
                  <c:v>1.4382312898885068</c:v>
                </c:pt>
                <c:pt idx="21">
                  <c:v>1.3409836873962491</c:v>
                </c:pt>
                <c:pt idx="22">
                  <c:v>1.3160079294831231</c:v>
                </c:pt>
                <c:pt idx="23">
                  <c:v>1.3888790086241953</c:v>
                </c:pt>
                <c:pt idx="24">
                  <c:v>1.3355308748095811</c:v>
                </c:pt>
                <c:pt idx="25">
                  <c:v>1.2565262884750554</c:v>
                </c:pt>
                <c:pt idx="26">
                  <c:v>1.2470311481704328</c:v>
                </c:pt>
                <c:pt idx="27">
                  <c:v>1.2445660811953707</c:v>
                </c:pt>
                <c:pt idx="28">
                  <c:v>1.4813202595803971</c:v>
                </c:pt>
                <c:pt idx="29">
                  <c:v>1.235620309117833</c:v>
                </c:pt>
                <c:pt idx="30">
                  <c:v>1.2842975429957169</c:v>
                </c:pt>
                <c:pt idx="31">
                  <c:v>1.3654001734010457</c:v>
                </c:pt>
                <c:pt idx="32">
                  <c:v>1.3969546096840928</c:v>
                </c:pt>
                <c:pt idx="33">
                  <c:v>1.4875598170776971</c:v>
                </c:pt>
                <c:pt idx="34">
                  <c:v>1.4951118595836499</c:v>
                </c:pt>
                <c:pt idx="35">
                  <c:v>1.5197093635235732</c:v>
                </c:pt>
                <c:pt idx="36">
                  <c:v>1.5478557666383408</c:v>
                </c:pt>
                <c:pt idx="37">
                  <c:v>1.6651781050226018</c:v>
                </c:pt>
                <c:pt idx="38">
                  <c:v>1.6886992570089785</c:v>
                </c:pt>
                <c:pt idx="39">
                  <c:v>1.7927625325011385</c:v>
                </c:pt>
                <c:pt idx="40">
                  <c:v>1.7909581773952532</c:v>
                </c:pt>
                <c:pt idx="41">
                  <c:v>1.8205032670736361</c:v>
                </c:pt>
                <c:pt idx="42">
                  <c:v>1.8775284992185126</c:v>
                </c:pt>
                <c:pt idx="43">
                  <c:v>2.207530724089902</c:v>
                </c:pt>
                <c:pt idx="44">
                  <c:v>2.4177306951387636</c:v>
                </c:pt>
                <c:pt idx="45">
                  <c:v>2.3276152873714024</c:v>
                </c:pt>
                <c:pt idx="46">
                  <c:v>2.3357495069904797</c:v>
                </c:pt>
                <c:pt idx="47">
                  <c:v>2.5163697130365712</c:v>
                </c:pt>
                <c:pt idx="48">
                  <c:v>2.5025576061606905</c:v>
                </c:pt>
                <c:pt idx="49">
                  <c:v>2.4314194405923071</c:v>
                </c:pt>
                <c:pt idx="50">
                  <c:v>2.4018202459664493</c:v>
                </c:pt>
                <c:pt idx="51">
                  <c:v>2.5877355911710263</c:v>
                </c:pt>
                <c:pt idx="52">
                  <c:v>2.6704612123859612</c:v>
                </c:pt>
                <c:pt idx="53">
                  <c:v>2.6814875133333977</c:v>
                </c:pt>
                <c:pt idx="54">
                  <c:v>2.6004286244871304</c:v>
                </c:pt>
                <c:pt idx="55">
                  <c:v>2.7306949356054484</c:v>
                </c:pt>
                <c:pt idx="56">
                  <c:v>2.754250368850069</c:v>
                </c:pt>
                <c:pt idx="57">
                  <c:v>2.7952507978723773</c:v>
                </c:pt>
                <c:pt idx="58">
                  <c:v>2.8476945881874762</c:v>
                </c:pt>
                <c:pt idx="59">
                  <c:v>2.8771359563536194</c:v>
                </c:pt>
                <c:pt idx="60">
                  <c:v>2.7676035650009863</c:v>
                </c:pt>
                <c:pt idx="61">
                  <c:v>2.8347265002427369</c:v>
                </c:pt>
                <c:pt idx="62">
                  <c:v>2.8838372815846185</c:v>
                </c:pt>
                <c:pt idx="63">
                  <c:v>2.9504642336118714</c:v>
                </c:pt>
                <c:pt idx="64">
                  <c:v>2.9294443836230224</c:v>
                </c:pt>
                <c:pt idx="65">
                  <c:v>2.9724770918218093</c:v>
                </c:pt>
                <c:pt idx="66">
                  <c:v>2.8989255256782545</c:v>
                </c:pt>
                <c:pt idx="67">
                  <c:v>2.8912317848586051</c:v>
                </c:pt>
                <c:pt idx="68">
                  <c:v>2.9001988464387898</c:v>
                </c:pt>
                <c:pt idx="69">
                  <c:v>2.8777135721899687</c:v>
                </c:pt>
                <c:pt idx="70">
                  <c:v>2.940206865692506</c:v>
                </c:pt>
                <c:pt idx="71">
                  <c:v>2.9898461260664893</c:v>
                </c:pt>
                <c:pt idx="72">
                  <c:v>2.9077350234618211</c:v>
                </c:pt>
                <c:pt idx="73">
                  <c:v>2.8704941091673364</c:v>
                </c:pt>
                <c:pt idx="74">
                  <c:v>2.7758488898075422</c:v>
                </c:pt>
                <c:pt idx="75">
                  <c:v>2.6311068679791001</c:v>
                </c:pt>
                <c:pt idx="76">
                  <c:v>2.653489776893986</c:v>
                </c:pt>
                <c:pt idx="77">
                  <c:v>2.565435640162534</c:v>
                </c:pt>
                <c:pt idx="78">
                  <c:v>2.3236723490819755</c:v>
                </c:pt>
                <c:pt idx="79">
                  <c:v>2.2984290530109308</c:v>
                </c:pt>
                <c:pt idx="80">
                  <c:v>2.1191748051788064</c:v>
                </c:pt>
                <c:pt idx="81">
                  <c:v>2.09838487211008</c:v>
                </c:pt>
                <c:pt idx="82">
                  <c:v>1.9570884521261616</c:v>
                </c:pt>
                <c:pt idx="83">
                  <c:v>2.0874359970576837</c:v>
                </c:pt>
                <c:pt idx="84">
                  <c:v>2.0610728647729388</c:v>
                </c:pt>
                <c:pt idx="85">
                  <c:v>2.1555506326401948</c:v>
                </c:pt>
                <c:pt idx="86">
                  <c:v>2.3077886025715699</c:v>
                </c:pt>
                <c:pt idx="87">
                  <c:v>2.4492808496183502</c:v>
                </c:pt>
                <c:pt idx="88">
                  <c:v>2.4836257067746392</c:v>
                </c:pt>
                <c:pt idx="89">
                  <c:v>2.5602810091638646</c:v>
                </c:pt>
                <c:pt idx="90">
                  <c:v>2.3367655893906596</c:v>
                </c:pt>
                <c:pt idx="91">
                  <c:v>2.4551411437044486</c:v>
                </c:pt>
                <c:pt idx="92">
                  <c:v>2.5012701697732709</c:v>
                </c:pt>
                <c:pt idx="93">
                  <c:v>2.3981429128725895</c:v>
                </c:pt>
                <c:pt idx="94">
                  <c:v>2.4391121818089863</c:v>
                </c:pt>
                <c:pt idx="95">
                  <c:v>2.431467014203808</c:v>
                </c:pt>
                <c:pt idx="96">
                  <c:v>2.6022398031751379</c:v>
                </c:pt>
                <c:pt idx="97">
                  <c:v>2.4676826323448466</c:v>
                </c:pt>
                <c:pt idx="98">
                  <c:v>2.5354136988029383</c:v>
                </c:pt>
                <c:pt idx="99">
                  <c:v>2.4318481821841926</c:v>
                </c:pt>
                <c:pt idx="100">
                  <c:v>2.3588569668941997</c:v>
                </c:pt>
                <c:pt idx="101">
                  <c:v>2.3408453159720635</c:v>
                </c:pt>
                <c:pt idx="102">
                  <c:v>2.2756993910386307</c:v>
                </c:pt>
                <c:pt idx="103">
                  <c:v>2.3068802009217304</c:v>
                </c:pt>
                <c:pt idx="104">
                  <c:v>2.3654744497238287</c:v>
                </c:pt>
                <c:pt idx="105">
                  <c:v>2.3974822227557855</c:v>
                </c:pt>
                <c:pt idx="106">
                  <c:v>2.4170939967565044</c:v>
                </c:pt>
                <c:pt idx="107">
                  <c:v>2.3787347980571907</c:v>
                </c:pt>
                <c:pt idx="108">
                  <c:v>2.4944088993326798</c:v>
                </c:pt>
                <c:pt idx="109">
                  <c:v>2.4806400806604145</c:v>
                </c:pt>
                <c:pt idx="110">
                  <c:v>2.4197324851900892</c:v>
                </c:pt>
                <c:pt idx="111">
                  <c:v>2.3790721797959806</c:v>
                </c:pt>
                <c:pt idx="112">
                  <c:v>2.4197646011511602</c:v>
                </c:pt>
                <c:pt idx="113">
                  <c:v>2.4145749435479247</c:v>
                </c:pt>
                <c:pt idx="114">
                  <c:v>2.3716990504116726</c:v>
                </c:pt>
                <c:pt idx="115">
                  <c:v>2.5674434418947891</c:v>
                </c:pt>
                <c:pt idx="116">
                  <c:v>2.6064540934186713</c:v>
                </c:pt>
                <c:pt idx="117">
                  <c:v>2.6341653245678556</c:v>
                </c:pt>
                <c:pt idx="118">
                  <c:v>2.583717531230735</c:v>
                </c:pt>
                <c:pt idx="119">
                  <c:v>2.5334712852426868</c:v>
                </c:pt>
                <c:pt idx="120">
                  <c:v>2.5500315887640652</c:v>
                </c:pt>
                <c:pt idx="121">
                  <c:v>2.6239529075800219</c:v>
                </c:pt>
                <c:pt idx="122">
                  <c:v>2.4293965702307068</c:v>
                </c:pt>
                <c:pt idx="123">
                  <c:v>2.4210010507853563</c:v>
                </c:pt>
                <c:pt idx="124">
                  <c:v>2.3809335021425229</c:v>
                </c:pt>
                <c:pt idx="125">
                  <c:v>2.4740279411271766</c:v>
                </c:pt>
                <c:pt idx="126">
                  <c:v>2.366434922594717</c:v>
                </c:pt>
                <c:pt idx="127">
                  <c:v>2.2094915549445546</c:v>
                </c:pt>
                <c:pt idx="128">
                  <c:v>2.3792872373909058</c:v>
                </c:pt>
                <c:pt idx="129">
                  <c:v>2.4996053367405064</c:v>
                </c:pt>
                <c:pt idx="130">
                  <c:v>2.463671344810944</c:v>
                </c:pt>
                <c:pt idx="131">
                  <c:v>2.4304201642999139</c:v>
                </c:pt>
                <c:pt idx="132">
                  <c:v>2.3708173183920009</c:v>
                </c:pt>
                <c:pt idx="133">
                  <c:v>2.297914686872685</c:v>
                </c:pt>
                <c:pt idx="134">
                  <c:v>1.8574731864452307</c:v>
                </c:pt>
                <c:pt idx="135">
                  <c:v>1.8450921827017861</c:v>
                </c:pt>
                <c:pt idx="136">
                  <c:v>1.8512068346802342</c:v>
                </c:pt>
                <c:pt idx="137">
                  <c:v>1.8920841402678918</c:v>
                </c:pt>
                <c:pt idx="138">
                  <c:v>2.015786399382733</c:v>
                </c:pt>
                <c:pt idx="139">
                  <c:v>2.0395545850344172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B2-4C67-87AC-FB6F33ADABA5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0.1467052251462328</c:v>
                </c:pt>
                <c:pt idx="2">
                  <c:v>0.21502584246829887</c:v>
                </c:pt>
                <c:pt idx="3">
                  <c:v>0.37902700490485364</c:v>
                </c:pt>
                <c:pt idx="4">
                  <c:v>0.24575983323127162</c:v>
                </c:pt>
                <c:pt idx="5">
                  <c:v>0.26322170607421991</c:v>
                </c:pt>
                <c:pt idx="6">
                  <c:v>4.8993209011088806E-2</c:v>
                </c:pt>
                <c:pt idx="7">
                  <c:v>0.27799895437552047</c:v>
                </c:pt>
                <c:pt idx="8">
                  <c:v>0.38700624841037429</c:v>
                </c:pt>
                <c:pt idx="9">
                  <c:v>0.32363953421465036</c:v>
                </c:pt>
                <c:pt idx="10">
                  <c:v>0.36744686352085498</c:v>
                </c:pt>
                <c:pt idx="11">
                  <c:v>0.51234690082802925</c:v>
                </c:pt>
                <c:pt idx="12">
                  <c:v>0.61183586398994183</c:v>
                </c:pt>
                <c:pt idx="13">
                  <c:v>0.66393310762583169</c:v>
                </c:pt>
                <c:pt idx="14">
                  <c:v>0.82647143535370482</c:v>
                </c:pt>
                <c:pt idx="15">
                  <c:v>0.90311625148355346</c:v>
                </c:pt>
                <c:pt idx="16">
                  <c:v>1.180583958355272</c:v>
                </c:pt>
                <c:pt idx="17">
                  <c:v>1.2730722003332129</c:v>
                </c:pt>
                <c:pt idx="18">
                  <c:v>1.3774457162898641</c:v>
                </c:pt>
                <c:pt idx="19">
                  <c:v>1.3045654319263986</c:v>
                </c:pt>
                <c:pt idx="20">
                  <c:v>1.471173921169544</c:v>
                </c:pt>
                <c:pt idx="21">
                  <c:v>1.3457464512386133</c:v>
                </c:pt>
                <c:pt idx="22">
                  <c:v>1.3211711225070693</c:v>
                </c:pt>
                <c:pt idx="23">
                  <c:v>1.4381300238167793</c:v>
                </c:pt>
                <c:pt idx="24">
                  <c:v>1.4112996514586145</c:v>
                </c:pt>
                <c:pt idx="25">
                  <c:v>1.2960788055735462</c:v>
                </c:pt>
                <c:pt idx="26">
                  <c:v>1.3464349706932377</c:v>
                </c:pt>
                <c:pt idx="27">
                  <c:v>1.3057001929739331</c:v>
                </c:pt>
                <c:pt idx="28">
                  <c:v>1.4476358555040956</c:v>
                </c:pt>
                <c:pt idx="29">
                  <c:v>1.2089518121629774</c:v>
                </c:pt>
                <c:pt idx="30">
                  <c:v>1.2366110307028697</c:v>
                </c:pt>
                <c:pt idx="31">
                  <c:v>1.2902265303602918</c:v>
                </c:pt>
                <c:pt idx="32">
                  <c:v>1.3208652793314124</c:v>
                </c:pt>
                <c:pt idx="33">
                  <c:v>1.4603162569463548</c:v>
                </c:pt>
                <c:pt idx="34">
                  <c:v>1.446721141450352</c:v>
                </c:pt>
                <c:pt idx="35">
                  <c:v>1.5104566824048302</c:v>
                </c:pt>
                <c:pt idx="36">
                  <c:v>1.5389397894899175</c:v>
                </c:pt>
                <c:pt idx="37">
                  <c:v>1.6597812559631167</c:v>
                </c:pt>
                <c:pt idx="38">
                  <c:v>1.6930907580975225</c:v>
                </c:pt>
                <c:pt idx="39">
                  <c:v>1.8403628212770831</c:v>
                </c:pt>
                <c:pt idx="40">
                  <c:v>1.8630808647863459</c:v>
                </c:pt>
                <c:pt idx="41">
                  <c:v>1.8609830725761229</c:v>
                </c:pt>
                <c:pt idx="42">
                  <c:v>1.934229428264441</c:v>
                </c:pt>
                <c:pt idx="43">
                  <c:v>2.1372920189082132</c:v>
                </c:pt>
                <c:pt idx="44">
                  <c:v>2.3393310282016091</c:v>
                </c:pt>
                <c:pt idx="45">
                  <c:v>2.2416073486470065</c:v>
                </c:pt>
                <c:pt idx="46">
                  <c:v>2.2407512187834713</c:v>
                </c:pt>
                <c:pt idx="47">
                  <c:v>2.4197651668041398</c:v>
                </c:pt>
                <c:pt idx="48">
                  <c:v>2.4123985169020496</c:v>
                </c:pt>
                <c:pt idx="49">
                  <c:v>2.3176683090176677</c:v>
                </c:pt>
                <c:pt idx="50">
                  <c:v>2.2693408022012194</c:v>
                </c:pt>
                <c:pt idx="51">
                  <c:v>2.504213980230328</c:v>
                </c:pt>
                <c:pt idx="52">
                  <c:v>2.5437363803549733</c:v>
                </c:pt>
                <c:pt idx="53">
                  <c:v>2.5793469165469687</c:v>
                </c:pt>
                <c:pt idx="54">
                  <c:v>2.5251392363073863</c:v>
                </c:pt>
                <c:pt idx="55">
                  <c:v>2.6847124041422421</c:v>
                </c:pt>
                <c:pt idx="56">
                  <c:v>2.6719133250555527</c:v>
                </c:pt>
                <c:pt idx="57">
                  <c:v>2.7012592083199163</c:v>
                </c:pt>
                <c:pt idx="58">
                  <c:v>2.7861198960215066</c:v>
                </c:pt>
                <c:pt idx="59">
                  <c:v>2.8152597670868147</c:v>
                </c:pt>
                <c:pt idx="60">
                  <c:v>2.8167945194410682</c:v>
                </c:pt>
                <c:pt idx="61">
                  <c:v>2.8914040431719665</c:v>
                </c:pt>
                <c:pt idx="62">
                  <c:v>2.9478849059048806</c:v>
                </c:pt>
                <c:pt idx="63">
                  <c:v>3.0433115915767752</c:v>
                </c:pt>
                <c:pt idx="64">
                  <c:v>3.0196990287029508</c:v>
                </c:pt>
                <c:pt idx="65">
                  <c:v>3.0710057763867726</c:v>
                </c:pt>
                <c:pt idx="66">
                  <c:v>2.9771401300472928</c:v>
                </c:pt>
                <c:pt idx="67">
                  <c:v>2.9717509722041791</c:v>
                </c:pt>
                <c:pt idx="68">
                  <c:v>2.9961156023479596</c:v>
                </c:pt>
                <c:pt idx="69">
                  <c:v>2.9600601975465288</c:v>
                </c:pt>
                <c:pt idx="70">
                  <c:v>3.0106160164554261</c:v>
                </c:pt>
                <c:pt idx="71">
                  <c:v>3.0680635717182989</c:v>
                </c:pt>
                <c:pt idx="72">
                  <c:v>2.9463772100601791</c:v>
                </c:pt>
                <c:pt idx="73">
                  <c:v>2.92411979493856</c:v>
                </c:pt>
                <c:pt idx="74">
                  <c:v>2.8313641244540726</c:v>
                </c:pt>
                <c:pt idx="75">
                  <c:v>2.6466390369647206</c:v>
                </c:pt>
                <c:pt idx="76">
                  <c:v>2.6639810248957847</c:v>
                </c:pt>
                <c:pt idx="77">
                  <c:v>2.61575650601673</c:v>
                </c:pt>
                <c:pt idx="78">
                  <c:v>2.3486607721128649</c:v>
                </c:pt>
                <c:pt idx="79">
                  <c:v>2.3701789181026522</c:v>
                </c:pt>
                <c:pt idx="80">
                  <c:v>2.1672452291593252</c:v>
                </c:pt>
                <c:pt idx="81">
                  <c:v>2.1553792090516954</c:v>
                </c:pt>
                <c:pt idx="82">
                  <c:v>2.0236654552644184</c:v>
                </c:pt>
                <c:pt idx="83">
                  <c:v>2.1583737318082905</c:v>
                </c:pt>
                <c:pt idx="84">
                  <c:v>2.1625512051144313</c:v>
                </c:pt>
                <c:pt idx="85">
                  <c:v>2.3046776501502113</c:v>
                </c:pt>
                <c:pt idx="86">
                  <c:v>2.4180705834483436</c:v>
                </c:pt>
                <c:pt idx="87">
                  <c:v>2.5621342489757541</c:v>
                </c:pt>
                <c:pt idx="88">
                  <c:v>2.5914538439669066</c:v>
                </c:pt>
                <c:pt idx="89">
                  <c:v>2.6701470399320786</c:v>
                </c:pt>
                <c:pt idx="90">
                  <c:v>2.3835137781198763</c:v>
                </c:pt>
                <c:pt idx="91">
                  <c:v>2.5480254376877793</c:v>
                </c:pt>
                <c:pt idx="92">
                  <c:v>2.5932020818667962</c:v>
                </c:pt>
                <c:pt idx="93">
                  <c:v>2.4772594765603535</c:v>
                </c:pt>
                <c:pt idx="94">
                  <c:v>2.5358334894728807</c:v>
                </c:pt>
                <c:pt idx="95">
                  <c:v>2.5014694701445244</c:v>
                </c:pt>
                <c:pt idx="96">
                  <c:v>2.6634136374150859</c:v>
                </c:pt>
                <c:pt idx="97">
                  <c:v>2.5117240298667918</c:v>
                </c:pt>
                <c:pt idx="98">
                  <c:v>2.5653112217266534</c:v>
                </c:pt>
                <c:pt idx="99">
                  <c:v>2.4741389910473082</c:v>
                </c:pt>
                <c:pt idx="100">
                  <c:v>2.3840136978574562</c:v>
                </c:pt>
                <c:pt idx="101">
                  <c:v>2.3760131493509813</c:v>
                </c:pt>
                <c:pt idx="102">
                  <c:v>2.3202347983195684</c:v>
                </c:pt>
                <c:pt idx="103">
                  <c:v>2.3331452421735133</c:v>
                </c:pt>
                <c:pt idx="104">
                  <c:v>2.3677063728337489</c:v>
                </c:pt>
                <c:pt idx="105">
                  <c:v>2.4022715349232526</c:v>
                </c:pt>
                <c:pt idx="106">
                  <c:v>2.3588453492145138</c:v>
                </c:pt>
                <c:pt idx="107">
                  <c:v>2.3254728416289341</c:v>
                </c:pt>
                <c:pt idx="108">
                  <c:v>2.4659020923989545</c:v>
                </c:pt>
                <c:pt idx="109">
                  <c:v>2.4503816096998161</c:v>
                </c:pt>
                <c:pt idx="110">
                  <c:v>2.4228870689052671</c:v>
                </c:pt>
                <c:pt idx="111">
                  <c:v>2.4071594195050521</c:v>
                </c:pt>
                <c:pt idx="112">
                  <c:v>2.4098882448914112</c:v>
                </c:pt>
                <c:pt idx="113">
                  <c:v>2.4153531944663618</c:v>
                </c:pt>
                <c:pt idx="114">
                  <c:v>2.3420643789431717</c:v>
                </c:pt>
                <c:pt idx="115">
                  <c:v>2.5689066206246363</c:v>
                </c:pt>
                <c:pt idx="116">
                  <c:v>2.551051500530169</c:v>
                </c:pt>
                <c:pt idx="117">
                  <c:v>2.5876245792244261</c:v>
                </c:pt>
                <c:pt idx="118">
                  <c:v>2.5460064570340148</c:v>
                </c:pt>
                <c:pt idx="119">
                  <c:v>2.4874018940748752</c:v>
                </c:pt>
                <c:pt idx="120">
                  <c:v>2.5256371023227913</c:v>
                </c:pt>
                <c:pt idx="121">
                  <c:v>2.5936794894501558</c:v>
                </c:pt>
                <c:pt idx="122">
                  <c:v>2.3510236366996882</c:v>
                </c:pt>
                <c:pt idx="123">
                  <c:v>2.309235039408271</c:v>
                </c:pt>
                <c:pt idx="124">
                  <c:v>2.2598115677515205</c:v>
                </c:pt>
                <c:pt idx="125">
                  <c:v>2.3931658305410388</c:v>
                </c:pt>
                <c:pt idx="126">
                  <c:v>2.2025672373348093</c:v>
                </c:pt>
                <c:pt idx="127">
                  <c:v>2.0093644385217595</c:v>
                </c:pt>
                <c:pt idx="128">
                  <c:v>2.208837792327377</c:v>
                </c:pt>
                <c:pt idx="129">
                  <c:v>2.3424314335177483</c:v>
                </c:pt>
                <c:pt idx="130">
                  <c:v>2.2908703092508902</c:v>
                </c:pt>
                <c:pt idx="131">
                  <c:v>2.2825735783813643</c:v>
                </c:pt>
                <c:pt idx="132">
                  <c:v>2.2543473128915479</c:v>
                </c:pt>
                <c:pt idx="133">
                  <c:v>2.1698885975031255</c:v>
                </c:pt>
                <c:pt idx="134">
                  <c:v>1.7163979158870897</c:v>
                </c:pt>
                <c:pt idx="135">
                  <c:v>1.7076294748627598</c:v>
                </c:pt>
                <c:pt idx="136">
                  <c:v>1.6558871631339913</c:v>
                </c:pt>
                <c:pt idx="137">
                  <c:v>1.6835962382305154</c:v>
                </c:pt>
                <c:pt idx="138">
                  <c:v>1.8301452609008302</c:v>
                </c:pt>
                <c:pt idx="139">
                  <c:v>1.8747431136121084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B2-4C67-87AC-FB6F33ADABA5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0.19915039658974448</c:v>
                </c:pt>
                <c:pt idx="2">
                  <c:v>0.189534542797163</c:v>
                </c:pt>
                <c:pt idx="3">
                  <c:v>0.37357312440329299</c:v>
                </c:pt>
                <c:pt idx="4">
                  <c:v>0.31111752139552568</c:v>
                </c:pt>
                <c:pt idx="5">
                  <c:v>0.25817245584849419</c:v>
                </c:pt>
                <c:pt idx="6">
                  <c:v>4.0818179643484387E-2</c:v>
                </c:pt>
                <c:pt idx="7">
                  <c:v>0.32585358196489039</c:v>
                </c:pt>
                <c:pt idx="8">
                  <c:v>0.38223940541759011</c:v>
                </c:pt>
                <c:pt idx="9">
                  <c:v>0.30923677097218827</c:v>
                </c:pt>
                <c:pt idx="10">
                  <c:v>0.27988665292673609</c:v>
                </c:pt>
                <c:pt idx="11">
                  <c:v>0.42408954334934357</c:v>
                </c:pt>
                <c:pt idx="12">
                  <c:v>0.52579419950278661</c:v>
                </c:pt>
                <c:pt idx="13">
                  <c:v>0.61395980578330112</c:v>
                </c:pt>
                <c:pt idx="14">
                  <c:v>0.78836768917427236</c:v>
                </c:pt>
                <c:pt idx="15">
                  <c:v>0.8925938425309996</c:v>
                </c:pt>
                <c:pt idx="16">
                  <c:v>1.1472766450368799</c:v>
                </c:pt>
                <c:pt idx="17">
                  <c:v>1.2629956026705844</c:v>
                </c:pt>
                <c:pt idx="18">
                  <c:v>1.3757270898157321</c:v>
                </c:pt>
                <c:pt idx="19">
                  <c:v>1.3472294037750374</c:v>
                </c:pt>
                <c:pt idx="20">
                  <c:v>1.5102852836016143</c:v>
                </c:pt>
                <c:pt idx="21">
                  <c:v>1.376455246870502</c:v>
                </c:pt>
                <c:pt idx="22">
                  <c:v>1.3633163646011444</c:v>
                </c:pt>
                <c:pt idx="23">
                  <c:v>1.4951802196942847</c:v>
                </c:pt>
                <c:pt idx="24">
                  <c:v>1.5037136162984706</c:v>
                </c:pt>
                <c:pt idx="25">
                  <c:v>1.3870036443820311</c:v>
                </c:pt>
                <c:pt idx="26">
                  <c:v>1.4490015736444004</c:v>
                </c:pt>
                <c:pt idx="27">
                  <c:v>1.3758871491232854</c:v>
                </c:pt>
                <c:pt idx="28">
                  <c:v>1.5263210827303175</c:v>
                </c:pt>
                <c:pt idx="29">
                  <c:v>1.2835595856701802</c:v>
                </c:pt>
                <c:pt idx="30">
                  <c:v>1.3278623634599742</c:v>
                </c:pt>
                <c:pt idx="31">
                  <c:v>1.3537703693377128</c:v>
                </c:pt>
                <c:pt idx="32">
                  <c:v>1.3310514552125359</c:v>
                </c:pt>
                <c:pt idx="33">
                  <c:v>1.5580828490081169</c:v>
                </c:pt>
                <c:pt idx="34">
                  <c:v>1.5274394152706856</c:v>
                </c:pt>
                <c:pt idx="35">
                  <c:v>1.5928192380037962</c:v>
                </c:pt>
                <c:pt idx="36">
                  <c:v>1.5849861294275929</c:v>
                </c:pt>
                <c:pt idx="37">
                  <c:v>1.6914172673973946</c:v>
                </c:pt>
                <c:pt idx="38">
                  <c:v>1.8717777552574775</c:v>
                </c:pt>
                <c:pt idx="39">
                  <c:v>2.0563129216978844</c:v>
                </c:pt>
                <c:pt idx="40">
                  <c:v>2.1028904878041814</c:v>
                </c:pt>
                <c:pt idx="41">
                  <c:v>2.0646713914936181</c:v>
                </c:pt>
                <c:pt idx="42">
                  <c:v>2.1820887121522121</c:v>
                </c:pt>
                <c:pt idx="43">
                  <c:v>2.3932727818823656</c:v>
                </c:pt>
                <c:pt idx="44">
                  <c:v>2.6541700701106463</c:v>
                </c:pt>
                <c:pt idx="45">
                  <c:v>2.5645109492130529</c:v>
                </c:pt>
                <c:pt idx="46">
                  <c:v>2.5894140474033729</c:v>
                </c:pt>
                <c:pt idx="47">
                  <c:v>2.7467254118219362</c:v>
                </c:pt>
                <c:pt idx="48">
                  <c:v>2.7308778480103784</c:v>
                </c:pt>
                <c:pt idx="49">
                  <c:v>2.5668301197617844</c:v>
                </c:pt>
                <c:pt idx="50">
                  <c:v>2.5187625613601439</c:v>
                </c:pt>
                <c:pt idx="51">
                  <c:v>2.795150122626592</c:v>
                </c:pt>
                <c:pt idx="52">
                  <c:v>2.8550463234209906</c:v>
                </c:pt>
                <c:pt idx="53">
                  <c:v>2.8422166612984694</c:v>
                </c:pt>
                <c:pt idx="54">
                  <c:v>2.7054713053905051</c:v>
                </c:pt>
                <c:pt idx="55">
                  <c:v>2.9045885218211085</c:v>
                </c:pt>
                <c:pt idx="56">
                  <c:v>2.9178328332958001</c:v>
                </c:pt>
                <c:pt idx="57">
                  <c:v>2.8697791336779934</c:v>
                </c:pt>
                <c:pt idx="58">
                  <c:v>2.9160529023096835</c:v>
                </c:pt>
                <c:pt idx="59">
                  <c:v>2.9183624925351799</c:v>
                </c:pt>
                <c:pt idx="60">
                  <c:v>2.9231476613504555</c:v>
                </c:pt>
                <c:pt idx="61">
                  <c:v>3.0176559439326964</c:v>
                </c:pt>
                <c:pt idx="62">
                  <c:v>3.0584512299614173</c:v>
                </c:pt>
                <c:pt idx="63">
                  <c:v>3.1822801668220833</c:v>
                </c:pt>
                <c:pt idx="64">
                  <c:v>3.2888972073639673</c:v>
                </c:pt>
                <c:pt idx="65">
                  <c:v>3.3714493275593354</c:v>
                </c:pt>
                <c:pt idx="66">
                  <c:v>3.3004024844927682</c:v>
                </c:pt>
                <c:pt idx="67">
                  <c:v>3.3157855152980447</c:v>
                </c:pt>
                <c:pt idx="68">
                  <c:v>3.3455441080365387</c:v>
                </c:pt>
                <c:pt idx="69">
                  <c:v>3.3337800251430458</c:v>
                </c:pt>
                <c:pt idx="70">
                  <c:v>3.5115722807479011</c:v>
                </c:pt>
                <c:pt idx="71">
                  <c:v>3.5936712429498692</c:v>
                </c:pt>
                <c:pt idx="72">
                  <c:v>3.4489575452131409</c:v>
                </c:pt>
                <c:pt idx="73">
                  <c:v>3.4007196414891001</c:v>
                </c:pt>
                <c:pt idx="74">
                  <c:v>3.3238380278256994</c:v>
                </c:pt>
                <c:pt idx="75">
                  <c:v>3.072436249943113</c:v>
                </c:pt>
                <c:pt idx="76">
                  <c:v>3.1367744042588002</c:v>
                </c:pt>
                <c:pt idx="77">
                  <c:v>3.1103860216887624</c:v>
                </c:pt>
                <c:pt idx="78">
                  <c:v>2.9310672756583971</c:v>
                </c:pt>
                <c:pt idx="79">
                  <c:v>2.8763322059523566</c:v>
                </c:pt>
                <c:pt idx="80">
                  <c:v>2.5361818320715326</c:v>
                </c:pt>
                <c:pt idx="81">
                  <c:v>2.5525539427078399</c:v>
                </c:pt>
                <c:pt idx="82">
                  <c:v>2.3996811466358685</c:v>
                </c:pt>
                <c:pt idx="83">
                  <c:v>2.5266447652958974</c:v>
                </c:pt>
                <c:pt idx="84">
                  <c:v>2.5296485686281662</c:v>
                </c:pt>
                <c:pt idx="85">
                  <c:v>2.7686962748330255</c:v>
                </c:pt>
                <c:pt idx="86">
                  <c:v>3.0053276071888222</c:v>
                </c:pt>
                <c:pt idx="87">
                  <c:v>3.0906584919530014</c:v>
                </c:pt>
                <c:pt idx="88">
                  <c:v>3.0994102193398265</c:v>
                </c:pt>
                <c:pt idx="89">
                  <c:v>3.2059054397762954</c:v>
                </c:pt>
                <c:pt idx="90">
                  <c:v>2.9086455014531345</c:v>
                </c:pt>
                <c:pt idx="91">
                  <c:v>3.030855847017742</c:v>
                </c:pt>
                <c:pt idx="92">
                  <c:v>3.077928267493574</c:v>
                </c:pt>
                <c:pt idx="93">
                  <c:v>2.9582197227563549</c:v>
                </c:pt>
                <c:pt idx="94">
                  <c:v>2.9885660537996612</c:v>
                </c:pt>
                <c:pt idx="95">
                  <c:v>2.9371150528690331</c:v>
                </c:pt>
                <c:pt idx="96">
                  <c:v>3.115051872935152</c:v>
                </c:pt>
                <c:pt idx="97">
                  <c:v>2.9146553143168741</c:v>
                </c:pt>
                <c:pt idx="98">
                  <c:v>2.9584969036289639</c:v>
                </c:pt>
                <c:pt idx="99">
                  <c:v>2.9207030005390928</c:v>
                </c:pt>
                <c:pt idx="100">
                  <c:v>2.8100526937247903</c:v>
                </c:pt>
                <c:pt idx="101">
                  <c:v>2.8189400528823829</c:v>
                </c:pt>
                <c:pt idx="102">
                  <c:v>2.8097492369938206</c:v>
                </c:pt>
                <c:pt idx="103">
                  <c:v>2.8434343304698459</c:v>
                </c:pt>
                <c:pt idx="104">
                  <c:v>2.8958829804864439</c:v>
                </c:pt>
                <c:pt idx="105">
                  <c:v>2.9295541762843214</c:v>
                </c:pt>
                <c:pt idx="106">
                  <c:v>2.8764574850038924</c:v>
                </c:pt>
                <c:pt idx="107">
                  <c:v>2.8142548717395686</c:v>
                </c:pt>
                <c:pt idx="108">
                  <c:v>2.9424854953391573</c:v>
                </c:pt>
                <c:pt idx="109">
                  <c:v>2.9390142834259438</c:v>
                </c:pt>
                <c:pt idx="110">
                  <c:v>2.8850879887588738</c:v>
                </c:pt>
                <c:pt idx="111">
                  <c:v>2.9206869582193931</c:v>
                </c:pt>
                <c:pt idx="112">
                  <c:v>2.9422322613690359</c:v>
                </c:pt>
                <c:pt idx="113">
                  <c:v>2.9641524499577629</c:v>
                </c:pt>
                <c:pt idx="114">
                  <c:v>2.8478999499060915</c:v>
                </c:pt>
                <c:pt idx="115">
                  <c:v>3.1698156294728803</c:v>
                </c:pt>
                <c:pt idx="116">
                  <c:v>3.1838820396281702</c:v>
                </c:pt>
                <c:pt idx="117">
                  <c:v>3.1462352765956947</c:v>
                </c:pt>
                <c:pt idx="118">
                  <c:v>3.0370269931181397</c:v>
                </c:pt>
                <c:pt idx="119">
                  <c:v>3.0185115629177846</c:v>
                </c:pt>
                <c:pt idx="120">
                  <c:v>2.9116861811270067</c:v>
                </c:pt>
                <c:pt idx="121">
                  <c:v>2.9037922481131599</c:v>
                </c:pt>
                <c:pt idx="122">
                  <c:v>2.58290166391882</c:v>
                </c:pt>
                <c:pt idx="123">
                  <c:v>2.530752510720466</c:v>
                </c:pt>
                <c:pt idx="124">
                  <c:v>2.4105548542708459</c:v>
                </c:pt>
                <c:pt idx="125">
                  <c:v>2.5102794649713811</c:v>
                </c:pt>
                <c:pt idx="126">
                  <c:v>2.3900996319975092</c:v>
                </c:pt>
                <c:pt idx="127">
                  <c:v>2.1803350291111161</c:v>
                </c:pt>
                <c:pt idx="128">
                  <c:v>2.3286210736922697</c:v>
                </c:pt>
                <c:pt idx="129">
                  <c:v>2.4176934665973078</c:v>
                </c:pt>
                <c:pt idx="130">
                  <c:v>2.3631472595573904</c:v>
                </c:pt>
                <c:pt idx="131">
                  <c:v>2.5210817821690075</c:v>
                </c:pt>
                <c:pt idx="132">
                  <c:v>2.50866461585679</c:v>
                </c:pt>
                <c:pt idx="133">
                  <c:v>2.424247375915924</c:v>
                </c:pt>
                <c:pt idx="134">
                  <c:v>1.8542240087637858</c:v>
                </c:pt>
                <c:pt idx="135">
                  <c:v>1.8277973391485896</c:v>
                </c:pt>
                <c:pt idx="136">
                  <c:v>1.6748245453192945</c:v>
                </c:pt>
                <c:pt idx="137">
                  <c:v>1.697973512586842</c:v>
                </c:pt>
                <c:pt idx="138">
                  <c:v>1.8525605083441328</c:v>
                </c:pt>
                <c:pt idx="139">
                  <c:v>1.8967550608521229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B2-4C67-87AC-FB6F33ADABA5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4.7404615808948891E-2</c:v>
                </c:pt>
                <c:pt idx="2">
                  <c:v>2.5174203549710762E-2</c:v>
                </c:pt>
                <c:pt idx="3">
                  <c:v>9.3005264470988336E-2</c:v>
                </c:pt>
                <c:pt idx="4">
                  <c:v>-1.0879098819345762E-2</c:v>
                </c:pt>
                <c:pt idx="5">
                  <c:v>-0.24068464331074635</c:v>
                </c:pt>
                <c:pt idx="6">
                  <c:v>-0.45764270341886526</c:v>
                </c:pt>
                <c:pt idx="7">
                  <c:v>-8.1549232076145339E-2</c:v>
                </c:pt>
                <c:pt idx="8">
                  <c:v>1.9111913374206757E-2</c:v>
                </c:pt>
                <c:pt idx="9">
                  <c:v>-0.10983685950124913</c:v>
                </c:pt>
                <c:pt idx="10">
                  <c:v>-0.1259332460365058</c:v>
                </c:pt>
                <c:pt idx="11">
                  <c:v>1.1671710201298313E-2</c:v>
                </c:pt>
                <c:pt idx="12">
                  <c:v>0.15515205620557071</c:v>
                </c:pt>
                <c:pt idx="13">
                  <c:v>0.24337436230391446</c:v>
                </c:pt>
                <c:pt idx="14">
                  <c:v>0.52015125613696633</c:v>
                </c:pt>
                <c:pt idx="15">
                  <c:v>0.70653865271703808</c:v>
                </c:pt>
                <c:pt idx="16">
                  <c:v>0.77937947923204198</c:v>
                </c:pt>
                <c:pt idx="17">
                  <c:v>0.91523662879965306</c:v>
                </c:pt>
                <c:pt idx="18">
                  <c:v>1.0045881828429302</c:v>
                </c:pt>
                <c:pt idx="19">
                  <c:v>1.0658534100756711</c:v>
                </c:pt>
                <c:pt idx="20">
                  <c:v>1.2220960636618257</c:v>
                </c:pt>
                <c:pt idx="21">
                  <c:v>1.0918722050689735</c:v>
                </c:pt>
                <c:pt idx="22">
                  <c:v>0.998653062294659</c:v>
                </c:pt>
                <c:pt idx="23">
                  <c:v>1.1251410984010541</c:v>
                </c:pt>
                <c:pt idx="24">
                  <c:v>1.1072522263665752</c:v>
                </c:pt>
                <c:pt idx="25">
                  <c:v>0.98975065060500989</c:v>
                </c:pt>
                <c:pt idx="26">
                  <c:v>1.050978604540469</c:v>
                </c:pt>
                <c:pt idx="27">
                  <c:v>0.99298273344812293</c:v>
                </c:pt>
                <c:pt idx="28">
                  <c:v>1.1262369851118241</c:v>
                </c:pt>
                <c:pt idx="29">
                  <c:v>0.85386473519039441</c:v>
                </c:pt>
                <c:pt idx="30">
                  <c:v>0.90670627536612836</c:v>
                </c:pt>
                <c:pt idx="31">
                  <c:v>0.63490475035931915</c:v>
                </c:pt>
                <c:pt idx="32">
                  <c:v>0.65540435833441757</c:v>
                </c:pt>
                <c:pt idx="33">
                  <c:v>0.66394947557174522</c:v>
                </c:pt>
                <c:pt idx="34">
                  <c:v>0.76523803631214093</c:v>
                </c:pt>
                <c:pt idx="35">
                  <c:v>0.80557900311904129</c:v>
                </c:pt>
                <c:pt idx="36">
                  <c:v>0.82655456339686328</c:v>
                </c:pt>
                <c:pt idx="37">
                  <c:v>1.003761767131117</c:v>
                </c:pt>
                <c:pt idx="38">
                  <c:v>1.2398639207362945</c:v>
                </c:pt>
                <c:pt idx="39">
                  <c:v>1.4686952188630908</c:v>
                </c:pt>
                <c:pt idx="40">
                  <c:v>1.647757612946074</c:v>
                </c:pt>
                <c:pt idx="41">
                  <c:v>1.5229940036064842</c:v>
                </c:pt>
                <c:pt idx="42">
                  <c:v>1.5451644857187647</c:v>
                </c:pt>
                <c:pt idx="43">
                  <c:v>1.658768830578274</c:v>
                </c:pt>
                <c:pt idx="44">
                  <c:v>1.9270926960703618</c:v>
                </c:pt>
                <c:pt idx="45">
                  <c:v>1.7993299177519797</c:v>
                </c:pt>
                <c:pt idx="46">
                  <c:v>1.816733302374212</c:v>
                </c:pt>
                <c:pt idx="47">
                  <c:v>1.7689954614027317</c:v>
                </c:pt>
                <c:pt idx="48">
                  <c:v>1.7530881145662298</c:v>
                </c:pt>
                <c:pt idx="49">
                  <c:v>1.5511869589643574</c:v>
                </c:pt>
                <c:pt idx="50">
                  <c:v>1.4739324145001582</c:v>
                </c:pt>
                <c:pt idx="51">
                  <c:v>1.8377542495615091</c:v>
                </c:pt>
                <c:pt idx="52">
                  <c:v>1.7222125237488222</c:v>
                </c:pt>
                <c:pt idx="53">
                  <c:v>1.7786061416181134</c:v>
                </c:pt>
                <c:pt idx="54">
                  <c:v>1.6505382576524534</c:v>
                </c:pt>
                <c:pt idx="55">
                  <c:v>1.8496407062008919</c:v>
                </c:pt>
                <c:pt idx="56">
                  <c:v>1.895920218369278</c:v>
                </c:pt>
                <c:pt idx="57">
                  <c:v>1.7679596760311462</c:v>
                </c:pt>
                <c:pt idx="58">
                  <c:v>1.8503051435038205</c:v>
                </c:pt>
                <c:pt idx="59">
                  <c:v>1.9210197082256715</c:v>
                </c:pt>
                <c:pt idx="60">
                  <c:v>1.9168672588052615</c:v>
                </c:pt>
                <c:pt idx="61">
                  <c:v>2.0345242081686892</c:v>
                </c:pt>
                <c:pt idx="62">
                  <c:v>2.0369546914142225</c:v>
                </c:pt>
                <c:pt idx="63">
                  <c:v>2.1348550206522328</c:v>
                </c:pt>
                <c:pt idx="64">
                  <c:v>2.2271327342523661</c:v>
                </c:pt>
                <c:pt idx="65">
                  <c:v>2.3072005186546458</c:v>
                </c:pt>
                <c:pt idx="66">
                  <c:v>2.2524578329255491</c:v>
                </c:pt>
                <c:pt idx="67">
                  <c:v>2.2732848529109035</c:v>
                </c:pt>
                <c:pt idx="68">
                  <c:v>2.2292064299122192</c:v>
                </c:pt>
                <c:pt idx="69">
                  <c:v>2.3048598491672943</c:v>
                </c:pt>
                <c:pt idx="70">
                  <c:v>2.4372121851873652</c:v>
                </c:pt>
                <c:pt idx="71">
                  <c:v>2.4844786496992706</c:v>
                </c:pt>
                <c:pt idx="72">
                  <c:v>2.3201549266630028</c:v>
                </c:pt>
                <c:pt idx="73">
                  <c:v>2.248176908357935</c:v>
                </c:pt>
                <c:pt idx="74">
                  <c:v>2.1979094708830158</c:v>
                </c:pt>
                <c:pt idx="75">
                  <c:v>1.9182801320358611</c:v>
                </c:pt>
                <c:pt idx="76">
                  <c:v>1.964295994429335</c:v>
                </c:pt>
                <c:pt idx="77">
                  <c:v>1.8518290734126908</c:v>
                </c:pt>
                <c:pt idx="78">
                  <c:v>1.5763842539892605</c:v>
                </c:pt>
                <c:pt idx="79">
                  <c:v>1.6921535803093601</c:v>
                </c:pt>
                <c:pt idx="80">
                  <c:v>1.2377736597491378</c:v>
                </c:pt>
                <c:pt idx="81">
                  <c:v>1.2679003145012178</c:v>
                </c:pt>
                <c:pt idx="82">
                  <c:v>0.94397723105544429</c:v>
                </c:pt>
                <c:pt idx="83">
                  <c:v>1.0393665291008818</c:v>
                </c:pt>
                <c:pt idx="84">
                  <c:v>1.0552269471844196</c:v>
                </c:pt>
                <c:pt idx="85">
                  <c:v>1.2638962382533745</c:v>
                </c:pt>
                <c:pt idx="86">
                  <c:v>1.4403354464032201</c:v>
                </c:pt>
                <c:pt idx="87">
                  <c:v>1.5552470303223143</c:v>
                </c:pt>
                <c:pt idx="88">
                  <c:v>1.5197758705566604</c:v>
                </c:pt>
                <c:pt idx="89">
                  <c:v>1.488995287173885</c:v>
                </c:pt>
                <c:pt idx="90">
                  <c:v>1.0861764436877228</c:v>
                </c:pt>
                <c:pt idx="91">
                  <c:v>1.3047057439166034</c:v>
                </c:pt>
                <c:pt idx="92">
                  <c:v>1.3968716523248983</c:v>
                </c:pt>
                <c:pt idx="93">
                  <c:v>1.2905405786877064</c:v>
                </c:pt>
                <c:pt idx="94">
                  <c:v>1.3216326345382612</c:v>
                </c:pt>
                <c:pt idx="95">
                  <c:v>1.3165453791841735</c:v>
                </c:pt>
                <c:pt idx="96">
                  <c:v>1.509259554035433</c:v>
                </c:pt>
                <c:pt idx="97">
                  <c:v>1.2729787412059128</c:v>
                </c:pt>
                <c:pt idx="98">
                  <c:v>1.262752194909466</c:v>
                </c:pt>
                <c:pt idx="99">
                  <c:v>1.2090837568107953</c:v>
                </c:pt>
                <c:pt idx="100">
                  <c:v>1.0735943231563796</c:v>
                </c:pt>
                <c:pt idx="101">
                  <c:v>1.0713987743639661</c:v>
                </c:pt>
                <c:pt idx="102">
                  <c:v>1.0833116224669885</c:v>
                </c:pt>
                <c:pt idx="103">
                  <c:v>1.1022198090746715</c:v>
                </c:pt>
                <c:pt idx="104">
                  <c:v>1.1263032689646753</c:v>
                </c:pt>
                <c:pt idx="105">
                  <c:v>1.2646579225091488</c:v>
                </c:pt>
                <c:pt idx="106">
                  <c:v>1.3002914419871687</c:v>
                </c:pt>
                <c:pt idx="107">
                  <c:v>1.2662644818026598</c:v>
                </c:pt>
                <c:pt idx="108">
                  <c:v>1.4511016722957497</c:v>
                </c:pt>
                <c:pt idx="109">
                  <c:v>1.4455205046624984</c:v>
                </c:pt>
                <c:pt idx="110">
                  <c:v>1.4472039419323466</c:v>
                </c:pt>
                <c:pt idx="111">
                  <c:v>1.4499904417007712</c:v>
                </c:pt>
                <c:pt idx="112">
                  <c:v>1.440736092783889</c:v>
                </c:pt>
                <c:pt idx="113">
                  <c:v>1.4738452078758322</c:v>
                </c:pt>
                <c:pt idx="114">
                  <c:v>1.4538489162025252</c:v>
                </c:pt>
                <c:pt idx="115">
                  <c:v>1.7543446983420348</c:v>
                </c:pt>
                <c:pt idx="116">
                  <c:v>1.6928840250568511</c:v>
                </c:pt>
                <c:pt idx="117">
                  <c:v>1.6901392811712688</c:v>
                </c:pt>
                <c:pt idx="118">
                  <c:v>1.4790783394094957</c:v>
                </c:pt>
                <c:pt idx="119">
                  <c:v>1.5363753720704429</c:v>
                </c:pt>
                <c:pt idx="120">
                  <c:v>1.3974555480391622</c:v>
                </c:pt>
                <c:pt idx="121">
                  <c:v>1.4359246856504631</c:v>
                </c:pt>
                <c:pt idx="122">
                  <c:v>1.0364482667959809</c:v>
                </c:pt>
                <c:pt idx="123">
                  <c:v>0.94467242803481055</c:v>
                </c:pt>
                <c:pt idx="124">
                  <c:v>0.96955011833637517</c:v>
                </c:pt>
                <c:pt idx="125">
                  <c:v>1.1468134909240346</c:v>
                </c:pt>
                <c:pt idx="126">
                  <c:v>1.0051792337739618</c:v>
                </c:pt>
                <c:pt idx="127">
                  <c:v>0.8272755468272156</c:v>
                </c:pt>
                <c:pt idx="128">
                  <c:v>0.81060399189698606</c:v>
                </c:pt>
                <c:pt idx="129">
                  <c:v>1.0149793521127402</c:v>
                </c:pt>
                <c:pt idx="130">
                  <c:v>0.96992557421473924</c:v>
                </c:pt>
                <c:pt idx="131">
                  <c:v>1.1536075607188949</c:v>
                </c:pt>
                <c:pt idx="132">
                  <c:v>1.1954048211051633</c:v>
                </c:pt>
                <c:pt idx="133">
                  <c:v>1.1610499277297635</c:v>
                </c:pt>
                <c:pt idx="134">
                  <c:v>0.42334273837968517</c:v>
                </c:pt>
                <c:pt idx="135">
                  <c:v>0.41117553078706282</c:v>
                </c:pt>
                <c:pt idx="136">
                  <c:v>0.31196967469360071</c:v>
                </c:pt>
                <c:pt idx="137">
                  <c:v>0.39557140358320186</c:v>
                </c:pt>
                <c:pt idx="138">
                  <c:v>0.64541817011007763</c:v>
                </c:pt>
                <c:pt idx="139">
                  <c:v>0.6201109463711697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B2-4C67-87AC-FB6F33ADABA5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5.6898423179088789E-2</c:v>
                </c:pt>
                <c:pt idx="2">
                  <c:v>4.1836835492123386E-2</c:v>
                </c:pt>
                <c:pt idx="3">
                  <c:v>0.22423291081300209</c:v>
                </c:pt>
                <c:pt idx="4">
                  <c:v>0.25120447933737011</c:v>
                </c:pt>
                <c:pt idx="5">
                  <c:v>-1.1605761864082687E-2</c:v>
                </c:pt>
                <c:pt idx="6">
                  <c:v>-0.15975779046437669</c:v>
                </c:pt>
                <c:pt idx="7">
                  <c:v>-4.7722439493616889E-2</c:v>
                </c:pt>
                <c:pt idx="8">
                  <c:v>9.3760275764030301E-2</c:v>
                </c:pt>
                <c:pt idx="9">
                  <c:v>-0.1386840852784319</c:v>
                </c:pt>
                <c:pt idx="10">
                  <c:v>-0.20540940914740574</c:v>
                </c:pt>
                <c:pt idx="11">
                  <c:v>-0.10157768787351544</c:v>
                </c:pt>
                <c:pt idx="12">
                  <c:v>0.10298669009948665</c:v>
                </c:pt>
                <c:pt idx="13">
                  <c:v>0.22032216248791395</c:v>
                </c:pt>
                <c:pt idx="14">
                  <c:v>0.16075414558739345</c:v>
                </c:pt>
                <c:pt idx="15">
                  <c:v>0.23616752786827958</c:v>
                </c:pt>
                <c:pt idx="16">
                  <c:v>0.32017901098775314</c:v>
                </c:pt>
                <c:pt idx="17">
                  <c:v>0.35979320015258076</c:v>
                </c:pt>
                <c:pt idx="18">
                  <c:v>0.45614601807249427</c:v>
                </c:pt>
                <c:pt idx="19">
                  <c:v>0.62143878379638195</c:v>
                </c:pt>
                <c:pt idx="20">
                  <c:v>0.75797368735631032</c:v>
                </c:pt>
                <c:pt idx="21">
                  <c:v>0.62090227609808213</c:v>
                </c:pt>
                <c:pt idx="22">
                  <c:v>0.41675482709563622</c:v>
                </c:pt>
                <c:pt idx="23">
                  <c:v>0.5289021258191412</c:v>
                </c:pt>
                <c:pt idx="24">
                  <c:v>0.47399884974733292</c:v>
                </c:pt>
                <c:pt idx="25">
                  <c:v>0.3237573017799833</c:v>
                </c:pt>
                <c:pt idx="26">
                  <c:v>0.4964254486582787</c:v>
                </c:pt>
                <c:pt idx="27">
                  <c:v>0.47923764506865735</c:v>
                </c:pt>
                <c:pt idx="28">
                  <c:v>0.63167418063645409</c:v>
                </c:pt>
                <c:pt idx="29">
                  <c:v>0.43990128619250912</c:v>
                </c:pt>
                <c:pt idx="30">
                  <c:v>0.53177494383886936</c:v>
                </c:pt>
                <c:pt idx="31">
                  <c:v>0.10866019837603508</c:v>
                </c:pt>
                <c:pt idx="32">
                  <c:v>0.13890394268644626</c:v>
                </c:pt>
                <c:pt idx="33">
                  <c:v>0.14700198132466702</c:v>
                </c:pt>
                <c:pt idx="34">
                  <c:v>0.26111308067185801</c:v>
                </c:pt>
                <c:pt idx="35">
                  <c:v>0.39254479386439362</c:v>
                </c:pt>
                <c:pt idx="36">
                  <c:v>0.38516291412644404</c:v>
                </c:pt>
                <c:pt idx="37">
                  <c:v>0.62747761348374476</c:v>
                </c:pt>
                <c:pt idx="38">
                  <c:v>0.87388477826623179</c:v>
                </c:pt>
                <c:pt idx="39">
                  <c:v>0.69485589196110675</c:v>
                </c:pt>
                <c:pt idx="40">
                  <c:v>0.88204866909999369</c:v>
                </c:pt>
                <c:pt idx="41">
                  <c:v>0.63525555260926425</c:v>
                </c:pt>
                <c:pt idx="42">
                  <c:v>0.69803939626718914</c:v>
                </c:pt>
                <c:pt idx="43">
                  <c:v>0.80754529923208929</c:v>
                </c:pt>
                <c:pt idx="44">
                  <c:v>1.0583541657161986</c:v>
                </c:pt>
                <c:pt idx="45">
                  <c:v>0.96159691531606506</c:v>
                </c:pt>
                <c:pt idx="46">
                  <c:v>1.0136238251544678</c:v>
                </c:pt>
                <c:pt idx="47">
                  <c:v>0.99881104614592697</c:v>
                </c:pt>
                <c:pt idx="48">
                  <c:v>1.2514709295128363</c:v>
                </c:pt>
                <c:pt idx="49">
                  <c:v>0.95965393727344073</c:v>
                </c:pt>
                <c:pt idx="50">
                  <c:v>0.96930071735354151</c:v>
                </c:pt>
                <c:pt idx="51">
                  <c:v>1.5361272434009818</c:v>
                </c:pt>
                <c:pt idx="52">
                  <c:v>1.235298994227916</c:v>
                </c:pt>
                <c:pt idx="53">
                  <c:v>1.3301298755743662</c:v>
                </c:pt>
                <c:pt idx="54">
                  <c:v>1.2058377325484668</c:v>
                </c:pt>
                <c:pt idx="55">
                  <c:v>1.4158468454089181</c:v>
                </c:pt>
                <c:pt idx="56">
                  <c:v>1.4906083166056707</c:v>
                </c:pt>
                <c:pt idx="57">
                  <c:v>1.2871243352503836</c:v>
                </c:pt>
                <c:pt idx="58">
                  <c:v>1.4083298588857938</c:v>
                </c:pt>
                <c:pt idx="59">
                  <c:v>1.4797677680479815</c:v>
                </c:pt>
                <c:pt idx="60">
                  <c:v>1.4808741887912638</c:v>
                </c:pt>
                <c:pt idx="61">
                  <c:v>1.5952404789329329</c:v>
                </c:pt>
                <c:pt idx="62">
                  <c:v>1.5257450169084823</c:v>
                </c:pt>
                <c:pt idx="63">
                  <c:v>1.5304533855838927</c:v>
                </c:pt>
                <c:pt idx="64">
                  <c:v>1.7232598165468382</c:v>
                </c:pt>
                <c:pt idx="65">
                  <c:v>1.8665493561006867</c:v>
                </c:pt>
                <c:pt idx="66">
                  <c:v>1.8874412732987724</c:v>
                </c:pt>
                <c:pt idx="67">
                  <c:v>1.911835235622573</c:v>
                </c:pt>
                <c:pt idx="68">
                  <c:v>1.9123263362049427</c:v>
                </c:pt>
                <c:pt idx="69">
                  <c:v>2.2546799428214683</c:v>
                </c:pt>
                <c:pt idx="70">
                  <c:v>2.3939443338353374</c:v>
                </c:pt>
                <c:pt idx="71">
                  <c:v>2.4472133843932258</c:v>
                </c:pt>
                <c:pt idx="72">
                  <c:v>2.2320834468188755</c:v>
                </c:pt>
                <c:pt idx="73">
                  <c:v>2.3118860374106993</c:v>
                </c:pt>
                <c:pt idx="74">
                  <c:v>2.2278950167937017</c:v>
                </c:pt>
                <c:pt idx="75">
                  <c:v>1.875497149728679</c:v>
                </c:pt>
                <c:pt idx="76">
                  <c:v>1.9913451231835473</c:v>
                </c:pt>
                <c:pt idx="77">
                  <c:v>1.9334762825830563</c:v>
                </c:pt>
                <c:pt idx="78">
                  <c:v>1.4902934133856538</c:v>
                </c:pt>
                <c:pt idx="79">
                  <c:v>1.6021569841116465</c:v>
                </c:pt>
                <c:pt idx="80">
                  <c:v>1.0420874051359299</c:v>
                </c:pt>
                <c:pt idx="81">
                  <c:v>1.1848549510021065</c:v>
                </c:pt>
                <c:pt idx="82">
                  <c:v>0.79157820320999805</c:v>
                </c:pt>
                <c:pt idx="83">
                  <c:v>0.9224257381187273</c:v>
                </c:pt>
                <c:pt idx="84">
                  <c:v>0.91674724588388923</c:v>
                </c:pt>
                <c:pt idx="85">
                  <c:v>1.1653563595381742</c:v>
                </c:pt>
                <c:pt idx="86">
                  <c:v>1.4801606507459839</c:v>
                </c:pt>
                <c:pt idx="87">
                  <c:v>1.8264464845597956</c:v>
                </c:pt>
                <c:pt idx="88">
                  <c:v>1.774874154968795</c:v>
                </c:pt>
                <c:pt idx="89">
                  <c:v>1.7722717259570457</c:v>
                </c:pt>
                <c:pt idx="90">
                  <c:v>1.3353587070195094</c:v>
                </c:pt>
                <c:pt idx="91">
                  <c:v>1.5531667421609967</c:v>
                </c:pt>
                <c:pt idx="92">
                  <c:v>1.6644987970101328</c:v>
                </c:pt>
                <c:pt idx="93">
                  <c:v>1.6463261372774167</c:v>
                </c:pt>
                <c:pt idx="94">
                  <c:v>1.741838778323396</c:v>
                </c:pt>
                <c:pt idx="95">
                  <c:v>1.9166192357079324</c:v>
                </c:pt>
                <c:pt idx="96">
                  <c:v>2.1567635161924263</c:v>
                </c:pt>
                <c:pt idx="97">
                  <c:v>1.8469850113634982</c:v>
                </c:pt>
                <c:pt idx="98">
                  <c:v>1.8279314822638264</c:v>
                </c:pt>
                <c:pt idx="99">
                  <c:v>1.7400916196511902</c:v>
                </c:pt>
                <c:pt idx="100">
                  <c:v>1.5679532116677271</c:v>
                </c:pt>
                <c:pt idx="101">
                  <c:v>1.6142660008641498</c:v>
                </c:pt>
                <c:pt idx="102">
                  <c:v>1.6071407676156593</c:v>
                </c:pt>
                <c:pt idx="103">
                  <c:v>1.6060631663147524</c:v>
                </c:pt>
                <c:pt idx="104">
                  <c:v>1.4919106934131074</c:v>
                </c:pt>
                <c:pt idx="105">
                  <c:v>1.5847093680902606</c:v>
                </c:pt>
                <c:pt idx="106">
                  <c:v>1.5753141421386156</c:v>
                </c:pt>
                <c:pt idx="107">
                  <c:v>1.5133720150937102</c:v>
                </c:pt>
                <c:pt idx="108">
                  <c:v>1.7619456379049072</c:v>
                </c:pt>
                <c:pt idx="109">
                  <c:v>1.7246497329880872</c:v>
                </c:pt>
                <c:pt idx="110">
                  <c:v>1.7538115752089238</c:v>
                </c:pt>
                <c:pt idx="111">
                  <c:v>1.7633389694199346</c:v>
                </c:pt>
                <c:pt idx="112">
                  <c:v>1.7206528532577363</c:v>
                </c:pt>
                <c:pt idx="113">
                  <c:v>1.7747541303987349</c:v>
                </c:pt>
                <c:pt idx="114">
                  <c:v>1.7882074061450419</c:v>
                </c:pt>
                <c:pt idx="115">
                  <c:v>2.2324001923690808</c:v>
                </c:pt>
                <c:pt idx="116">
                  <c:v>2.1833228654534844</c:v>
                </c:pt>
                <c:pt idx="117">
                  <c:v>2.2549513391439922</c:v>
                </c:pt>
                <c:pt idx="118">
                  <c:v>1.9719086034035049</c:v>
                </c:pt>
                <c:pt idx="119">
                  <c:v>2.0324047604922386</c:v>
                </c:pt>
                <c:pt idx="120">
                  <c:v>1.8614561625410375</c:v>
                </c:pt>
                <c:pt idx="121">
                  <c:v>1.945319039921813</c:v>
                </c:pt>
                <c:pt idx="122">
                  <c:v>1.4113973528374726</c:v>
                </c:pt>
                <c:pt idx="123">
                  <c:v>1.4327669992349659</c:v>
                </c:pt>
                <c:pt idx="124">
                  <c:v>1.7113433710583827</c:v>
                </c:pt>
                <c:pt idx="125">
                  <c:v>2.0307924666868455</c:v>
                </c:pt>
                <c:pt idx="126">
                  <c:v>1.7625705373147216</c:v>
                </c:pt>
                <c:pt idx="127">
                  <c:v>1.6981124884168779</c:v>
                </c:pt>
                <c:pt idx="128">
                  <c:v>1.6693537086404728</c:v>
                </c:pt>
                <c:pt idx="129">
                  <c:v>2.0008890872222325</c:v>
                </c:pt>
                <c:pt idx="130">
                  <c:v>1.9840431504576608</c:v>
                </c:pt>
                <c:pt idx="131">
                  <c:v>2.1783664289795799</c:v>
                </c:pt>
                <c:pt idx="132">
                  <c:v>2.2479119870745663</c:v>
                </c:pt>
                <c:pt idx="133">
                  <c:v>2.1578569927954461</c:v>
                </c:pt>
                <c:pt idx="134">
                  <c:v>2.1275026352981112</c:v>
                </c:pt>
                <c:pt idx="135">
                  <c:v>2.2267120069548918</c:v>
                </c:pt>
                <c:pt idx="136">
                  <c:v>2.1170182625439651</c:v>
                </c:pt>
                <c:pt idx="137">
                  <c:v>2.1997823462307822</c:v>
                </c:pt>
                <c:pt idx="138">
                  <c:v>2.51852118355625</c:v>
                </c:pt>
                <c:pt idx="139">
                  <c:v>2.4687950992427909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B2-4C67-87AC-FB6F33ADABA5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0.12837688020966961</c:v>
                </c:pt>
                <c:pt idx="2">
                  <c:v>0.2102572148200671</c:v>
                </c:pt>
                <c:pt idx="3">
                  <c:v>0.41180293369171328</c:v>
                </c:pt>
                <c:pt idx="4">
                  <c:v>0.43442532225433095</c:v>
                </c:pt>
                <c:pt idx="5">
                  <c:v>8.3603130923292135E-2</c:v>
                </c:pt>
                <c:pt idx="6">
                  <c:v>8.5715064126435633E-2</c:v>
                </c:pt>
                <c:pt idx="7">
                  <c:v>3.1412908049487806E-2</c:v>
                </c:pt>
                <c:pt idx="8">
                  <c:v>8.1857244042976507E-2</c:v>
                </c:pt>
                <c:pt idx="9">
                  <c:v>-0.25190220043267009</c:v>
                </c:pt>
                <c:pt idx="10">
                  <c:v>-0.39872153933217858</c:v>
                </c:pt>
                <c:pt idx="11">
                  <c:v>-0.29352982853633319</c:v>
                </c:pt>
                <c:pt idx="12">
                  <c:v>-5.8220635130910192E-2</c:v>
                </c:pt>
                <c:pt idx="13">
                  <c:v>1.9515850723147043E-2</c:v>
                </c:pt>
                <c:pt idx="14">
                  <c:v>-4.1449110923559226E-2</c:v>
                </c:pt>
                <c:pt idx="15">
                  <c:v>6.6916383988631978E-2</c:v>
                </c:pt>
                <c:pt idx="16">
                  <c:v>0.16772517927627939</c:v>
                </c:pt>
                <c:pt idx="17">
                  <c:v>8.978678277840621E-2</c:v>
                </c:pt>
                <c:pt idx="18">
                  <c:v>0.11012851786427269</c:v>
                </c:pt>
                <c:pt idx="19">
                  <c:v>0.2266688345811235</c:v>
                </c:pt>
                <c:pt idx="20">
                  <c:v>0.86960236318678297</c:v>
                </c:pt>
                <c:pt idx="21">
                  <c:v>0.75157993068077911</c:v>
                </c:pt>
                <c:pt idx="22">
                  <c:v>0.25803994320181389</c:v>
                </c:pt>
                <c:pt idx="23">
                  <c:v>0.3374636474510665</c:v>
                </c:pt>
                <c:pt idx="24">
                  <c:v>0.35101141568864375</c:v>
                </c:pt>
                <c:pt idx="25">
                  <c:v>0.15567179301339995</c:v>
                </c:pt>
                <c:pt idx="26">
                  <c:v>0.62985507654468953</c:v>
                </c:pt>
                <c:pt idx="27">
                  <c:v>0.16178488602884061</c:v>
                </c:pt>
                <c:pt idx="28">
                  <c:v>0.27351616745267604</c:v>
                </c:pt>
                <c:pt idx="29">
                  <c:v>0.1986822424540052</c:v>
                </c:pt>
                <c:pt idx="30">
                  <c:v>0.33181649299760391</c:v>
                </c:pt>
                <c:pt idx="31">
                  <c:v>-0.16829292093071008</c:v>
                </c:pt>
                <c:pt idx="32">
                  <c:v>4.6244300710096914E-2</c:v>
                </c:pt>
                <c:pt idx="33">
                  <c:v>2.7418658825746164E-2</c:v>
                </c:pt>
                <c:pt idx="34">
                  <c:v>0.11230261189393846</c:v>
                </c:pt>
                <c:pt idx="35">
                  <c:v>5.7625676403303079E-2</c:v>
                </c:pt>
                <c:pt idx="36">
                  <c:v>0.13622417437641615</c:v>
                </c:pt>
                <c:pt idx="37">
                  <c:v>0.35741363952184746</c:v>
                </c:pt>
                <c:pt idx="38">
                  <c:v>0.46031934209963699</c:v>
                </c:pt>
                <c:pt idx="39">
                  <c:v>4.3910808209926266E-2</c:v>
                </c:pt>
                <c:pt idx="40">
                  <c:v>0.34191419256889416</c:v>
                </c:pt>
                <c:pt idx="41">
                  <c:v>0.11359369958112267</c:v>
                </c:pt>
                <c:pt idx="42">
                  <c:v>0.1731078271135304</c:v>
                </c:pt>
                <c:pt idx="43">
                  <c:v>0.32387680703921118</c:v>
                </c:pt>
                <c:pt idx="44">
                  <c:v>0.55371782271863101</c:v>
                </c:pt>
                <c:pt idx="45">
                  <c:v>0.53419560829610702</c:v>
                </c:pt>
                <c:pt idx="46">
                  <c:v>0.52920806678506782</c:v>
                </c:pt>
                <c:pt idx="47">
                  <c:v>0.64069940370128331</c:v>
                </c:pt>
                <c:pt idx="48">
                  <c:v>1.0841728454377826</c:v>
                </c:pt>
                <c:pt idx="49">
                  <c:v>0.47427328525300572</c:v>
                </c:pt>
                <c:pt idx="50">
                  <c:v>0.42047855316837257</c:v>
                </c:pt>
                <c:pt idx="51">
                  <c:v>1.1112550845490445</c:v>
                </c:pt>
                <c:pt idx="52">
                  <c:v>0.30803907150466714</c:v>
                </c:pt>
                <c:pt idx="53">
                  <c:v>0.49363429075110232</c:v>
                </c:pt>
                <c:pt idx="54">
                  <c:v>0.55101482873618246</c:v>
                </c:pt>
                <c:pt idx="55">
                  <c:v>0.48664440778671891</c:v>
                </c:pt>
                <c:pt idx="56">
                  <c:v>0.51348037365302979</c:v>
                </c:pt>
                <c:pt idx="57">
                  <c:v>0.12722503673949481</c:v>
                </c:pt>
                <c:pt idx="58">
                  <c:v>0.29649396173221382</c:v>
                </c:pt>
                <c:pt idx="59">
                  <c:v>0.23133986655242789</c:v>
                </c:pt>
                <c:pt idx="60">
                  <c:v>0.2585780756059326</c:v>
                </c:pt>
                <c:pt idx="61">
                  <c:v>0.36468499575709923</c:v>
                </c:pt>
                <c:pt idx="62">
                  <c:v>0.44946793559608744</c:v>
                </c:pt>
                <c:pt idx="63">
                  <c:v>0.45631727744166223</c:v>
                </c:pt>
                <c:pt idx="64">
                  <c:v>0.61742696853730417</c:v>
                </c:pt>
                <c:pt idx="65">
                  <c:v>0.74077814966662603</c:v>
                </c:pt>
                <c:pt idx="66">
                  <c:v>0.75463561609076235</c:v>
                </c:pt>
                <c:pt idx="67">
                  <c:v>0.79699183939418006</c:v>
                </c:pt>
                <c:pt idx="68">
                  <c:v>0.93731195335627115</c:v>
                </c:pt>
                <c:pt idx="69">
                  <c:v>1.2367763966995344</c:v>
                </c:pt>
                <c:pt idx="70">
                  <c:v>1.394328272582013</c:v>
                </c:pt>
                <c:pt idx="71">
                  <c:v>1.4405869783226759</c:v>
                </c:pt>
                <c:pt idx="72">
                  <c:v>1.2323716808188823</c:v>
                </c:pt>
                <c:pt idx="73">
                  <c:v>1.2998064022028726</c:v>
                </c:pt>
                <c:pt idx="74">
                  <c:v>1.0094695272574556</c:v>
                </c:pt>
                <c:pt idx="75">
                  <c:v>0.19551150051493382</c:v>
                </c:pt>
                <c:pt idx="76">
                  <c:v>0.30426458926192212</c:v>
                </c:pt>
                <c:pt idx="77">
                  <c:v>0.24678747063551704</c:v>
                </c:pt>
                <c:pt idx="78">
                  <c:v>0.46661866383674411</c:v>
                </c:pt>
                <c:pt idx="79">
                  <c:v>0.71010072379932743</c:v>
                </c:pt>
                <c:pt idx="80">
                  <c:v>0.63642482182735238</c:v>
                </c:pt>
                <c:pt idx="81">
                  <c:v>1.0392639158604433</c:v>
                </c:pt>
                <c:pt idx="82">
                  <c:v>0.3986792819878251</c:v>
                </c:pt>
                <c:pt idx="83">
                  <c:v>0.40725657906839846</c:v>
                </c:pt>
                <c:pt idx="84">
                  <c:v>0.28607898972706486</c:v>
                </c:pt>
                <c:pt idx="85">
                  <c:v>0.69483737035414084</c:v>
                </c:pt>
                <c:pt idx="86">
                  <c:v>0.68604999435713798</c:v>
                </c:pt>
                <c:pt idx="87">
                  <c:v>1.091131403131133</c:v>
                </c:pt>
                <c:pt idx="88">
                  <c:v>0.85617186326650507</c:v>
                </c:pt>
                <c:pt idx="89">
                  <c:v>0.9467205202416884</c:v>
                </c:pt>
                <c:pt idx="90">
                  <c:v>0.23099151151632791</c:v>
                </c:pt>
                <c:pt idx="91">
                  <c:v>0.49645044718339859</c:v>
                </c:pt>
                <c:pt idx="92">
                  <c:v>0.6273776453836265</c:v>
                </c:pt>
                <c:pt idx="93">
                  <c:v>0.58977953830226193</c:v>
                </c:pt>
                <c:pt idx="94">
                  <c:v>0.71128985061511374</c:v>
                </c:pt>
                <c:pt idx="95">
                  <c:v>0.89418643790723018</c:v>
                </c:pt>
                <c:pt idx="96">
                  <c:v>0.94691548272088499</c:v>
                </c:pt>
                <c:pt idx="97">
                  <c:v>0.68489064403677857</c:v>
                </c:pt>
                <c:pt idx="98">
                  <c:v>0.38916758255638678</c:v>
                </c:pt>
                <c:pt idx="99">
                  <c:v>0.21109638386281038</c:v>
                </c:pt>
                <c:pt idx="100">
                  <c:v>-0.14913166290592733</c:v>
                </c:pt>
                <c:pt idx="101">
                  <c:v>0.16203567447978595</c:v>
                </c:pt>
                <c:pt idx="102">
                  <c:v>0.1865468786425408</c:v>
                </c:pt>
                <c:pt idx="103">
                  <c:v>-1.305189046549729E-2</c:v>
                </c:pt>
                <c:pt idx="104">
                  <c:v>-0.20750548875671518</c:v>
                </c:pt>
                <c:pt idx="105">
                  <c:v>-0.40335021093915646</c:v>
                </c:pt>
                <c:pt idx="106">
                  <c:v>-0.5794129684486915</c:v>
                </c:pt>
                <c:pt idx="107">
                  <c:v>-0.47474799242813021</c:v>
                </c:pt>
                <c:pt idx="108">
                  <c:v>-0.28563773335387432</c:v>
                </c:pt>
                <c:pt idx="109">
                  <c:v>-0.4630623871690287</c:v>
                </c:pt>
                <c:pt idx="110">
                  <c:v>-0.82783750245569454</c:v>
                </c:pt>
                <c:pt idx="111">
                  <c:v>-0.57941283950258371</c:v>
                </c:pt>
                <c:pt idx="112">
                  <c:v>-0.55137247217621754</c:v>
                </c:pt>
                <c:pt idx="113">
                  <c:v>-0.50360338616433964</c:v>
                </c:pt>
                <c:pt idx="114">
                  <c:v>-0.58501292979791064</c:v>
                </c:pt>
                <c:pt idx="115">
                  <c:v>8.2075745804079392E-2</c:v>
                </c:pt>
                <c:pt idx="116">
                  <c:v>4.1181456346738775E-2</c:v>
                </c:pt>
                <c:pt idx="117">
                  <c:v>-8.4928307766569816E-2</c:v>
                </c:pt>
                <c:pt idx="118">
                  <c:v>-0.43193940954006027</c:v>
                </c:pt>
                <c:pt idx="119">
                  <c:v>-0.38530209873172944</c:v>
                </c:pt>
                <c:pt idx="120">
                  <c:v>-0.80872227901834548</c:v>
                </c:pt>
                <c:pt idx="121">
                  <c:v>-0.8030582484505624</c:v>
                </c:pt>
                <c:pt idx="122">
                  <c:v>-1.5539966092607642</c:v>
                </c:pt>
                <c:pt idx="123">
                  <c:v>-1.7836215653869905</c:v>
                </c:pt>
                <c:pt idx="124">
                  <c:v>-1.4002583244417846</c:v>
                </c:pt>
                <c:pt idx="125">
                  <c:v>-1.114328840558886</c:v>
                </c:pt>
                <c:pt idx="126">
                  <c:v>-1.1463953762888375</c:v>
                </c:pt>
                <c:pt idx="127">
                  <c:v>-1.1953000405476373</c:v>
                </c:pt>
                <c:pt idx="128">
                  <c:v>-1.2502202243891398</c:v>
                </c:pt>
                <c:pt idx="129">
                  <c:v>-0.5650185501698497</c:v>
                </c:pt>
                <c:pt idx="130">
                  <c:v>-0.57870272506385223</c:v>
                </c:pt>
                <c:pt idx="131">
                  <c:v>-0.49416263249658743</c:v>
                </c:pt>
                <c:pt idx="132">
                  <c:v>-0.52982661536755216</c:v>
                </c:pt>
                <c:pt idx="133">
                  <c:v>-0.66391369171776682</c:v>
                </c:pt>
                <c:pt idx="134">
                  <c:v>-0.59346236733286595</c:v>
                </c:pt>
                <c:pt idx="135">
                  <c:v>-0.38807678864035206</c:v>
                </c:pt>
                <c:pt idx="136">
                  <c:v>-0.52337143181501711</c:v>
                </c:pt>
                <c:pt idx="137">
                  <c:v>-0.35345795119304979</c:v>
                </c:pt>
                <c:pt idx="138">
                  <c:v>-0.55138367576419633</c:v>
                </c:pt>
                <c:pt idx="139">
                  <c:v>-0.80797516114594625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B2-4C67-87AC-FB6F33ADABA5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B2-4C67-87AC-FB6F33ADA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1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7">
        <v>10</v>
      </c>
      <c r="B12" s="17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7">
        <v>20</v>
      </c>
      <c r="B13" s="17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7">
        <v>50</v>
      </c>
      <c r="B14" s="17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7">
        <v>110</v>
      </c>
      <c r="B15" s="17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7">
        <v>120</v>
      </c>
      <c r="B16" s="17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7">
        <v>130</v>
      </c>
      <c r="B17" s="17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7">
        <v>150</v>
      </c>
      <c r="B18" s="17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7">
        <v>180</v>
      </c>
      <c r="B19" s="17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7">
        <v>200</v>
      </c>
      <c r="B20" s="17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7">
        <v>256</v>
      </c>
      <c r="B21" s="17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7">
        <v>400</v>
      </c>
      <c r="B22" s="17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7">
        <v>512</v>
      </c>
      <c r="B23" s="17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7">
        <v>1051</v>
      </c>
      <c r="B24" s="17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7" t="s">
        <v>154</v>
      </c>
      <c r="B25" s="17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M12" sqref="EM12:EM24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1.4921767594186151E-2</v>
      </c>
      <c r="D3" s="2">
        <v>0.19374055664815121</v>
      </c>
      <c r="E3" s="2">
        <v>3.6641284891212558E-2</v>
      </c>
      <c r="F3" s="2">
        <v>2.720037808305234E-2</v>
      </c>
      <c r="G3" s="2">
        <v>4.1572509507104963E-2</v>
      </c>
      <c r="H3" s="2">
        <v>-3.7682778213388252E-2</v>
      </c>
      <c r="I3" s="2">
        <v>-0.14193848136906101</v>
      </c>
      <c r="J3" s="2">
        <v>0.22945654465299789</v>
      </c>
      <c r="K3" s="2">
        <v>4.3442237101088077E-2</v>
      </c>
      <c r="L3" s="2">
        <v>2.0280322863003471E-2</v>
      </c>
      <c r="M3" s="2">
        <v>5.8836120966363772E-2</v>
      </c>
      <c r="N3" s="2">
        <v>-0.15172078456838869</v>
      </c>
      <c r="O3" s="2">
        <v>0.32674605046024302</v>
      </c>
      <c r="P3" s="2">
        <v>0.15440773966925631</v>
      </c>
      <c r="Q3" s="2">
        <v>-0.1077953169647555</v>
      </c>
      <c r="R3" s="2">
        <v>-7.388217884017384E-2</v>
      </c>
      <c r="S3" s="2">
        <v>5.3466577832935007E-2</v>
      </c>
      <c r="T3" s="2">
        <v>-5.5190803448215323E-2</v>
      </c>
      <c r="U3" s="2">
        <v>-0.25838402358278728</v>
      </c>
      <c r="V3" s="2">
        <v>1.8370552657987281E-2</v>
      </c>
      <c r="W3" s="2">
        <v>0.22943515813535009</v>
      </c>
      <c r="X3" s="2">
        <v>-0.17107394554599489</v>
      </c>
      <c r="Y3" s="2">
        <v>0.22961919239615811</v>
      </c>
      <c r="Z3" s="2">
        <v>1.6609176417928001E-2</v>
      </c>
      <c r="AA3" s="2">
        <v>0.42374789292198939</v>
      </c>
      <c r="AB3" s="2">
        <v>-0.21459677754992679</v>
      </c>
      <c r="AC3" s="2">
        <v>4.4537467980128032E-2</v>
      </c>
      <c r="AD3" s="2">
        <v>0.1026363998651266</v>
      </c>
      <c r="AE3" s="2">
        <v>-5.0827700488349413E-2</v>
      </c>
      <c r="AF3" s="2">
        <v>-8.9107468044314797E-2</v>
      </c>
      <c r="AG3" s="2">
        <v>0.1222387206017722</v>
      </c>
      <c r="AH3" s="2">
        <v>-0.1126045230898728</v>
      </c>
      <c r="AI3" s="2">
        <v>0.1314139277105186</v>
      </c>
      <c r="AJ3" s="2">
        <v>0.16749207334460819</v>
      </c>
      <c r="AK3" s="2">
        <v>9.0663364527517804E-2</v>
      </c>
      <c r="AL3" s="2">
        <v>0.19313853511160101</v>
      </c>
      <c r="AM3" s="2">
        <v>7.7111193891363769E-2</v>
      </c>
      <c r="AN3" s="2">
        <v>0.25612014410100881</v>
      </c>
      <c r="AO3" s="2">
        <v>4.9003917759049262E-2</v>
      </c>
      <c r="AP3" s="2">
        <v>4.0886892136553048E-2</v>
      </c>
      <c r="AQ3" s="2">
        <v>-0.1105824318508952</v>
      </c>
      <c r="AR3" s="2">
        <v>2.295475557985116E-2</v>
      </c>
      <c r="AS3" s="2">
        <v>4.8656704163688558E-2</v>
      </c>
      <c r="AT3" s="2">
        <v>-5.42298370960584E-2</v>
      </c>
      <c r="AU3" s="2">
        <v>8.6316820243342141E-2</v>
      </c>
      <c r="AV3" s="2">
        <v>3.9564967369030882E-2</v>
      </c>
      <c r="AW3" s="2">
        <v>-0.19104490996141851</v>
      </c>
      <c r="AX3" s="2">
        <v>9.7109439791782243E-2</v>
      </c>
      <c r="AY3" s="2">
        <v>-1.9067525743759941E-2</v>
      </c>
      <c r="AZ3" s="2">
        <v>-9.1169360226394602E-2</v>
      </c>
      <c r="BA3" s="2">
        <v>0.1659581375266328</v>
      </c>
      <c r="BB3" s="2">
        <v>-4.1157026410981457E-2</v>
      </c>
      <c r="BC3" s="2">
        <v>0.1302099546908265</v>
      </c>
      <c r="BD3" s="2">
        <v>0.20026039215823041</v>
      </c>
      <c r="BE3" s="2">
        <v>-0.1061765229031819</v>
      </c>
      <c r="BF3" s="2">
        <v>3.9767282640800483E-3</v>
      </c>
      <c r="BG3" s="2">
        <v>0.33032254291108359</v>
      </c>
      <c r="BH3" s="2">
        <v>0.31722692640179961</v>
      </c>
      <c r="BI3" s="2">
        <v>1.5898229338183582E-2</v>
      </c>
      <c r="BJ3" s="2">
        <v>8.511805356647012E-2</v>
      </c>
      <c r="BK3" s="2">
        <v>8.5442583147222695E-2</v>
      </c>
      <c r="BL3" s="2">
        <v>6.0053601729861517E-2</v>
      </c>
      <c r="BM3" s="2">
        <v>7.748663263579969E-2</v>
      </c>
      <c r="BN3" s="2">
        <v>6.1035782377288413E-2</v>
      </c>
      <c r="BO3" s="2">
        <v>-0.21386733455172441</v>
      </c>
      <c r="BP3" s="2">
        <v>0.18539731380876759</v>
      </c>
      <c r="BQ3" s="2">
        <v>-5.4154026151144168E-2</v>
      </c>
      <c r="BR3" s="2">
        <v>0.28168982471721238</v>
      </c>
      <c r="BS3" s="2">
        <v>-2.3481657046590498E-2</v>
      </c>
      <c r="BT3" s="2">
        <v>8.9034674698385913E-2</v>
      </c>
      <c r="BU3" s="2">
        <v>0.12734099378758071</v>
      </c>
      <c r="BV3" s="2">
        <v>1.9220333982829459E-2</v>
      </c>
      <c r="BW3" s="2">
        <v>6.6547110474733912E-2</v>
      </c>
      <c r="BX3" s="2">
        <v>-0.1096838899370035</v>
      </c>
      <c r="BY3" s="2">
        <v>0.13853337364861401</v>
      </c>
      <c r="BZ3" s="2">
        <v>-0.10485789127282739</v>
      </c>
      <c r="CA3" s="2">
        <v>-5.0171625061092177E-2</v>
      </c>
      <c r="CB3" s="2">
        <v>-7.0239615583515547E-2</v>
      </c>
      <c r="CC3" s="2">
        <v>-6.024331497796076E-3</v>
      </c>
      <c r="CD3" s="2">
        <v>0.15997201356680449</v>
      </c>
      <c r="CE3" s="2">
        <v>0.21131661843971669</v>
      </c>
      <c r="CF3" s="2">
        <v>-0.10098227382063379</v>
      </c>
      <c r="CG3" s="2">
        <v>0.1099902345124356</v>
      </c>
      <c r="CH3" s="2">
        <v>-1.439263498621912E-2</v>
      </c>
      <c r="CI3" s="2">
        <v>0.22258294087819999</v>
      </c>
      <c r="CJ3" s="2">
        <v>-0.28268220919664089</v>
      </c>
      <c r="CK3" s="2">
        <v>-1.34784744837903E-2</v>
      </c>
      <c r="CL3" s="2">
        <v>-7.7844882578090024E-2</v>
      </c>
      <c r="CM3" s="2">
        <v>0.27379286416098292</v>
      </c>
      <c r="CN3" s="2">
        <v>-0.39000662146638571</v>
      </c>
      <c r="CO3" s="2">
        <v>-0.15858238798621049</v>
      </c>
      <c r="CP3" s="2">
        <v>-2.248687095004737E-2</v>
      </c>
      <c r="CQ3" s="2">
        <v>0.15587953569252869</v>
      </c>
      <c r="CR3" s="2">
        <v>8.1444486195923538E-2</v>
      </c>
      <c r="CS3" s="2">
        <v>-7.4204536967257373E-2</v>
      </c>
      <c r="CT3" s="2">
        <v>-9.2371279974270304E-2</v>
      </c>
      <c r="CU3" s="2">
        <v>-4.3714030096486063E-2</v>
      </c>
      <c r="CV3" s="2">
        <v>2.9888248842323439E-2</v>
      </c>
      <c r="CW3" s="2">
        <v>8.9064660675071017E-2</v>
      </c>
      <c r="CX3" s="2">
        <v>-2.461703398462101E-2</v>
      </c>
      <c r="CY3" s="2">
        <v>7.0863407701809683E-2</v>
      </c>
      <c r="CZ3" s="2">
        <v>4.0860064589465173E-2</v>
      </c>
      <c r="DA3" s="2">
        <v>0.25668575080604511</v>
      </c>
      <c r="DB3" s="2">
        <v>-0.16423592993500721</v>
      </c>
      <c r="DC3" s="2">
        <v>-0.25891871236192893</v>
      </c>
      <c r="DD3" s="2">
        <v>-3.1636234772114302E-2</v>
      </c>
      <c r="DE3" s="2">
        <v>0.16039046409100291</v>
      </c>
      <c r="DF3" s="2">
        <v>-0.1125151400819166</v>
      </c>
      <c r="DG3" s="2">
        <v>-8.2270484337237354E-2</v>
      </c>
      <c r="DH3" s="2">
        <v>-0.1046573993170693</v>
      </c>
      <c r="DI3" s="2">
        <v>4.8360523947053542E-2</v>
      </c>
      <c r="DJ3" s="2">
        <v>-5.7256595305278379E-2</v>
      </c>
      <c r="DK3" s="2">
        <v>4.4306650701811667E-2</v>
      </c>
      <c r="DL3" s="2">
        <v>-1.550485019804199E-2</v>
      </c>
      <c r="DM3" s="2">
        <v>-0.1187372546540391</v>
      </c>
      <c r="DN3" s="2">
        <v>-2.2084537220642689E-2</v>
      </c>
      <c r="DO3" s="2">
        <v>-9.3328814005851163E-2</v>
      </c>
      <c r="DP3" s="2">
        <v>0.16589996047491321</v>
      </c>
      <c r="DQ3" s="2">
        <v>0.19277347134422759</v>
      </c>
      <c r="DR3" s="2">
        <v>-5.3222765204426259E-2</v>
      </c>
      <c r="DS3" s="2">
        <v>0.1285503395605834</v>
      </c>
      <c r="DT3" s="2">
        <v>-0.1271379406682159</v>
      </c>
      <c r="DU3" s="2">
        <v>-0.1216781493648102</v>
      </c>
      <c r="DV3" s="2">
        <v>-7.3321392986254744E-2</v>
      </c>
      <c r="DW3" s="2">
        <v>5.7692105433722801E-2</v>
      </c>
      <c r="DX3" s="2">
        <v>9.0231456054620185E-2</v>
      </c>
      <c r="DY3" s="2">
        <v>-0.13571093332205969</v>
      </c>
      <c r="DZ3" s="2">
        <v>0.208838761875662</v>
      </c>
      <c r="EA3" s="2">
        <v>-0.1042137320006724</v>
      </c>
      <c r="EB3" s="2">
        <v>0.1955228574869389</v>
      </c>
      <c r="EC3" s="2">
        <v>-8.3944738981710995E-2</v>
      </c>
      <c r="ED3" s="2">
        <v>-4.1132651476077212E-2</v>
      </c>
      <c r="EE3" s="2">
        <v>-0.11014068184164311</v>
      </c>
      <c r="EF3" s="2">
        <v>-3.7066133134747589E-2</v>
      </c>
      <c r="EG3" s="2">
        <v>8.0655584908580213E-2</v>
      </c>
      <c r="EH3" s="2">
        <v>0.17418837326470191</v>
      </c>
      <c r="EI3" s="2">
        <v>0.1018806103780743</v>
      </c>
      <c r="EJ3" s="2">
        <v>-7.9899408218633464E-2</v>
      </c>
      <c r="EK3" s="2">
        <v>-0.14702487284735691</v>
      </c>
      <c r="EL3" s="2">
        <v>-0.16515913559204909</v>
      </c>
      <c r="EM3" s="2">
        <v>-0.19545450507905759</v>
      </c>
    </row>
    <row r="4" spans="1:145" x14ac:dyDescent="0.3">
      <c r="B4" s="6" t="s">
        <v>144</v>
      </c>
      <c r="C4" s="2">
        <v>-0.14934537097006381</v>
      </c>
      <c r="D4" s="2">
        <v>-0.24734382193855889</v>
      </c>
      <c r="E4" s="2">
        <v>-0.25906123854298002</v>
      </c>
      <c r="F4" s="2">
        <v>-5.5566834479314764E-3</v>
      </c>
      <c r="G4" s="2">
        <v>6.5085215638914562E-2</v>
      </c>
      <c r="H4" s="2">
        <v>-2.9077597804489489E-2</v>
      </c>
      <c r="I4" s="2">
        <v>1.7791287057486119E-2</v>
      </c>
      <c r="J4" s="2">
        <v>4.2466157631261943E-2</v>
      </c>
      <c r="K4" s="2">
        <v>-2.1006648417474238E-2</v>
      </c>
      <c r="L4" s="2">
        <v>-4.4200314609364362E-2</v>
      </c>
      <c r="M4" s="2">
        <v>-5.7877978335193703E-2</v>
      </c>
      <c r="N4" s="2">
        <v>6.4362720925714711E-4</v>
      </c>
      <c r="O4" s="2">
        <v>-0.1888809883423157</v>
      </c>
      <c r="P4" s="2">
        <v>-1.7141672241164582E-2</v>
      </c>
      <c r="Q4" s="2">
        <v>4.9706724765044903E-2</v>
      </c>
      <c r="R4" s="2">
        <v>-9.9157665911262072E-2</v>
      </c>
      <c r="S4" s="2">
        <v>-3.0410739659584959E-2</v>
      </c>
      <c r="T4" s="2">
        <v>0.114883194276155</v>
      </c>
      <c r="U4" s="2">
        <v>1.3221613108109761E-2</v>
      </c>
      <c r="V4" s="2">
        <v>4.8956470682201207E-2</v>
      </c>
      <c r="W4" s="2">
        <v>5.8935588805711703E-2</v>
      </c>
      <c r="X4" s="2">
        <v>-0.16467436985926651</v>
      </c>
      <c r="Y4" s="2">
        <v>-0.18813682472110749</v>
      </c>
      <c r="Z4" s="2">
        <v>6.9656910085143409E-2</v>
      </c>
      <c r="AA4" s="2">
        <v>-1.536607134313428E-2</v>
      </c>
      <c r="AB4" s="2">
        <v>-6.3219850439137915E-2</v>
      </c>
      <c r="AC4" s="2">
        <v>-7.8982007867882231E-2</v>
      </c>
      <c r="AD4" s="2">
        <v>-3.0272546555867311E-2</v>
      </c>
      <c r="AE4" s="2">
        <v>2.4342450678682681E-2</v>
      </c>
      <c r="AF4" s="2">
        <v>0.1338387609531928</v>
      </c>
      <c r="AG4" s="2">
        <v>-6.1601099916954283E-2</v>
      </c>
      <c r="AH4" s="2">
        <v>-9.2544715844580239E-2</v>
      </c>
      <c r="AI4" s="2">
        <v>-2.606557636825713E-2</v>
      </c>
      <c r="AJ4" s="2">
        <v>1.835980120122116E-2</v>
      </c>
      <c r="AK4" s="2">
        <v>4.9856794173347652E-2</v>
      </c>
      <c r="AL4" s="2">
        <v>-6.0623931441821099E-3</v>
      </c>
      <c r="AM4" s="2">
        <v>-0.1593670046856257</v>
      </c>
      <c r="AN4" s="2">
        <v>-3.9146401437225357E-2</v>
      </c>
      <c r="AO4" s="2">
        <v>-4.5070029117612258E-2</v>
      </c>
      <c r="AP4" s="2">
        <v>7.5288047421649296E-2</v>
      </c>
      <c r="AQ4" s="2">
        <v>-9.8196075774527714E-2</v>
      </c>
      <c r="AR4" s="2">
        <v>8.6383001174560547E-2</v>
      </c>
      <c r="AS4" s="2">
        <v>6.8813106450374306E-2</v>
      </c>
      <c r="AT4" s="2">
        <v>4.6704563833854351E-2</v>
      </c>
      <c r="AU4" s="2">
        <v>-4.2570548354721183E-2</v>
      </c>
      <c r="AV4" s="2">
        <v>-0.22195205322781139</v>
      </c>
      <c r="AW4" s="2">
        <v>8.2172494215541292E-2</v>
      </c>
      <c r="AX4" s="2">
        <v>1.6883596650064451E-2</v>
      </c>
      <c r="AY4" s="2">
        <v>0.12907394968742911</v>
      </c>
      <c r="AZ4" s="2">
        <v>1.508250262297395E-3</v>
      </c>
      <c r="BA4" s="2">
        <v>-0.1115044795953537</v>
      </c>
      <c r="BB4" s="2">
        <v>-0.21525994170681531</v>
      </c>
      <c r="BC4" s="2">
        <v>-5.7482345433534483E-2</v>
      </c>
      <c r="BD4" s="2">
        <v>1.083671471935332E-3</v>
      </c>
      <c r="BE4" s="2">
        <v>1.8778916647853802E-2</v>
      </c>
      <c r="BF4" s="2">
        <v>0.11348943166465381</v>
      </c>
      <c r="BG4" s="2">
        <v>-7.8526304322265261E-2</v>
      </c>
      <c r="BH4" s="2">
        <v>-3.2954977512261507E-2</v>
      </c>
      <c r="BI4" s="2">
        <v>-9.9003271360800227E-2</v>
      </c>
      <c r="BJ4" s="2">
        <v>-0.14670768531275341</v>
      </c>
      <c r="BK4" s="2">
        <v>-4.9944347042302439E-2</v>
      </c>
      <c r="BL4" s="2">
        <v>-2.2928882525524941E-2</v>
      </c>
      <c r="BM4" s="2">
        <v>-4.5938779058463552E-2</v>
      </c>
      <c r="BN4" s="2">
        <v>-7.3256914922144034E-3</v>
      </c>
      <c r="BO4" s="2">
        <v>8.7168037873448512E-2</v>
      </c>
      <c r="BP4" s="2">
        <v>1.6127596174072781E-2</v>
      </c>
      <c r="BQ4" s="2">
        <v>-6.7799319304640449E-2</v>
      </c>
      <c r="BR4" s="2">
        <v>-9.3122366228293174E-3</v>
      </c>
      <c r="BS4" s="2">
        <v>-6.5299244722263339E-2</v>
      </c>
      <c r="BT4" s="2">
        <v>-4.2502825413810903E-2</v>
      </c>
      <c r="BU4" s="2">
        <v>9.3104858610283614E-2</v>
      </c>
      <c r="BV4" s="2">
        <v>9.3350611010009743E-2</v>
      </c>
      <c r="BW4" s="2">
        <v>-1.348973955166066E-2</v>
      </c>
      <c r="BX4" s="2">
        <v>-7.2291287752442202E-2</v>
      </c>
      <c r="BY4" s="2">
        <v>-0.1549745966812619</v>
      </c>
      <c r="BZ4" s="2">
        <v>0.17456977446855679</v>
      </c>
      <c r="CA4" s="2">
        <v>3.7233528920198822E-2</v>
      </c>
      <c r="CB4" s="2">
        <v>5.5557309971007378E-2</v>
      </c>
      <c r="CC4" s="2">
        <v>-0.17750462011175289</v>
      </c>
      <c r="CD4" s="2">
        <v>-0.1189267299677006</v>
      </c>
      <c r="CE4" s="2">
        <v>-1.354023404963556E-2</v>
      </c>
      <c r="CF4" s="2">
        <v>-0.12741231664868199</v>
      </c>
      <c r="CG4" s="2">
        <v>7.3406859508121869E-2</v>
      </c>
      <c r="CH4" s="2">
        <v>7.2685158287379537E-2</v>
      </c>
      <c r="CI4" s="2">
        <v>-5.4480084800218258E-2</v>
      </c>
      <c r="CJ4" s="2">
        <v>3.8731428402540402E-2</v>
      </c>
      <c r="CK4" s="2">
        <v>1.4180109180314201E-2</v>
      </c>
      <c r="CL4" s="2">
        <v>-0.1089911061285367</v>
      </c>
      <c r="CM4" s="2">
        <v>-0.1233186062772607</v>
      </c>
      <c r="CN4" s="2">
        <v>0.25398200550881528</v>
      </c>
      <c r="CO4" s="2">
        <v>1.6527103051004129E-2</v>
      </c>
      <c r="CP4" s="2">
        <v>1.5216844239471781E-3</v>
      </c>
      <c r="CQ4" s="2">
        <v>-6.7959331453504745E-2</v>
      </c>
      <c r="CR4" s="2">
        <v>-0.2349573288111291</v>
      </c>
      <c r="CS4" s="2">
        <v>-0.20790819007173231</v>
      </c>
      <c r="CT4" s="2">
        <v>-1.428661144924348E-4</v>
      </c>
      <c r="CU4" s="2">
        <v>2.2028281849749479E-2</v>
      </c>
      <c r="CV4" s="2">
        <v>6.8023844934248956E-2</v>
      </c>
      <c r="CW4" s="2">
        <v>-8.8837317713291952E-2</v>
      </c>
      <c r="CX4" s="2">
        <v>5.261585949558345E-2</v>
      </c>
      <c r="CY4" s="2">
        <v>-0.14906969604344769</v>
      </c>
      <c r="CZ4" s="2">
        <v>-0.11103945205987389</v>
      </c>
      <c r="DA4" s="2">
        <v>-0.14434138369070479</v>
      </c>
      <c r="DB4" s="2">
        <v>2.7151747986042811E-3</v>
      </c>
      <c r="DC4" s="2">
        <v>-9.785482280361002E-2</v>
      </c>
      <c r="DD4" s="2">
        <v>0.10722226194647889</v>
      </c>
      <c r="DE4" s="2">
        <v>4.7121438754965439E-2</v>
      </c>
      <c r="DF4" s="2">
        <v>-1.9291062828386881E-2</v>
      </c>
      <c r="DG4" s="2">
        <v>1.7896408714275221E-3</v>
      </c>
      <c r="DH4" s="2">
        <v>0.17350442691012449</v>
      </c>
      <c r="DI4" s="2">
        <v>-3.4040341553568609E-2</v>
      </c>
      <c r="DJ4" s="2">
        <v>-9.993613472354923E-2</v>
      </c>
      <c r="DK4" s="2">
        <v>-0.1324523127849897</v>
      </c>
      <c r="DL4" s="2">
        <v>9.327990828282573E-2</v>
      </c>
      <c r="DM4" s="2">
        <v>0.1781012365160777</v>
      </c>
      <c r="DN4" s="2">
        <v>0.1328839469177652</v>
      </c>
      <c r="DO4" s="2">
        <v>-0.12491951193503149</v>
      </c>
      <c r="DP4" s="2">
        <v>-9.4650070989063195E-2</v>
      </c>
      <c r="DQ4" s="2">
        <v>-0.14995782586822409</v>
      </c>
      <c r="DR4" s="2">
        <v>4.4038724417266202E-2</v>
      </c>
      <c r="DS4" s="2">
        <v>4.5916039994949642E-2</v>
      </c>
      <c r="DT4" s="2">
        <v>-0.1600946018805747</v>
      </c>
      <c r="DU4" s="2">
        <v>1.4044107423149651E-2</v>
      </c>
      <c r="DV4" s="2">
        <v>3.474390636907998E-2</v>
      </c>
      <c r="DW4" s="2">
        <v>1.257520949773294E-2</v>
      </c>
      <c r="DX4" s="2">
        <v>-0.1453929875597364</v>
      </c>
      <c r="DY4" s="2">
        <v>6.2173227234248778E-2</v>
      </c>
      <c r="DZ4" s="2">
        <v>-5.2117914994026293E-2</v>
      </c>
      <c r="EA4" s="2">
        <v>-0.25996993215089498</v>
      </c>
      <c r="EB4" s="2">
        <v>-0.1120594852816517</v>
      </c>
      <c r="EC4" s="2">
        <v>-7.1121647901357221E-2</v>
      </c>
      <c r="ED4" s="2">
        <v>3.3989099845969761E-2</v>
      </c>
      <c r="EE4" s="2">
        <v>0.2120879988342281</v>
      </c>
      <c r="EF4" s="2">
        <v>0.17540569835811759</v>
      </c>
      <c r="EG4" s="2">
        <v>-0.1265662473774363</v>
      </c>
      <c r="EH4" s="2">
        <v>-0.14481844562859611</v>
      </c>
      <c r="EI4" s="2">
        <v>-0.15568399081828771</v>
      </c>
      <c r="EJ4" s="2">
        <v>0.20106066923392871</v>
      </c>
      <c r="EK4" s="2">
        <v>0.24000764460967791</v>
      </c>
      <c r="EL4" s="2">
        <v>0.19398234319787019</v>
      </c>
      <c r="EM4" s="2">
        <v>0.1084331645485683</v>
      </c>
    </row>
    <row r="5" spans="1:145" x14ac:dyDescent="0.3">
      <c r="B5" s="1" t="s">
        <v>145</v>
      </c>
      <c r="C5" s="2">
        <v>-0.35602255303624453</v>
      </c>
      <c r="D5" s="2">
        <v>-4.0090857958738978E-2</v>
      </c>
      <c r="E5" s="2">
        <v>0.52768591000883824</v>
      </c>
      <c r="F5" s="2">
        <v>9.1621703543451838E-2</v>
      </c>
      <c r="G5" s="2">
        <v>-0.33444541912551767</v>
      </c>
      <c r="H5" s="2">
        <v>0.35557807934338981</v>
      </c>
      <c r="I5" s="2">
        <v>0.1153369311545601</v>
      </c>
      <c r="J5" s="2">
        <v>-9.1390222966754614E-2</v>
      </c>
      <c r="K5" s="2">
        <v>0.37641590593379309</v>
      </c>
      <c r="L5" s="2">
        <v>-0.39095115876105019</v>
      </c>
      <c r="M5" s="2">
        <v>0.16570120474983141</v>
      </c>
      <c r="N5" s="2">
        <v>-0.26143467111761082</v>
      </c>
      <c r="O5" s="2">
        <v>-6.1069485866542261E-2</v>
      </c>
      <c r="P5" s="2">
        <v>0.26091415721504319</v>
      </c>
      <c r="Q5" s="2">
        <v>4.0937433053001369E-2</v>
      </c>
      <c r="R5" s="2">
        <v>-0.13738348482797161</v>
      </c>
      <c r="S5" s="2">
        <v>0.32196519062115619</v>
      </c>
      <c r="T5" s="2">
        <v>0.1577185559806982</v>
      </c>
      <c r="U5" s="2">
        <v>-3.1493048898479467E-2</v>
      </c>
      <c r="V5" s="2">
        <v>0.20272926171313391</v>
      </c>
      <c r="W5" s="2">
        <v>-0.37900040700733478</v>
      </c>
      <c r="X5" s="2">
        <v>-0.1240504049428721</v>
      </c>
      <c r="Y5" s="2">
        <v>-0.6091363947557743</v>
      </c>
      <c r="Z5" s="2">
        <v>-8.7419029003689655E-2</v>
      </c>
      <c r="AA5" s="2">
        <v>2.4492818663441569E-2</v>
      </c>
      <c r="AB5" s="2">
        <v>7.8777301474168532E-2</v>
      </c>
      <c r="AC5" s="2">
        <v>-0.1144491391906407</v>
      </c>
      <c r="AD5" s="2">
        <v>0.24384130060927259</v>
      </c>
      <c r="AE5" s="2">
        <v>8.2451056568350709E-2</v>
      </c>
      <c r="AF5" s="2">
        <v>0.18824065512069871</v>
      </c>
      <c r="AG5" s="2">
        <v>9.4710949320840843E-2</v>
      </c>
      <c r="AH5" s="2">
        <v>-0.3051658563382863</v>
      </c>
      <c r="AI5" s="2">
        <v>0.15762471600367869</v>
      </c>
      <c r="AJ5" s="2">
        <v>-0.68021373773600025</v>
      </c>
      <c r="AK5" s="2">
        <v>2.3239308843977121E-2</v>
      </c>
      <c r="AL5" s="2">
        <v>-8.7587780261718207E-2</v>
      </c>
      <c r="AM5" s="2">
        <v>0.1083584048978386</v>
      </c>
      <c r="AN5" s="2">
        <v>0.1116944474577185</v>
      </c>
      <c r="AO5" s="2">
        <v>0.25326788161785452</v>
      </c>
      <c r="AP5" s="2">
        <v>0.20792985272972619</v>
      </c>
      <c r="AQ5" s="2">
        <v>0.26625784896468052</v>
      </c>
      <c r="AR5" s="2">
        <v>9.3532219454879356E-2</v>
      </c>
      <c r="AS5" s="2">
        <v>-0.1422532223975255</v>
      </c>
      <c r="AT5" s="2">
        <v>0.16459019868234889</v>
      </c>
      <c r="AU5" s="2">
        <v>-0.29628044254228481</v>
      </c>
      <c r="AV5" s="2">
        <v>-7.967283675179572E-2</v>
      </c>
      <c r="AW5" s="2">
        <v>-2.106163766695986E-2</v>
      </c>
      <c r="AX5" s="2">
        <v>-0.16039194510643379</v>
      </c>
      <c r="AY5" s="2">
        <v>2.907561231396269E-2</v>
      </c>
      <c r="AZ5" s="2">
        <v>0.23443646192314299</v>
      </c>
      <c r="BA5" s="2">
        <v>-1.954356893773998E-2</v>
      </c>
      <c r="BB5" s="2">
        <v>5.5326597607753797E-2</v>
      </c>
      <c r="BC5" s="2">
        <v>-5.9611055683955687E-2</v>
      </c>
      <c r="BD5" s="2">
        <v>-9.5611407368703827E-2</v>
      </c>
      <c r="BE5" s="2">
        <v>0.17767650991380921</v>
      </c>
      <c r="BF5" s="2">
        <v>-0.30632321099993309</v>
      </c>
      <c r="BG5" s="2">
        <v>-0.27950975427210151</v>
      </c>
      <c r="BH5" s="2">
        <v>-6.5627292150386804E-2</v>
      </c>
      <c r="BI5" s="2">
        <v>6.7576225048905147E-2</v>
      </c>
      <c r="BJ5" s="2">
        <v>-0.377766382042375</v>
      </c>
      <c r="BK5" s="2">
        <v>0.1710576050513124</v>
      </c>
      <c r="BL5" s="2">
        <v>-0.15901657189760751</v>
      </c>
      <c r="BM5" s="2">
        <v>0.29566311964252062</v>
      </c>
      <c r="BN5" s="2">
        <v>-9.1185424305069637E-3</v>
      </c>
      <c r="BO5" s="2">
        <v>-0.18708382872534479</v>
      </c>
      <c r="BP5" s="2">
        <v>-4.4541684300456783E-2</v>
      </c>
      <c r="BQ5" s="2">
        <v>-0.2644041519976843</v>
      </c>
      <c r="BR5" s="2">
        <v>-0.17935638398747261</v>
      </c>
      <c r="BS5" s="2">
        <v>9.3255604107027268E-2</v>
      </c>
      <c r="BT5" s="2">
        <v>0.25391019577751839</v>
      </c>
      <c r="BU5" s="2">
        <v>-0.2208865037169013</v>
      </c>
      <c r="BV5" s="2">
        <v>0.1113375442569535</v>
      </c>
      <c r="BW5" s="2">
        <v>-2.6110149941585441E-2</v>
      </c>
      <c r="BX5" s="2">
        <v>7.8321917624137663E-2</v>
      </c>
      <c r="BY5" s="2">
        <v>3.6568448160119997E-2</v>
      </c>
      <c r="BZ5" s="2">
        <v>-0.1016560299453321</v>
      </c>
      <c r="CA5" s="2">
        <v>3.7823772175184511E-2</v>
      </c>
      <c r="CB5" s="2">
        <v>-1.2533175044593611E-2</v>
      </c>
      <c r="CC5" s="2">
        <v>-0.28837910471559852</v>
      </c>
      <c r="CD5" s="2">
        <v>0.34067466598778878</v>
      </c>
      <c r="CE5" s="2">
        <v>-6.0100560923931345E-4</v>
      </c>
      <c r="CF5" s="2">
        <v>-0.1296863733007578</v>
      </c>
      <c r="CG5" s="2">
        <v>0.15976746637967629</v>
      </c>
      <c r="CH5" s="2">
        <v>-0.23825235796998209</v>
      </c>
      <c r="CI5" s="2">
        <v>-2.8759770853779679E-2</v>
      </c>
      <c r="CJ5" s="2">
        <v>-0.19238587368076349</v>
      </c>
      <c r="CK5" s="2">
        <v>9.3012092996989273E-2</v>
      </c>
      <c r="CL5" s="2">
        <v>1.8732272151867381E-2</v>
      </c>
      <c r="CM5" s="2">
        <v>-1.440590191637958E-2</v>
      </c>
      <c r="CN5" s="2">
        <v>-0.24513143201832141</v>
      </c>
      <c r="CO5" s="2">
        <v>0.62382678445663653</v>
      </c>
      <c r="CP5" s="2">
        <v>9.8069367239007818E-2</v>
      </c>
      <c r="CQ5" s="2">
        <v>-0.34398023521672633</v>
      </c>
      <c r="CR5" s="2">
        <v>0.23965589513689431</v>
      </c>
      <c r="CS5" s="2">
        <v>-0.1630146077158017</v>
      </c>
      <c r="CT5" s="2">
        <v>0.20917057102557721</v>
      </c>
      <c r="CU5" s="2">
        <v>-0.13994756491628749</v>
      </c>
      <c r="CV5" s="2">
        <v>-0.14628801332363431</v>
      </c>
      <c r="CW5" s="2">
        <v>0.31017320529162662</v>
      </c>
      <c r="CX5" s="2">
        <v>0.25353915592821968</v>
      </c>
      <c r="CY5" s="2">
        <v>-0.79527742145542657</v>
      </c>
      <c r="CZ5" s="2">
        <v>0.80355177224477214</v>
      </c>
      <c r="DA5" s="2">
        <v>-7.1187531558581735E-2</v>
      </c>
      <c r="DB5" s="2">
        <v>0.14203914410752261</v>
      </c>
      <c r="DC5" s="2">
        <v>0.17684959747890239</v>
      </c>
      <c r="DD5" s="2">
        <v>-0.2347694823541964</v>
      </c>
      <c r="DE5" s="2">
        <v>-7.8915349004452157E-2</v>
      </c>
      <c r="DF5" s="2">
        <v>-0.10893182959170521</v>
      </c>
      <c r="DG5" s="2">
        <v>-0.50647317879216458</v>
      </c>
      <c r="DH5" s="2">
        <v>0.17758880086016901</v>
      </c>
      <c r="DI5" s="2">
        <v>0.24345215756039101</v>
      </c>
      <c r="DJ5" s="2">
        <v>-0.63199691128278157</v>
      </c>
      <c r="DK5" s="2">
        <v>0.76553812905546981</v>
      </c>
      <c r="DL5" s="2">
        <v>0.1134987555126632</v>
      </c>
      <c r="DM5" s="2">
        <v>-0.45407241147436012</v>
      </c>
      <c r="DN5" s="2">
        <v>0.5381646260587134</v>
      </c>
      <c r="DO5" s="2">
        <v>-0.26009015152361792</v>
      </c>
      <c r="DP5" s="2">
        <v>-6.8906334924896576E-2</v>
      </c>
      <c r="DQ5" s="2">
        <v>-0.20285821236619811</v>
      </c>
      <c r="DR5" s="2">
        <v>2.45178389892888E-2</v>
      </c>
      <c r="DS5" s="2">
        <v>-0.16671516537849729</v>
      </c>
      <c r="DT5" s="2">
        <v>0.33878844679546338</v>
      </c>
      <c r="DU5" s="2">
        <v>-0.59979946723464084</v>
      </c>
      <c r="DV5" s="2">
        <v>0.83514380187623793</v>
      </c>
      <c r="DW5" s="2">
        <v>-9.255748547327998E-2</v>
      </c>
      <c r="DX5" s="2">
        <v>-0.13301905739887071</v>
      </c>
      <c r="DY5" s="2">
        <v>0.4235750632459292</v>
      </c>
      <c r="DZ5" s="2">
        <v>0.30902986430062002</v>
      </c>
      <c r="EA5" s="2">
        <v>0.18643694757575269</v>
      </c>
      <c r="EB5" s="2">
        <v>-0.89458161361561928</v>
      </c>
      <c r="EC5" s="2">
        <v>4.6089797399945322E-2</v>
      </c>
      <c r="ED5" s="2">
        <v>-0.19737598163049891</v>
      </c>
      <c r="EE5" s="2">
        <v>0.32955546848400757</v>
      </c>
      <c r="EF5" s="2">
        <v>-0.1298161213028215</v>
      </c>
      <c r="EG5" s="2">
        <v>0.41590935608064328</v>
      </c>
      <c r="EH5" s="2">
        <v>-0.1780246200952896</v>
      </c>
      <c r="EI5" s="2">
        <v>-0.30056728540568339</v>
      </c>
      <c r="EJ5" s="2">
        <v>0.3783868000433685</v>
      </c>
      <c r="EK5" s="2">
        <v>-0.30609793068418661</v>
      </c>
      <c r="EL5" s="2">
        <v>0.1794159444225098</v>
      </c>
      <c r="EM5" s="2">
        <v>-0.61002274929031197</v>
      </c>
    </row>
    <row r="6" spans="1:145" x14ac:dyDescent="0.3">
      <c r="A6" s="20" t="s">
        <v>146</v>
      </c>
      <c r="B6" s="21"/>
      <c r="C6" s="2">
        <f t="array" ref="C6">MATCH(MAX(ABS(C3:C5)), ABS(C3:C5), 0)</f>
        <v>3</v>
      </c>
      <c r="D6" s="2">
        <f t="array" ref="D6">MATCH(MAX(ABS(D3:D5)), ABS(D3:D5), 0)</f>
        <v>2</v>
      </c>
      <c r="E6" s="2">
        <f t="array" ref="E6">MATCH(MAX(ABS(E3:E5)), ABS(E3:E5), 0)</f>
        <v>3</v>
      </c>
      <c r="F6" s="2">
        <f t="array" ref="F6">MATCH(MAX(ABS(F3:F5)), ABS(F3:F5), 0)</f>
        <v>3</v>
      </c>
      <c r="G6" s="2">
        <f t="array" ref="G6">MATCH(MAX(ABS(G3:G5)), ABS(G3:G5), 0)</f>
        <v>3</v>
      </c>
      <c r="H6" s="2">
        <f t="array" ref="H6">MATCH(MAX(ABS(H3:H5)), ABS(H3:H5), 0)</f>
        <v>3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3</v>
      </c>
      <c r="L6" s="2">
        <f t="array" ref="L6">MATCH(MAX(ABS(L3:L5)), ABS(L3:L5), 0)</f>
        <v>3</v>
      </c>
      <c r="M6" s="2">
        <f t="array" ref="M6">MATCH(MAX(ABS(M3:M5)), ABS(M3:M5), 0)</f>
        <v>3</v>
      </c>
      <c r="N6" s="2">
        <f t="array" ref="N6">MATCH(MAX(ABS(N3:N5)), ABS(N3:N5), 0)</f>
        <v>3</v>
      </c>
      <c r="O6" s="2">
        <f t="array" ref="O6">MATCH(MAX(ABS(O3:O5)), ABS(O3:O5), 0)</f>
        <v>1</v>
      </c>
      <c r="P6" s="2">
        <f t="array" ref="P6">MATCH(MAX(ABS(P3:P5)), ABS(P3:P5), 0)</f>
        <v>3</v>
      </c>
      <c r="Q6" s="2">
        <f t="array" ref="Q6">MATCH(MAX(ABS(Q3:Q5)), ABS(Q3:Q5), 0)</f>
        <v>1</v>
      </c>
      <c r="R6" s="2">
        <f t="array" ref="R6">MATCH(MAX(ABS(R3:R5)), ABS(R3:R5), 0)</f>
        <v>3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1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3</v>
      </c>
      <c r="Z6" s="2">
        <f t="array" ref="Z6">MATCH(MAX(ABS(Z3:Z5)), ABS(Z3:Z5), 0)</f>
        <v>3</v>
      </c>
      <c r="AA6" s="2">
        <f t="array" ref="AA6">MATCH(MAX(ABS(AA3:AA5)), ABS(AA3:AA5), 0)</f>
        <v>1</v>
      </c>
      <c r="AB6" s="2">
        <f t="array" ref="AB6">MATCH(MAX(ABS(AB3:AB5)), ABS(AB3:AB5), 0)</f>
        <v>1</v>
      </c>
      <c r="AC6" s="2">
        <f t="array" ref="AC6">MATCH(MAX(ABS(AC3:AC5)), ABS(AC3:AC5), 0)</f>
        <v>3</v>
      </c>
      <c r="AD6" s="2">
        <f t="array" ref="AD6">MATCH(MAX(ABS(AD3:AD5)), ABS(AD3:AD5), 0)</f>
        <v>3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3</v>
      </c>
      <c r="AI6" s="2">
        <f t="array" ref="AI6">MATCH(MAX(ABS(AI3:AI5)), ABS(AI3:AI5), 0)</f>
        <v>3</v>
      </c>
      <c r="AJ6" s="2">
        <f t="array" ref="AJ6">MATCH(MAX(ABS(AJ3:AJ5)), ABS(AJ3:AJ5), 0)</f>
        <v>3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2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3</v>
      </c>
      <c r="AQ6" s="2">
        <f t="array" ref="AQ6">MATCH(MAX(ABS(AQ3:AQ5)), ABS(AQ3:AQ5), 0)</f>
        <v>3</v>
      </c>
      <c r="AR6" s="2">
        <f t="array" ref="AR6">MATCH(MAX(ABS(AR3:AR5)), ABS(AR3:AR5), 0)</f>
        <v>3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3</v>
      </c>
      <c r="AV6" s="2">
        <f t="array" ref="AV6">MATCH(MAX(ABS(AV3:AV5)), ABS(AV3:AV5), 0)</f>
        <v>2</v>
      </c>
      <c r="AW6" s="2">
        <f t="array" ref="AW6">MATCH(MAX(ABS(AW3:AW5)), ABS(AW3:AW5), 0)</f>
        <v>1</v>
      </c>
      <c r="AX6" s="2">
        <f t="array" ref="AX6">MATCH(MAX(ABS(AX3:AX5)), ABS(AX3:AX5), 0)</f>
        <v>3</v>
      </c>
      <c r="AY6" s="2">
        <f t="array" ref="AY6">MATCH(MAX(ABS(AY3:AY5)), ABS(AY3:AY5), 0)</f>
        <v>2</v>
      </c>
      <c r="AZ6" s="2">
        <f t="array" ref="AZ6">MATCH(MAX(ABS(AZ3:AZ5)), ABS(AZ3:AZ5), 0)</f>
        <v>3</v>
      </c>
      <c r="BA6" s="2">
        <f t="array" ref="BA6">MATCH(MAX(ABS(BA3:BA5)), ABS(BA3:BA5), 0)</f>
        <v>1</v>
      </c>
      <c r="BB6" s="2">
        <f t="array" ref="BB6">MATCH(MAX(ABS(BB3:BB5)), ABS(BB3:BB5), 0)</f>
        <v>2</v>
      </c>
      <c r="BC6" s="2">
        <f t="array" ref="BC6">MATCH(MAX(ABS(BC3:BC5)), ABS(BC3:BC5), 0)</f>
        <v>1</v>
      </c>
      <c r="BD6" s="2">
        <f t="array" ref="BD6">MATCH(MAX(ABS(BD3:BD5)), ABS(BD3:BD5), 0)</f>
        <v>1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1</v>
      </c>
      <c r="BH6" s="2">
        <f t="array" ref="BH6">MATCH(MAX(ABS(BH3:BH5)), ABS(BH3:BH5), 0)</f>
        <v>1</v>
      </c>
      <c r="BI6" s="2">
        <f t="array" ref="BI6">MATCH(MAX(ABS(BI3:BI5)), ABS(BI3:BI5), 0)</f>
        <v>2</v>
      </c>
      <c r="BJ6" s="2">
        <f t="array" ref="BJ6">MATCH(MAX(ABS(BJ3:BJ5)), ABS(BJ3:BJ5), 0)</f>
        <v>3</v>
      </c>
      <c r="BK6" s="2">
        <f t="array" ref="BK6">MATCH(MAX(ABS(BK3:BK5)), ABS(BK3:BK5), 0)</f>
        <v>3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3</v>
      </c>
      <c r="BR6" s="2">
        <f t="array" ref="BR6">MATCH(MAX(ABS(BR3:BR5)), ABS(BR3:BR5), 0)</f>
        <v>1</v>
      </c>
      <c r="BS6" s="2">
        <f t="array" ref="BS6">MATCH(MAX(ABS(BS3:BS5)), ABS(BS3:BS5), 0)</f>
        <v>3</v>
      </c>
      <c r="BT6" s="2">
        <f t="array" ref="BT6">MATCH(MAX(ABS(BT3:BT5)), ABS(BT3:BT5), 0)</f>
        <v>3</v>
      </c>
      <c r="BU6" s="2">
        <f t="array" ref="BU6">MATCH(MAX(ABS(BU3:BU5)), ABS(BU3:BU5), 0)</f>
        <v>3</v>
      </c>
      <c r="BV6" s="2">
        <f t="array" ref="BV6">MATCH(MAX(ABS(BV3:BV5)), ABS(BV3:BV5), 0)</f>
        <v>3</v>
      </c>
      <c r="BW6" s="2">
        <f t="array" ref="BW6">MATCH(MAX(ABS(BW3:BW5)), ABS(BW3:BW5), 0)</f>
        <v>1</v>
      </c>
      <c r="BX6" s="2">
        <f t="array" ref="BX6">MATCH(MAX(ABS(BX3:BX5)), ABS(BX3:BX5), 0)</f>
        <v>1</v>
      </c>
      <c r="BY6" s="2">
        <f t="array" ref="BY6">MATCH(MAX(ABS(BY3:BY5)), ABS(BY3:BY5), 0)</f>
        <v>2</v>
      </c>
      <c r="BZ6" s="2">
        <f t="array" ref="BZ6">MATCH(MAX(ABS(BZ3:BZ5)), ABS(BZ3:BZ5), 0)</f>
        <v>2</v>
      </c>
      <c r="CA6" s="2">
        <f t="array" ref="CA6">MATCH(MAX(ABS(CA3:CA5)), ABS(CA3:CA5), 0)</f>
        <v>1</v>
      </c>
      <c r="CB6" s="2">
        <f t="array" ref="CB6">MATCH(MAX(ABS(CB3:CB5)), ABS(CB3:CB5), 0)</f>
        <v>1</v>
      </c>
      <c r="CC6" s="2">
        <f t="array" ref="CC6">MATCH(MAX(ABS(CC3:CC5)), ABS(CC3:CC5), 0)</f>
        <v>3</v>
      </c>
      <c r="CD6" s="2">
        <f t="array" ref="CD6">MATCH(MAX(ABS(CD3:CD5)), ABS(CD3:CD5), 0)</f>
        <v>3</v>
      </c>
      <c r="CE6" s="2">
        <f t="array" ref="CE6">MATCH(MAX(ABS(CE3:CE5)), ABS(CE3:CE5), 0)</f>
        <v>1</v>
      </c>
      <c r="CF6" s="2">
        <f t="array" ref="CF6">MATCH(MAX(ABS(CF3:CF5)), ABS(CF3:CF5), 0)</f>
        <v>3</v>
      </c>
      <c r="CG6" s="2">
        <f t="array" ref="CG6">MATCH(MAX(ABS(CG3:CG5)), ABS(CG3:CG5), 0)</f>
        <v>3</v>
      </c>
      <c r="CH6" s="2">
        <f t="array" ref="CH6">MATCH(MAX(ABS(CH3:CH5)), ABS(CH3:CH5), 0)</f>
        <v>3</v>
      </c>
      <c r="CI6" s="2">
        <f t="array" ref="CI6">MATCH(MAX(ABS(CI3:CI5)), ABS(CI3:CI5), 0)</f>
        <v>1</v>
      </c>
      <c r="CJ6" s="2">
        <f t="array" ref="CJ6">MATCH(MAX(ABS(CJ3:CJ5)), ABS(CJ3:CJ5), 0)</f>
        <v>1</v>
      </c>
      <c r="CK6" s="2">
        <f t="array" ref="CK6">MATCH(MAX(ABS(CK3:CK5)), ABS(CK3:CK5), 0)</f>
        <v>3</v>
      </c>
      <c r="CL6" s="2">
        <f t="array" ref="CL6">MATCH(MAX(ABS(CL3:CL5)), ABS(CL3:CL5), 0)</f>
        <v>2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3</v>
      </c>
      <c r="CP6" s="2">
        <f t="array" ref="CP6">MATCH(MAX(ABS(CP3:CP5)), ABS(CP3:CP5), 0)</f>
        <v>3</v>
      </c>
      <c r="CQ6" s="2">
        <f t="array" ref="CQ6">MATCH(MAX(ABS(CQ3:CQ5)), ABS(CQ3:CQ5), 0)</f>
        <v>3</v>
      </c>
      <c r="CR6" s="2">
        <f t="array" ref="CR6">MATCH(MAX(ABS(CR3:CR5)), ABS(CR3:CR5), 0)</f>
        <v>3</v>
      </c>
      <c r="CS6" s="2">
        <f t="array" ref="CS6">MATCH(MAX(ABS(CS3:CS5)), ABS(CS3:CS5), 0)</f>
        <v>2</v>
      </c>
      <c r="CT6" s="2">
        <f t="array" ref="CT6">MATCH(MAX(ABS(CT3:CT5)), ABS(CT3:CT5), 0)</f>
        <v>3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3</v>
      </c>
      <c r="CY6" s="2">
        <f t="array" ref="CY6">MATCH(MAX(ABS(CY3:CY5)), ABS(CY3:CY5), 0)</f>
        <v>3</v>
      </c>
      <c r="CZ6" s="2">
        <f t="array" ref="CZ6">MATCH(MAX(ABS(CZ3:CZ5)), ABS(CZ3:CZ5), 0)</f>
        <v>3</v>
      </c>
      <c r="DA6" s="2">
        <f t="array" ref="DA6">MATCH(MAX(ABS(DA3:DA5)), ABS(DA3:DA5), 0)</f>
        <v>1</v>
      </c>
      <c r="DB6" s="2">
        <f t="array" ref="DB6">MATCH(MAX(ABS(DB3:DB5)), ABS(DB3:DB5), 0)</f>
        <v>1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1</v>
      </c>
      <c r="DF6" s="2">
        <f t="array" ref="DF6">MATCH(MAX(ABS(DF3:DF5)), ABS(DF3:DF5), 0)</f>
        <v>1</v>
      </c>
      <c r="DG6" s="2">
        <f t="array" ref="DG6">MATCH(MAX(ABS(DG3:DG5)), ABS(DG3:DG5), 0)</f>
        <v>3</v>
      </c>
      <c r="DH6" s="2">
        <f t="array" ref="DH6">MATCH(MAX(ABS(DH3:DH5)), ABS(DH3:DH5), 0)</f>
        <v>3</v>
      </c>
      <c r="DI6" s="2">
        <f t="array" ref="DI6">MATCH(MAX(ABS(DI3:DI5)), ABS(DI3:DI5), 0)</f>
        <v>3</v>
      </c>
      <c r="DJ6" s="2">
        <f t="array" ref="DJ6">MATCH(MAX(ABS(DJ3:DJ5)), ABS(DJ3:DJ5), 0)</f>
        <v>3</v>
      </c>
      <c r="DK6" s="2">
        <f t="array" ref="DK6">MATCH(MAX(ABS(DK3:DK5)), ABS(DK3:DK5), 0)</f>
        <v>3</v>
      </c>
      <c r="DL6" s="2">
        <f t="array" ref="DL6">MATCH(MAX(ABS(DL3:DL5)), ABS(DL3:DL5), 0)</f>
        <v>3</v>
      </c>
      <c r="DM6" s="2">
        <f t="array" ref="DM6">MATCH(MAX(ABS(DM3:DM5)), ABS(DM3:DM5), 0)</f>
        <v>3</v>
      </c>
      <c r="DN6" s="2">
        <f t="array" ref="DN6">MATCH(MAX(ABS(DN3:DN5)), ABS(DN3:DN5), 0)</f>
        <v>3</v>
      </c>
      <c r="DO6" s="2">
        <f t="array" ref="DO6">MATCH(MAX(ABS(DO3:DO5)), ABS(DO3:DO5), 0)</f>
        <v>3</v>
      </c>
      <c r="DP6" s="2">
        <f t="array" ref="DP6">MATCH(MAX(ABS(DP3:DP5)), ABS(DP3:DP5), 0)</f>
        <v>1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3</v>
      </c>
      <c r="DT6" s="2">
        <f t="array" ref="DT6">MATCH(MAX(ABS(DT3:DT5)), ABS(DT3:DT5), 0)</f>
        <v>3</v>
      </c>
      <c r="DU6" s="2">
        <f t="array" ref="DU6">MATCH(MAX(ABS(DU3:DU5)), ABS(DU3:DU5), 0)</f>
        <v>3</v>
      </c>
      <c r="DV6" s="2">
        <f t="array" ref="DV6">MATCH(MAX(ABS(DV3:DV5)), ABS(DV3:DV5), 0)</f>
        <v>3</v>
      </c>
      <c r="DW6" s="2">
        <f t="array" ref="DW6">MATCH(MAX(ABS(DW3:DW5)), ABS(DW3:DW5), 0)</f>
        <v>3</v>
      </c>
      <c r="DX6" s="2">
        <f t="array" ref="DX6">MATCH(MAX(ABS(DX3:DX5)), ABS(DX3:DX5), 0)</f>
        <v>2</v>
      </c>
      <c r="DY6" s="2">
        <f t="array" ref="DY6">MATCH(MAX(ABS(DY3:DY5)), ABS(DY3:DY5), 0)</f>
        <v>3</v>
      </c>
      <c r="DZ6" s="2">
        <f t="array" ref="DZ6">MATCH(MAX(ABS(DZ3:DZ5)), ABS(DZ3:DZ5), 0)</f>
        <v>3</v>
      </c>
      <c r="EA6" s="2">
        <f t="array" ref="EA6">MATCH(MAX(ABS(EA3:EA5)), ABS(EA3:EA5), 0)</f>
        <v>2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3</v>
      </c>
      <c r="EE6" s="2">
        <f t="array" ref="EE6">MATCH(MAX(ABS(EE3:EE5)), ABS(EE3:EE5), 0)</f>
        <v>3</v>
      </c>
      <c r="EF6" s="2">
        <f t="array" ref="EF6">MATCH(MAX(ABS(EF3:EF5)), ABS(EF3:EF5), 0)</f>
        <v>2</v>
      </c>
      <c r="EG6" s="2">
        <f t="array" ref="EG6">MATCH(MAX(ABS(EG3:EG5)), ABS(EG3:EG5), 0)</f>
        <v>3</v>
      </c>
      <c r="EH6" s="2">
        <f t="array" ref="EH6">MATCH(MAX(ABS(EH3:EH5)), ABS(EH3:EH5), 0)</f>
        <v>3</v>
      </c>
      <c r="EI6" s="2">
        <f t="array" ref="EI6">MATCH(MAX(ABS(EI3:EI5)), ABS(EI3:EI5), 0)</f>
        <v>3</v>
      </c>
      <c r="EJ6" s="2">
        <f t="array" ref="EJ6">MATCH(MAX(ABS(EJ3:EJ5)), ABS(EJ3:EJ5), 0)</f>
        <v>3</v>
      </c>
      <c r="EK6" s="2">
        <f t="array" ref="EK6">MATCH(MAX(ABS(EK3:EK5)), ABS(EK3:EK5), 0)</f>
        <v>3</v>
      </c>
      <c r="EL6" s="2">
        <f t="array" ref="EL6">MATCH(MAX(ABS(EL3:EL5)), ABS(EL3:EL5), 0)</f>
        <v>2</v>
      </c>
      <c r="EM6" s="2">
        <f t="array" ref="EM6">MATCH(MAX(ABS(EM3:EM5)), ABS(EM3:EM5), 0)</f>
        <v>3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size</v>
      </c>
      <c r="E7" s="2" t="str">
        <f t="shared" si="0"/>
        <v>mom</v>
      </c>
      <c r="F7" s="2" t="str">
        <f t="shared" si="0"/>
        <v>mom</v>
      </c>
      <c r="G7" s="2" t="str">
        <f t="shared" si="0"/>
        <v>mom</v>
      </c>
      <c r="H7" s="2" t="str">
        <f t="shared" si="0"/>
        <v>mom</v>
      </c>
      <c r="I7" s="2" t="str">
        <f t="shared" si="0"/>
        <v>bm</v>
      </c>
      <c r="J7" s="2" t="str">
        <f t="shared" si="0"/>
        <v>bm</v>
      </c>
      <c r="K7" s="2" t="str">
        <f t="shared" si="0"/>
        <v>mom</v>
      </c>
      <c r="L7" s="2" t="str">
        <f t="shared" si="0"/>
        <v>mom</v>
      </c>
      <c r="M7" s="2" t="str">
        <f t="shared" si="0"/>
        <v>mom</v>
      </c>
      <c r="N7" s="2" t="str">
        <f t="shared" si="0"/>
        <v>mom</v>
      </c>
      <c r="O7" s="2" t="str">
        <f t="shared" si="0"/>
        <v>bm</v>
      </c>
      <c r="P7" s="2" t="str">
        <f t="shared" si="0"/>
        <v>mom</v>
      </c>
      <c r="Q7" s="2" t="str">
        <f t="shared" si="0"/>
        <v>bm</v>
      </c>
      <c r="R7" s="2" t="str">
        <f t="shared" si="0"/>
        <v>mom</v>
      </c>
      <c r="S7" s="2" t="str">
        <f t="shared" si="0"/>
        <v>mom</v>
      </c>
      <c r="T7" s="2" t="str">
        <f t="shared" si="0"/>
        <v>mom</v>
      </c>
      <c r="U7" s="2" t="str">
        <f t="shared" si="0"/>
        <v>bm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mom</v>
      </c>
      <c r="Z7" s="2" t="str">
        <f t="shared" si="0"/>
        <v>mom</v>
      </c>
      <c r="AA7" s="2" t="str">
        <f t="shared" si="0"/>
        <v>bm</v>
      </c>
      <c r="AB7" s="2" t="str">
        <f t="shared" si="0"/>
        <v>bm</v>
      </c>
      <c r="AC7" s="2" t="str">
        <f t="shared" si="0"/>
        <v>mom</v>
      </c>
      <c r="AD7" s="2" t="str">
        <f t="shared" si="0"/>
        <v>mom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mom</v>
      </c>
      <c r="AI7" s="2" t="str">
        <f t="shared" ref="AI7:BN7" si="1">IF(AI6=1,"bm",IF(AI6=2,"size",IF(AI6=3,"mom")))</f>
        <v>mom</v>
      </c>
      <c r="AJ7" s="2" t="str">
        <f t="shared" si="1"/>
        <v>mom</v>
      </c>
      <c r="AK7" s="2" t="str">
        <f t="shared" si="1"/>
        <v>bm</v>
      </c>
      <c r="AL7" s="2" t="str">
        <f t="shared" si="1"/>
        <v>bm</v>
      </c>
      <c r="AM7" s="2" t="str">
        <f t="shared" si="1"/>
        <v>size</v>
      </c>
      <c r="AN7" s="2" t="str">
        <f t="shared" si="1"/>
        <v>bm</v>
      </c>
      <c r="AO7" s="2" t="str">
        <f t="shared" si="1"/>
        <v>mom</v>
      </c>
      <c r="AP7" s="2" t="str">
        <f t="shared" si="1"/>
        <v>mom</v>
      </c>
      <c r="AQ7" s="2" t="str">
        <f t="shared" si="1"/>
        <v>mom</v>
      </c>
      <c r="AR7" s="2" t="str">
        <f t="shared" si="1"/>
        <v>mom</v>
      </c>
      <c r="AS7" s="2" t="str">
        <f t="shared" si="1"/>
        <v>mom</v>
      </c>
      <c r="AT7" s="2" t="str">
        <f t="shared" si="1"/>
        <v>mom</v>
      </c>
      <c r="AU7" s="2" t="str">
        <f t="shared" si="1"/>
        <v>mom</v>
      </c>
      <c r="AV7" s="2" t="str">
        <f t="shared" si="1"/>
        <v>size</v>
      </c>
      <c r="AW7" s="2" t="str">
        <f t="shared" si="1"/>
        <v>bm</v>
      </c>
      <c r="AX7" s="2" t="str">
        <f t="shared" si="1"/>
        <v>mom</v>
      </c>
      <c r="AY7" s="2" t="str">
        <f t="shared" si="1"/>
        <v>size</v>
      </c>
      <c r="AZ7" s="2" t="str">
        <f t="shared" si="1"/>
        <v>mom</v>
      </c>
      <c r="BA7" s="2" t="str">
        <f t="shared" si="1"/>
        <v>bm</v>
      </c>
      <c r="BB7" s="2" t="str">
        <f t="shared" si="1"/>
        <v>size</v>
      </c>
      <c r="BC7" s="2" t="str">
        <f t="shared" si="1"/>
        <v>bm</v>
      </c>
      <c r="BD7" s="2" t="str">
        <f t="shared" si="1"/>
        <v>bm</v>
      </c>
      <c r="BE7" s="2" t="str">
        <f t="shared" si="1"/>
        <v>mom</v>
      </c>
      <c r="BF7" s="2" t="str">
        <f t="shared" si="1"/>
        <v>mom</v>
      </c>
      <c r="BG7" s="2" t="str">
        <f t="shared" si="1"/>
        <v>bm</v>
      </c>
      <c r="BH7" s="2" t="str">
        <f t="shared" si="1"/>
        <v>bm</v>
      </c>
      <c r="BI7" s="2" t="str">
        <f t="shared" si="1"/>
        <v>size</v>
      </c>
      <c r="BJ7" s="2" t="str">
        <f t="shared" si="1"/>
        <v>mom</v>
      </c>
      <c r="BK7" s="2" t="str">
        <f t="shared" si="1"/>
        <v>mom</v>
      </c>
      <c r="BL7" s="2" t="str">
        <f t="shared" si="1"/>
        <v>mom</v>
      </c>
      <c r="BM7" s="2" t="str">
        <f t="shared" si="1"/>
        <v>mom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mom</v>
      </c>
      <c r="BR7" s="2" t="str">
        <f t="shared" si="2"/>
        <v>bm</v>
      </c>
      <c r="BS7" s="2" t="str">
        <f t="shared" si="2"/>
        <v>mom</v>
      </c>
      <c r="BT7" s="2" t="str">
        <f t="shared" si="2"/>
        <v>mom</v>
      </c>
      <c r="BU7" s="2" t="str">
        <f t="shared" si="2"/>
        <v>mom</v>
      </c>
      <c r="BV7" s="2" t="str">
        <f t="shared" si="2"/>
        <v>mom</v>
      </c>
      <c r="BW7" s="2" t="str">
        <f t="shared" si="2"/>
        <v>bm</v>
      </c>
      <c r="BX7" s="2" t="str">
        <f t="shared" si="2"/>
        <v>bm</v>
      </c>
      <c r="BY7" s="2" t="str">
        <f t="shared" si="2"/>
        <v>size</v>
      </c>
      <c r="BZ7" s="2" t="str">
        <f t="shared" si="2"/>
        <v>size</v>
      </c>
      <c r="CA7" s="2" t="str">
        <f t="shared" si="2"/>
        <v>bm</v>
      </c>
      <c r="CB7" s="2" t="str">
        <f t="shared" si="2"/>
        <v>bm</v>
      </c>
      <c r="CC7" s="2" t="str">
        <f t="shared" si="2"/>
        <v>mom</v>
      </c>
      <c r="CD7" s="2" t="str">
        <f t="shared" si="2"/>
        <v>mom</v>
      </c>
      <c r="CE7" s="2" t="str">
        <f t="shared" si="2"/>
        <v>bm</v>
      </c>
      <c r="CF7" s="2" t="str">
        <f t="shared" si="2"/>
        <v>mom</v>
      </c>
      <c r="CG7" s="2" t="str">
        <f t="shared" si="2"/>
        <v>mom</v>
      </c>
      <c r="CH7" s="2" t="str">
        <f t="shared" si="2"/>
        <v>mom</v>
      </c>
      <c r="CI7" s="2" t="str">
        <f t="shared" si="2"/>
        <v>bm</v>
      </c>
      <c r="CJ7" s="2" t="str">
        <f t="shared" si="2"/>
        <v>bm</v>
      </c>
      <c r="CK7" s="2" t="str">
        <f t="shared" si="2"/>
        <v>mom</v>
      </c>
      <c r="CL7" s="2" t="str">
        <f t="shared" si="2"/>
        <v>size</v>
      </c>
      <c r="CM7" s="2" t="str">
        <f t="shared" si="2"/>
        <v>bm</v>
      </c>
      <c r="CN7" s="2" t="str">
        <f t="shared" si="2"/>
        <v>bm</v>
      </c>
      <c r="CO7" s="2" t="str">
        <f t="shared" si="2"/>
        <v>mom</v>
      </c>
      <c r="CP7" s="2" t="str">
        <f t="shared" si="2"/>
        <v>mom</v>
      </c>
      <c r="CQ7" s="2" t="str">
        <f t="shared" si="2"/>
        <v>mom</v>
      </c>
      <c r="CR7" s="2" t="str">
        <f t="shared" si="2"/>
        <v>mom</v>
      </c>
      <c r="CS7" s="2" t="str">
        <f t="shared" si="2"/>
        <v>size</v>
      </c>
      <c r="CT7" s="2" t="str">
        <f t="shared" si="2"/>
        <v>mom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mom</v>
      </c>
      <c r="CY7" s="2" t="str">
        <f t="shared" si="3"/>
        <v>mom</v>
      </c>
      <c r="CZ7" s="2" t="str">
        <f t="shared" si="3"/>
        <v>mom</v>
      </c>
      <c r="DA7" s="2" t="str">
        <f t="shared" si="3"/>
        <v>bm</v>
      </c>
      <c r="DB7" s="2" t="str">
        <f t="shared" si="3"/>
        <v>bm</v>
      </c>
      <c r="DC7" s="2" t="str">
        <f t="shared" si="3"/>
        <v>bm</v>
      </c>
      <c r="DD7" s="2" t="str">
        <f t="shared" si="3"/>
        <v>mom</v>
      </c>
      <c r="DE7" s="2" t="str">
        <f t="shared" si="3"/>
        <v>bm</v>
      </c>
      <c r="DF7" s="2" t="str">
        <f t="shared" si="3"/>
        <v>bm</v>
      </c>
      <c r="DG7" s="2" t="str">
        <f t="shared" si="3"/>
        <v>mom</v>
      </c>
      <c r="DH7" s="2" t="str">
        <f t="shared" si="3"/>
        <v>mom</v>
      </c>
      <c r="DI7" s="2" t="str">
        <f t="shared" si="3"/>
        <v>mom</v>
      </c>
      <c r="DJ7" s="2" t="str">
        <f t="shared" si="3"/>
        <v>mom</v>
      </c>
      <c r="DK7" s="2" t="str">
        <f t="shared" si="3"/>
        <v>mom</v>
      </c>
      <c r="DL7" s="2" t="str">
        <f t="shared" si="3"/>
        <v>mom</v>
      </c>
      <c r="DM7" s="2" t="str">
        <f t="shared" si="3"/>
        <v>mom</v>
      </c>
      <c r="DN7" s="2" t="str">
        <f t="shared" si="3"/>
        <v>mom</v>
      </c>
      <c r="DO7" s="2" t="str">
        <f t="shared" si="3"/>
        <v>mom</v>
      </c>
      <c r="DP7" s="2" t="str">
        <f t="shared" si="3"/>
        <v>bm</v>
      </c>
      <c r="DQ7" s="2" t="str">
        <f t="shared" si="3"/>
        <v>mom</v>
      </c>
      <c r="DR7" s="2" t="str">
        <f t="shared" si="3"/>
        <v>bm</v>
      </c>
      <c r="DS7" s="2" t="str">
        <f t="shared" si="3"/>
        <v>mom</v>
      </c>
      <c r="DT7" s="2" t="str">
        <f t="shared" si="3"/>
        <v>mom</v>
      </c>
      <c r="DU7" s="2" t="str">
        <f t="shared" si="3"/>
        <v>mom</v>
      </c>
      <c r="DV7" s="2" t="str">
        <f t="shared" si="3"/>
        <v>mom</v>
      </c>
      <c r="DW7" s="2" t="str">
        <f t="shared" si="3"/>
        <v>mom</v>
      </c>
      <c r="DX7" s="2" t="str">
        <f t="shared" si="3"/>
        <v>size</v>
      </c>
      <c r="DY7" s="2" t="str">
        <f t="shared" si="3"/>
        <v>mom</v>
      </c>
      <c r="DZ7" s="2" t="str">
        <f t="shared" si="3"/>
        <v>mom</v>
      </c>
      <c r="EA7" s="2" t="str">
        <f t="shared" ref="EA7:FF7" si="4">IF(EA6=1,"bm",IF(EA6=2,"size",IF(EA6=3,"mom")))</f>
        <v>size</v>
      </c>
      <c r="EB7" s="2" t="str">
        <f t="shared" si="4"/>
        <v>mom</v>
      </c>
      <c r="EC7" s="2" t="str">
        <f t="shared" si="4"/>
        <v>bm</v>
      </c>
      <c r="ED7" s="2" t="str">
        <f t="shared" si="4"/>
        <v>mom</v>
      </c>
      <c r="EE7" s="2" t="str">
        <f t="shared" si="4"/>
        <v>mom</v>
      </c>
      <c r="EF7" s="2" t="str">
        <f t="shared" si="4"/>
        <v>size</v>
      </c>
      <c r="EG7" s="2" t="str">
        <f t="shared" si="4"/>
        <v>mom</v>
      </c>
      <c r="EH7" s="2" t="str">
        <f t="shared" si="4"/>
        <v>mom</v>
      </c>
      <c r="EI7" s="2" t="str">
        <f t="shared" si="4"/>
        <v>mom</v>
      </c>
      <c r="EJ7" s="2" t="str">
        <f t="shared" si="4"/>
        <v>mom</v>
      </c>
      <c r="EK7" s="2" t="str">
        <f t="shared" si="4"/>
        <v>mom</v>
      </c>
      <c r="EL7" s="2" t="str">
        <f t="shared" si="4"/>
        <v>size</v>
      </c>
      <c r="EM7" s="2" t="str">
        <f t="shared" si="4"/>
        <v>mom</v>
      </c>
    </row>
    <row r="8" spans="1:145" x14ac:dyDescent="0.3">
      <c r="C8" s="2">
        <f t="shared" ref="C8:AH8" si="5">IF(C6=1,C3,IF(C6=2,C4,IF(C6=3,C5)))</f>
        <v>-0.35602255303624453</v>
      </c>
      <c r="D8" s="2">
        <f t="shared" si="5"/>
        <v>-0.24734382193855889</v>
      </c>
      <c r="E8" s="2">
        <f t="shared" si="5"/>
        <v>0.52768591000883824</v>
      </c>
      <c r="F8" s="2">
        <f t="shared" si="5"/>
        <v>9.1621703543451838E-2</v>
      </c>
      <c r="G8" s="2">
        <f t="shared" si="5"/>
        <v>-0.33444541912551767</v>
      </c>
      <c r="H8" s="2">
        <f t="shared" si="5"/>
        <v>0.35557807934338981</v>
      </c>
      <c r="I8" s="2">
        <f t="shared" si="5"/>
        <v>-0.14193848136906101</v>
      </c>
      <c r="J8" s="2">
        <f t="shared" si="5"/>
        <v>0.22945654465299789</v>
      </c>
      <c r="K8" s="2">
        <f t="shared" si="5"/>
        <v>0.37641590593379309</v>
      </c>
      <c r="L8" s="2">
        <f t="shared" si="5"/>
        <v>-0.39095115876105019</v>
      </c>
      <c r="M8" s="2">
        <f t="shared" si="5"/>
        <v>0.16570120474983141</v>
      </c>
      <c r="N8" s="2">
        <f t="shared" si="5"/>
        <v>-0.26143467111761082</v>
      </c>
      <c r="O8" s="2">
        <f t="shared" si="5"/>
        <v>0.32674605046024302</v>
      </c>
      <c r="P8" s="2">
        <f t="shared" si="5"/>
        <v>0.26091415721504319</v>
      </c>
      <c r="Q8" s="2">
        <f t="shared" si="5"/>
        <v>-0.1077953169647555</v>
      </c>
      <c r="R8" s="2">
        <f t="shared" si="5"/>
        <v>-0.13738348482797161</v>
      </c>
      <c r="S8" s="2">
        <f t="shared" si="5"/>
        <v>0.32196519062115619</v>
      </c>
      <c r="T8" s="2">
        <f t="shared" si="5"/>
        <v>0.1577185559806982</v>
      </c>
      <c r="U8" s="2">
        <f t="shared" si="5"/>
        <v>-0.25838402358278728</v>
      </c>
      <c r="V8" s="2">
        <f t="shared" si="5"/>
        <v>0.20272926171313391</v>
      </c>
      <c r="W8" s="2">
        <f t="shared" si="5"/>
        <v>-0.37900040700733478</v>
      </c>
      <c r="X8" s="2">
        <f t="shared" si="5"/>
        <v>-0.17107394554599489</v>
      </c>
      <c r="Y8" s="2">
        <f t="shared" si="5"/>
        <v>-0.6091363947557743</v>
      </c>
      <c r="Z8" s="2">
        <f t="shared" si="5"/>
        <v>-8.7419029003689655E-2</v>
      </c>
      <c r="AA8" s="2">
        <f t="shared" si="5"/>
        <v>0.42374789292198939</v>
      </c>
      <c r="AB8" s="2">
        <f t="shared" si="5"/>
        <v>-0.21459677754992679</v>
      </c>
      <c r="AC8" s="2">
        <f t="shared" si="5"/>
        <v>-0.1144491391906407</v>
      </c>
      <c r="AD8" s="2">
        <f t="shared" si="5"/>
        <v>0.24384130060927259</v>
      </c>
      <c r="AE8" s="2">
        <f t="shared" si="5"/>
        <v>8.2451056568350709E-2</v>
      </c>
      <c r="AF8" s="2">
        <f t="shared" si="5"/>
        <v>0.18824065512069871</v>
      </c>
      <c r="AG8" s="2">
        <f t="shared" si="5"/>
        <v>0.1222387206017722</v>
      </c>
      <c r="AH8" s="2">
        <f t="shared" si="5"/>
        <v>-0.3051658563382863</v>
      </c>
      <c r="AI8" s="2">
        <f t="shared" ref="AI8:BN8" si="6">IF(AI6=1,AI3,IF(AI6=2,AI4,IF(AI6=3,AI5)))</f>
        <v>0.15762471600367869</v>
      </c>
      <c r="AJ8" s="2">
        <f t="shared" si="6"/>
        <v>-0.68021373773600025</v>
      </c>
      <c r="AK8" s="2">
        <f t="shared" si="6"/>
        <v>9.0663364527517804E-2</v>
      </c>
      <c r="AL8" s="2">
        <f t="shared" si="6"/>
        <v>0.19313853511160101</v>
      </c>
      <c r="AM8" s="2">
        <f t="shared" si="6"/>
        <v>-0.1593670046856257</v>
      </c>
      <c r="AN8" s="2">
        <f t="shared" si="6"/>
        <v>0.25612014410100881</v>
      </c>
      <c r="AO8" s="2">
        <f t="shared" si="6"/>
        <v>0.25326788161785452</v>
      </c>
      <c r="AP8" s="2">
        <f t="shared" si="6"/>
        <v>0.20792985272972619</v>
      </c>
      <c r="AQ8" s="2">
        <f t="shared" si="6"/>
        <v>0.26625784896468052</v>
      </c>
      <c r="AR8" s="2">
        <f t="shared" si="6"/>
        <v>9.3532219454879356E-2</v>
      </c>
      <c r="AS8" s="2">
        <f t="shared" si="6"/>
        <v>-0.1422532223975255</v>
      </c>
      <c r="AT8" s="2">
        <f t="shared" si="6"/>
        <v>0.16459019868234889</v>
      </c>
      <c r="AU8" s="2">
        <f t="shared" si="6"/>
        <v>-0.29628044254228481</v>
      </c>
      <c r="AV8" s="2">
        <f t="shared" si="6"/>
        <v>-0.22195205322781139</v>
      </c>
      <c r="AW8" s="2">
        <f t="shared" si="6"/>
        <v>-0.19104490996141851</v>
      </c>
      <c r="AX8" s="2">
        <f t="shared" si="6"/>
        <v>-0.16039194510643379</v>
      </c>
      <c r="AY8" s="2">
        <f t="shared" si="6"/>
        <v>0.12907394968742911</v>
      </c>
      <c r="AZ8" s="2">
        <f t="shared" si="6"/>
        <v>0.23443646192314299</v>
      </c>
      <c r="BA8" s="2">
        <f t="shared" si="6"/>
        <v>0.1659581375266328</v>
      </c>
      <c r="BB8" s="2">
        <f t="shared" si="6"/>
        <v>-0.21525994170681531</v>
      </c>
      <c r="BC8" s="2">
        <f t="shared" si="6"/>
        <v>0.1302099546908265</v>
      </c>
      <c r="BD8" s="2">
        <f t="shared" si="6"/>
        <v>0.20026039215823041</v>
      </c>
      <c r="BE8" s="2">
        <f t="shared" si="6"/>
        <v>0.17767650991380921</v>
      </c>
      <c r="BF8" s="2">
        <f t="shared" si="6"/>
        <v>-0.30632321099993309</v>
      </c>
      <c r="BG8" s="2">
        <f t="shared" si="6"/>
        <v>0.33032254291108359</v>
      </c>
      <c r="BH8" s="2">
        <f t="shared" si="6"/>
        <v>0.31722692640179961</v>
      </c>
      <c r="BI8" s="2">
        <f t="shared" si="6"/>
        <v>-9.9003271360800227E-2</v>
      </c>
      <c r="BJ8" s="2">
        <f t="shared" si="6"/>
        <v>-0.377766382042375</v>
      </c>
      <c r="BK8" s="2">
        <f t="shared" si="6"/>
        <v>0.1710576050513124</v>
      </c>
      <c r="BL8" s="2">
        <f t="shared" si="6"/>
        <v>-0.15901657189760751</v>
      </c>
      <c r="BM8" s="2">
        <f t="shared" si="6"/>
        <v>0.29566311964252062</v>
      </c>
      <c r="BN8" s="2">
        <f t="shared" si="6"/>
        <v>6.1035782377288413E-2</v>
      </c>
      <c r="BO8" s="2">
        <f t="shared" ref="BO8:CT8" si="7">IF(BO6=1,BO3,IF(BO6=2,BO4,IF(BO6=3,BO5)))</f>
        <v>-0.21386733455172441</v>
      </c>
      <c r="BP8" s="2">
        <f t="shared" si="7"/>
        <v>0.18539731380876759</v>
      </c>
      <c r="BQ8" s="2">
        <f t="shared" si="7"/>
        <v>-0.2644041519976843</v>
      </c>
      <c r="BR8" s="2">
        <f t="shared" si="7"/>
        <v>0.28168982471721238</v>
      </c>
      <c r="BS8" s="2">
        <f t="shared" si="7"/>
        <v>9.3255604107027268E-2</v>
      </c>
      <c r="BT8" s="2">
        <f t="shared" si="7"/>
        <v>0.25391019577751839</v>
      </c>
      <c r="BU8" s="2">
        <f t="shared" si="7"/>
        <v>-0.2208865037169013</v>
      </c>
      <c r="BV8" s="2">
        <f t="shared" si="7"/>
        <v>0.1113375442569535</v>
      </c>
      <c r="BW8" s="2">
        <f t="shared" si="7"/>
        <v>6.6547110474733912E-2</v>
      </c>
      <c r="BX8" s="2">
        <f t="shared" si="7"/>
        <v>-0.1096838899370035</v>
      </c>
      <c r="BY8" s="2">
        <f t="shared" si="7"/>
        <v>-0.1549745966812619</v>
      </c>
      <c r="BZ8" s="2">
        <f t="shared" si="7"/>
        <v>0.17456977446855679</v>
      </c>
      <c r="CA8" s="2">
        <f t="shared" si="7"/>
        <v>-5.0171625061092177E-2</v>
      </c>
      <c r="CB8" s="2">
        <f t="shared" si="7"/>
        <v>-7.0239615583515547E-2</v>
      </c>
      <c r="CC8" s="2">
        <f t="shared" si="7"/>
        <v>-0.28837910471559852</v>
      </c>
      <c r="CD8" s="2">
        <f t="shared" si="7"/>
        <v>0.34067466598778878</v>
      </c>
      <c r="CE8" s="2">
        <f t="shared" si="7"/>
        <v>0.21131661843971669</v>
      </c>
      <c r="CF8" s="2">
        <f t="shared" si="7"/>
        <v>-0.1296863733007578</v>
      </c>
      <c r="CG8" s="2">
        <f t="shared" si="7"/>
        <v>0.15976746637967629</v>
      </c>
      <c r="CH8" s="2">
        <f t="shared" si="7"/>
        <v>-0.23825235796998209</v>
      </c>
      <c r="CI8" s="2">
        <f t="shared" si="7"/>
        <v>0.22258294087819999</v>
      </c>
      <c r="CJ8" s="2">
        <f t="shared" si="7"/>
        <v>-0.28268220919664089</v>
      </c>
      <c r="CK8" s="2">
        <f t="shared" si="7"/>
        <v>9.3012092996989273E-2</v>
      </c>
      <c r="CL8" s="2">
        <f t="shared" si="7"/>
        <v>-0.1089911061285367</v>
      </c>
      <c r="CM8" s="2">
        <f t="shared" si="7"/>
        <v>0.27379286416098292</v>
      </c>
      <c r="CN8" s="2">
        <f t="shared" si="7"/>
        <v>-0.39000662146638571</v>
      </c>
      <c r="CO8" s="2">
        <f t="shared" si="7"/>
        <v>0.62382678445663653</v>
      </c>
      <c r="CP8" s="2">
        <f t="shared" si="7"/>
        <v>9.8069367239007818E-2</v>
      </c>
      <c r="CQ8" s="2">
        <f t="shared" si="7"/>
        <v>-0.34398023521672633</v>
      </c>
      <c r="CR8" s="2">
        <f t="shared" si="7"/>
        <v>0.23965589513689431</v>
      </c>
      <c r="CS8" s="2">
        <f t="shared" si="7"/>
        <v>-0.20790819007173231</v>
      </c>
      <c r="CT8" s="2">
        <f t="shared" si="7"/>
        <v>0.20917057102557721</v>
      </c>
      <c r="CU8" s="2">
        <f t="shared" ref="CU8:DZ8" si="8">IF(CU6=1,CU3,IF(CU6=2,CU4,IF(CU6=3,CU5)))</f>
        <v>-0.13994756491628749</v>
      </c>
      <c r="CV8" s="2">
        <f t="shared" si="8"/>
        <v>-0.14628801332363431</v>
      </c>
      <c r="CW8" s="2">
        <f t="shared" si="8"/>
        <v>0.31017320529162662</v>
      </c>
      <c r="CX8" s="2">
        <f t="shared" si="8"/>
        <v>0.25353915592821968</v>
      </c>
      <c r="CY8" s="2">
        <f t="shared" si="8"/>
        <v>-0.79527742145542657</v>
      </c>
      <c r="CZ8" s="2">
        <f t="shared" si="8"/>
        <v>0.80355177224477214</v>
      </c>
      <c r="DA8" s="2">
        <f t="shared" si="8"/>
        <v>0.25668575080604511</v>
      </c>
      <c r="DB8" s="2">
        <f t="shared" si="8"/>
        <v>-0.16423592993500721</v>
      </c>
      <c r="DC8" s="2">
        <f t="shared" si="8"/>
        <v>-0.25891871236192893</v>
      </c>
      <c r="DD8" s="2">
        <f t="shared" si="8"/>
        <v>-0.2347694823541964</v>
      </c>
      <c r="DE8" s="2">
        <f t="shared" si="8"/>
        <v>0.16039046409100291</v>
      </c>
      <c r="DF8" s="2">
        <f t="shared" si="8"/>
        <v>-0.1125151400819166</v>
      </c>
      <c r="DG8" s="2">
        <f t="shared" si="8"/>
        <v>-0.50647317879216458</v>
      </c>
      <c r="DH8" s="2">
        <f t="shared" si="8"/>
        <v>0.17758880086016901</v>
      </c>
      <c r="DI8" s="2">
        <f t="shared" si="8"/>
        <v>0.24345215756039101</v>
      </c>
      <c r="DJ8" s="2">
        <f t="shared" si="8"/>
        <v>-0.63199691128278157</v>
      </c>
      <c r="DK8" s="2">
        <f t="shared" si="8"/>
        <v>0.76553812905546981</v>
      </c>
      <c r="DL8" s="2">
        <f t="shared" si="8"/>
        <v>0.1134987555126632</v>
      </c>
      <c r="DM8" s="2">
        <f t="shared" si="8"/>
        <v>-0.45407241147436012</v>
      </c>
      <c r="DN8" s="2">
        <f t="shared" si="8"/>
        <v>0.5381646260587134</v>
      </c>
      <c r="DO8" s="2">
        <f t="shared" si="8"/>
        <v>-0.26009015152361792</v>
      </c>
      <c r="DP8" s="2">
        <f t="shared" si="8"/>
        <v>0.16589996047491321</v>
      </c>
      <c r="DQ8" s="2">
        <f t="shared" si="8"/>
        <v>-0.20285821236619811</v>
      </c>
      <c r="DR8" s="2">
        <f t="shared" si="8"/>
        <v>-5.3222765204426259E-2</v>
      </c>
      <c r="DS8" s="2">
        <f t="shared" si="8"/>
        <v>-0.16671516537849729</v>
      </c>
      <c r="DT8" s="2">
        <f t="shared" si="8"/>
        <v>0.33878844679546338</v>
      </c>
      <c r="DU8" s="2">
        <f t="shared" si="8"/>
        <v>-0.59979946723464084</v>
      </c>
      <c r="DV8" s="2">
        <f t="shared" si="8"/>
        <v>0.83514380187623793</v>
      </c>
      <c r="DW8" s="2">
        <f t="shared" si="8"/>
        <v>-9.255748547327998E-2</v>
      </c>
      <c r="DX8" s="2">
        <f t="shared" si="8"/>
        <v>-0.1453929875597364</v>
      </c>
      <c r="DY8" s="2">
        <f t="shared" si="8"/>
        <v>0.4235750632459292</v>
      </c>
      <c r="DZ8" s="2">
        <f t="shared" si="8"/>
        <v>0.30902986430062002</v>
      </c>
      <c r="EA8" s="2">
        <f t="shared" ref="EA8:EM8" si="9">IF(EA6=1,EA3,IF(EA6=2,EA4,IF(EA6=3,EA5)))</f>
        <v>-0.25996993215089498</v>
      </c>
      <c r="EB8" s="2">
        <f t="shared" si="9"/>
        <v>-0.89458161361561928</v>
      </c>
      <c r="EC8" s="2">
        <f t="shared" si="9"/>
        <v>-8.3944738981710995E-2</v>
      </c>
      <c r="ED8" s="2">
        <f t="shared" si="9"/>
        <v>-0.19737598163049891</v>
      </c>
      <c r="EE8" s="2">
        <f t="shared" si="9"/>
        <v>0.32955546848400757</v>
      </c>
      <c r="EF8" s="2">
        <f t="shared" si="9"/>
        <v>0.17540569835811759</v>
      </c>
      <c r="EG8" s="2">
        <f t="shared" si="9"/>
        <v>0.41590935608064328</v>
      </c>
      <c r="EH8" s="2">
        <f t="shared" si="9"/>
        <v>-0.1780246200952896</v>
      </c>
      <c r="EI8" s="2">
        <f t="shared" si="9"/>
        <v>-0.30056728540568339</v>
      </c>
      <c r="EJ8" s="2">
        <f t="shared" si="9"/>
        <v>0.3783868000433685</v>
      </c>
      <c r="EK8" s="2">
        <f t="shared" si="9"/>
        <v>-0.30609793068418661</v>
      </c>
      <c r="EL8" s="2">
        <f t="shared" si="9"/>
        <v>0.19398234319787019</v>
      </c>
      <c r="EM8" s="2">
        <f t="shared" si="9"/>
        <v>-0.61002274929031197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7">
        <v>10</v>
      </c>
      <c r="B12" s="17">
        <f t="shared" ref="B12:B24" si="10">ROUND($D$10/A12,0)</f>
        <v>105</v>
      </c>
      <c r="C12" s="3">
        <v>6.6123725509230347E-3</v>
      </c>
      <c r="D12" s="3">
        <v>0.1028237995655711</v>
      </c>
      <c r="E12" s="3">
        <v>6.936129390695169E-3</v>
      </c>
      <c r="F12" s="3">
        <v>-2.5555902348713851E-2</v>
      </c>
      <c r="G12" s="3">
        <v>-3.2772759918979898E-2</v>
      </c>
      <c r="H12" s="3">
        <v>7.7110227287558236E-3</v>
      </c>
      <c r="I12" s="3">
        <v>-4.6611964090252929E-2</v>
      </c>
      <c r="J12" s="3">
        <v>5.6681659589527762E-2</v>
      </c>
      <c r="K12" s="3">
        <v>7.9784154096145636E-3</v>
      </c>
      <c r="L12" s="3">
        <v>-8.4970380289747793E-4</v>
      </c>
      <c r="M12" s="3">
        <v>3.4064795266103093E-2</v>
      </c>
      <c r="N12" s="3">
        <v>2.168996563821278E-2</v>
      </c>
      <c r="O12" s="3">
        <v>2.9448988497188439E-2</v>
      </c>
      <c r="P12" s="3">
        <v>4.4547074654844683E-3</v>
      </c>
      <c r="Q12" s="3">
        <v>2.22392380046798E-2</v>
      </c>
      <c r="R12" s="3">
        <v>-1.315971541982847E-2</v>
      </c>
      <c r="S12" s="3">
        <v>4.0481855983298447E-2</v>
      </c>
      <c r="T12" s="3">
        <v>4.7307127974092249E-2</v>
      </c>
      <c r="U12" s="3">
        <v>1.0351973710238939E-2</v>
      </c>
      <c r="V12" s="3">
        <v>2.553853060319855E-3</v>
      </c>
      <c r="W12" s="3">
        <v>3.3108214591750208E-2</v>
      </c>
      <c r="X12" s="3">
        <v>-4.6210240510284703E-2</v>
      </c>
      <c r="Y12" s="3">
        <v>-3.6721622506908087E-2</v>
      </c>
      <c r="Z12" s="3">
        <v>4.9358807324568821E-2</v>
      </c>
      <c r="AA12" s="3">
        <v>-3.2908237706232552E-2</v>
      </c>
      <c r="AB12" s="3">
        <v>-3.110179415238612E-2</v>
      </c>
      <c r="AC12" s="3">
        <v>5.0074104694363658E-2</v>
      </c>
      <c r="AD12" s="3">
        <v>1.2076822520636179E-2</v>
      </c>
      <c r="AE12" s="3">
        <v>4.4953943786551237E-2</v>
      </c>
      <c r="AF12" s="3">
        <v>-5.0075683715259417E-2</v>
      </c>
      <c r="AG12" s="3">
        <v>3.765715262583455E-2</v>
      </c>
      <c r="AH12" s="3">
        <v>3.9118599745391926E-3</v>
      </c>
      <c r="AI12" s="3">
        <v>7.7407002463763114E-3</v>
      </c>
      <c r="AJ12" s="3">
        <v>9.9384493824954002E-3</v>
      </c>
      <c r="AK12" s="3">
        <v>4.1114693252788923E-2</v>
      </c>
      <c r="AL12" s="3">
        <v>9.6239898747781175E-3</v>
      </c>
      <c r="AM12" s="3">
        <v>1.3098317773041551E-2</v>
      </c>
      <c r="AN12" s="3">
        <v>5.9852191203249902E-2</v>
      </c>
      <c r="AO12" s="3">
        <v>2.8904675764925891E-2</v>
      </c>
      <c r="AP12" s="3">
        <v>1.4428946119817709E-2</v>
      </c>
      <c r="AQ12" s="3">
        <v>-1.4732133756920059E-2</v>
      </c>
      <c r="AR12" s="3">
        <v>7.0017903250165214E-3</v>
      </c>
      <c r="AS12" s="3">
        <v>-2.9038603307229179E-2</v>
      </c>
      <c r="AT12" s="3">
        <v>7.1815369298134549E-2</v>
      </c>
      <c r="AU12" s="3">
        <v>1.70863755834543E-2</v>
      </c>
      <c r="AV12" s="3">
        <v>-2.6560411482116179E-2</v>
      </c>
      <c r="AW12" s="3">
        <v>5.4095929533519542E-3</v>
      </c>
      <c r="AX12" s="3">
        <v>5.579031389003495E-2</v>
      </c>
      <c r="AY12" s="3">
        <v>-3.432570797651139E-3</v>
      </c>
      <c r="AZ12" s="3">
        <v>-1.316416962548024E-2</v>
      </c>
      <c r="BA12" s="3">
        <v>4.9042623580592033E-3</v>
      </c>
      <c r="BB12" s="3">
        <v>1.042470915910938E-3</v>
      </c>
      <c r="BC12" s="3">
        <v>3.7833203905467132E-3</v>
      </c>
      <c r="BD12" s="3">
        <v>1.484794905647357E-2</v>
      </c>
      <c r="BE12" s="3">
        <v>-2.762067662305558E-2</v>
      </c>
      <c r="BF12" s="3">
        <v>4.5781102257072909E-2</v>
      </c>
      <c r="BG12" s="3">
        <v>3.4757242281770642E-2</v>
      </c>
      <c r="BH12" s="3">
        <v>1.6626870373145339E-2</v>
      </c>
      <c r="BI12" s="3">
        <v>3.0132926853398152E-2</v>
      </c>
      <c r="BJ12" s="3">
        <v>1.8973352889710929E-2</v>
      </c>
      <c r="BK12" s="3">
        <v>-1.298259248506606E-2</v>
      </c>
      <c r="BL12" s="3">
        <v>2.712414577953173E-2</v>
      </c>
      <c r="BM12" s="3">
        <v>4.030159961880006E-2</v>
      </c>
      <c r="BN12" s="3">
        <v>1.1793423495001541E-2</v>
      </c>
      <c r="BO12" s="3">
        <v>-2.4587825224843561E-2</v>
      </c>
      <c r="BP12" s="3">
        <v>-1.2482492910663541E-2</v>
      </c>
      <c r="BQ12" s="3">
        <v>2.6141373171628519E-2</v>
      </c>
      <c r="BR12" s="3">
        <v>-5.8061681396759917E-3</v>
      </c>
      <c r="BS12" s="3">
        <v>-2.9803010278608589E-2</v>
      </c>
      <c r="BT12" s="3">
        <v>8.8135110723658559E-3</v>
      </c>
      <c r="BU12" s="3">
        <v>-2.3707871071048759E-2</v>
      </c>
      <c r="BV12" s="3">
        <v>-3.4554758136680172E-2</v>
      </c>
      <c r="BW12" s="3">
        <v>-9.9389271929126444E-3</v>
      </c>
      <c r="BX12" s="3">
        <v>-7.1965923770129468E-3</v>
      </c>
      <c r="BY12" s="3">
        <v>-5.1109522839207937E-2</v>
      </c>
      <c r="BZ12" s="3">
        <v>-7.0500167289666293E-3</v>
      </c>
      <c r="CA12" s="3">
        <v>3.3013411038820183E-2</v>
      </c>
      <c r="CB12" s="3">
        <v>8.5370485609693736E-3</v>
      </c>
      <c r="CC12" s="3">
        <v>-1.9545734350855711E-2</v>
      </c>
      <c r="CD12" s="3">
        <v>-5.210353796495764E-2</v>
      </c>
      <c r="CE12" s="3">
        <v>1.443753877649045E-2</v>
      </c>
      <c r="CF12" s="3">
        <v>1.115058491304719E-2</v>
      </c>
      <c r="CG12" s="3">
        <v>-4.9661345934379403E-2</v>
      </c>
      <c r="CH12" s="3">
        <v>1.541045895674119E-2</v>
      </c>
      <c r="CI12" s="3">
        <v>-3.0588249323561779E-2</v>
      </c>
      <c r="CJ12" s="3">
        <v>-1.0480510665371159E-2</v>
      </c>
      <c r="CK12" s="3">
        <v>6.0243583687149653E-2</v>
      </c>
      <c r="CL12" s="3">
        <v>3.333375784360719E-2</v>
      </c>
      <c r="CM12" s="3">
        <v>-3.2046777892736168E-2</v>
      </c>
      <c r="CN12" s="3">
        <v>3.2484644992415608E-2</v>
      </c>
      <c r="CO12" s="3">
        <v>-2.1696127838307568E-2</v>
      </c>
      <c r="CP12" s="3">
        <v>-8.5422085968391709E-3</v>
      </c>
      <c r="CQ12" s="3">
        <v>5.7210856477400672E-2</v>
      </c>
      <c r="CR12" s="3">
        <v>-4.2506736615168697E-2</v>
      </c>
      <c r="CS12" s="3">
        <v>5.7260432716035939E-3</v>
      </c>
      <c r="CT12" s="3">
        <v>-6.5087136655097647E-3</v>
      </c>
      <c r="CU12" s="3">
        <v>7.6750601305556526E-2</v>
      </c>
      <c r="CV12" s="3">
        <v>-6.8454072713461059E-2</v>
      </c>
      <c r="CW12" s="3">
        <v>2.5947070250701171E-2</v>
      </c>
      <c r="CX12" s="3">
        <v>-2.0872196079783519E-2</v>
      </c>
      <c r="CY12" s="3">
        <v>-2.6011705475452819E-2</v>
      </c>
      <c r="CZ12" s="3">
        <v>-1.8595611826701951E-2</v>
      </c>
      <c r="DA12" s="3">
        <v>1.6198001238338599E-2</v>
      </c>
      <c r="DB12" s="3">
        <v>1.6189169343882519E-2</v>
      </c>
      <c r="DC12" s="3">
        <v>-3.0502687371468249E-2</v>
      </c>
      <c r="DD12" s="3">
        <v>5.9350421706332757E-2</v>
      </c>
      <c r="DE12" s="3">
        <v>-1.9664544265514169E-2</v>
      </c>
      <c r="DF12" s="3">
        <v>-1.192974484279086E-2</v>
      </c>
      <c r="DG12" s="3">
        <v>4.0651814260413102E-2</v>
      </c>
      <c r="DH12" s="3">
        <v>3.2542249234386901E-2</v>
      </c>
      <c r="DI12" s="3">
        <v>1.9823714430408319E-2</v>
      </c>
      <c r="DJ12" s="3">
        <v>-3.0361892393545718E-2</v>
      </c>
      <c r="DK12" s="3">
        <v>1.310404094704023E-2</v>
      </c>
      <c r="DL12" s="3">
        <v>2.6113586563583091E-2</v>
      </c>
      <c r="DM12" s="3">
        <v>-1.8296611990327508E-2</v>
      </c>
      <c r="DN12" s="3">
        <v>-1.0013210955636139E-2</v>
      </c>
      <c r="DO12" s="3">
        <v>2.337564400492867E-2</v>
      </c>
      <c r="DP12" s="3">
        <v>3.591564094969673E-2</v>
      </c>
      <c r="DQ12" s="3">
        <v>-6.1902356426025963E-2</v>
      </c>
      <c r="DR12" s="3">
        <v>-2.1610691704086211E-2</v>
      </c>
      <c r="DS12" s="3">
        <v>-4.987647434164183E-2</v>
      </c>
      <c r="DT12" s="3">
        <v>2.6928946729697392E-2</v>
      </c>
      <c r="DU12" s="3">
        <v>-3.6995823685585051E-2</v>
      </c>
      <c r="DV12" s="3">
        <v>-7.7033856061469739E-3</v>
      </c>
      <c r="DW12" s="3">
        <v>-3.1931752825577822E-3</v>
      </c>
      <c r="DX12" s="3">
        <v>3.7626044642679539E-2</v>
      </c>
      <c r="DY12" s="3">
        <v>2.9637669561612439E-2</v>
      </c>
      <c r="DZ12" s="3">
        <v>2.0580452061095659E-2</v>
      </c>
      <c r="EA12" s="3">
        <v>5.1998138291262541E-2</v>
      </c>
      <c r="EB12" s="3">
        <v>2.8071677153619259E-2</v>
      </c>
      <c r="EC12" s="3">
        <v>-2.6194942478787241E-2</v>
      </c>
      <c r="ED12" s="3">
        <v>-8.6467298786909383E-3</v>
      </c>
      <c r="EE12" s="3">
        <v>-2.0693033667410279E-2</v>
      </c>
      <c r="EF12" s="3">
        <v>-2.1832482433882229E-2</v>
      </c>
      <c r="EG12" s="3">
        <v>-2.9207236096195719E-2</v>
      </c>
      <c r="EH12" s="3">
        <v>1.974026137920324E-2</v>
      </c>
      <c r="EI12" s="3">
        <v>-5.9080638856107912E-3</v>
      </c>
      <c r="EJ12" s="3">
        <v>-1.122498184769539E-2</v>
      </c>
      <c r="EK12" s="3">
        <v>1.219999441629991E-2</v>
      </c>
      <c r="EL12" s="3">
        <v>-1.677271736884987E-2</v>
      </c>
      <c r="EM12">
        <f t="shared" ref="EM12:EM24" si="11">AVERAGE(C12:EL12)</f>
        <v>4.5979896493456955E-3</v>
      </c>
      <c r="EN12">
        <f t="shared" ref="EN12:EN25" si="12">STDEV(C12:EL12)</f>
        <v>3.145944177822517E-2</v>
      </c>
      <c r="EO12">
        <f t="shared" ref="EO12:EO25" si="13">EM12/EN12</f>
        <v>0.1461561105171364</v>
      </c>
    </row>
    <row r="13" spans="1:145" x14ac:dyDescent="0.3">
      <c r="A13" s="17">
        <v>20</v>
      </c>
      <c r="B13" s="17">
        <f t="shared" si="10"/>
        <v>53</v>
      </c>
      <c r="C13" s="3">
        <v>-2.5000369039076591E-2</v>
      </c>
      <c r="D13" s="3">
        <v>8.3505281944260726E-2</v>
      </c>
      <c r="E13" s="3">
        <v>2.7788572672597278E-3</v>
      </c>
      <c r="F13" s="3">
        <v>-2.2957359340524879E-2</v>
      </c>
      <c r="G13" s="3">
        <v>-1.6784223847264679E-2</v>
      </c>
      <c r="H13" s="3">
        <v>8.3779433919300463E-3</v>
      </c>
      <c r="I13" s="3">
        <v>-4.943610168148227E-2</v>
      </c>
      <c r="J13" s="3">
        <v>5.9989715914165423E-2</v>
      </c>
      <c r="K13" s="3">
        <v>3.5937945127303923E-2</v>
      </c>
      <c r="L13" s="3">
        <v>-3.0337316201105718E-3</v>
      </c>
      <c r="M13" s="3">
        <v>1.4532356499670031E-2</v>
      </c>
      <c r="N13" s="3">
        <v>4.7869979341817727E-2</v>
      </c>
      <c r="O13" s="3">
        <v>3.4772854219425858E-2</v>
      </c>
      <c r="P13" s="3">
        <v>6.7626332234616915E-4</v>
      </c>
      <c r="Q13" s="3">
        <v>3.2540535076329688E-2</v>
      </c>
      <c r="R13" s="3">
        <v>-9.1262390437819342E-3</v>
      </c>
      <c r="S13" s="3">
        <v>6.7239971359634526E-2</v>
      </c>
      <c r="T13" s="3">
        <v>7.0405105572706045E-2</v>
      </c>
      <c r="U13" s="3">
        <v>5.0674585327190658E-2</v>
      </c>
      <c r="V13" s="3">
        <v>3.4322849657213582E-3</v>
      </c>
      <c r="W13" s="3">
        <v>1.759060101918378E-2</v>
      </c>
      <c r="X13" s="3">
        <v>-6.2214171126705547E-2</v>
      </c>
      <c r="Y13" s="3">
        <v>-8.6469070913013785E-3</v>
      </c>
      <c r="Z13" s="3">
        <v>5.9697424026507503E-2</v>
      </c>
      <c r="AA13" s="3">
        <v>-2.7857005113218439E-2</v>
      </c>
      <c r="AB13" s="3">
        <v>-4.5772412504608451E-2</v>
      </c>
      <c r="AC13" s="3">
        <v>5.3020261002784598E-2</v>
      </c>
      <c r="AD13" s="3">
        <v>6.4663371653198298E-3</v>
      </c>
      <c r="AE13" s="3">
        <v>6.591872630119848E-2</v>
      </c>
      <c r="AF13" s="3">
        <v>-6.7638221601691306E-2</v>
      </c>
      <c r="AG13" s="3">
        <v>4.3719681480949388E-2</v>
      </c>
      <c r="AH13" s="3">
        <v>1.237324317474315E-2</v>
      </c>
      <c r="AI13" s="3">
        <v>1.9590206925445809E-2</v>
      </c>
      <c r="AJ13" s="3">
        <v>1.561965474475247E-2</v>
      </c>
      <c r="AK13" s="3">
        <v>6.3693124550481303E-2</v>
      </c>
      <c r="AL13" s="3">
        <v>5.2251369702858586E-3</v>
      </c>
      <c r="AM13" s="3">
        <v>-5.3863945563431652E-3</v>
      </c>
      <c r="AN13" s="3">
        <v>9.6939841924799333E-2</v>
      </c>
      <c r="AO13" s="3">
        <v>3.1449631640308673E-2</v>
      </c>
      <c r="AP13" s="3">
        <v>9.3401490547020544E-3</v>
      </c>
      <c r="AQ13" s="3">
        <v>-1.5937379863784452E-2</v>
      </c>
      <c r="AR13" s="3">
        <v>3.047074072696282E-3</v>
      </c>
      <c r="AS13" s="3">
        <v>-3.4877568004709689E-2</v>
      </c>
      <c r="AT13" s="3">
        <v>9.4929151988845523E-2</v>
      </c>
      <c r="AU13" s="3">
        <v>3.0948433863322879E-2</v>
      </c>
      <c r="AV13" s="3">
        <v>-3.1979164171411827E-2</v>
      </c>
      <c r="AW13" s="3">
        <v>2.6876548571194161E-3</v>
      </c>
      <c r="AX13" s="3">
        <v>5.210077315508603E-2</v>
      </c>
      <c r="AY13" s="3">
        <v>7.1781547730175171E-3</v>
      </c>
      <c r="AZ13" s="3">
        <v>-1.134346817668464E-2</v>
      </c>
      <c r="BA13" s="3">
        <v>1.0876447369980091E-2</v>
      </c>
      <c r="BB13" s="3">
        <v>8.6337870465191726E-3</v>
      </c>
      <c r="BC13" s="3">
        <v>6.1704012924434642E-3</v>
      </c>
      <c r="BD13" s="3">
        <v>1.4702755572271719E-2</v>
      </c>
      <c r="BE13" s="3">
        <v>-3.6756945291437193E-2</v>
      </c>
      <c r="BF13" s="3">
        <v>0.1052809874119202</v>
      </c>
      <c r="BG13" s="3">
        <v>4.0793748775259292E-2</v>
      </c>
      <c r="BH13" s="3">
        <v>1.680920942110567E-2</v>
      </c>
      <c r="BI13" s="3">
        <v>4.4626637226986211E-2</v>
      </c>
      <c r="BJ13" s="3">
        <v>1.437935531144139E-2</v>
      </c>
      <c r="BK13" s="3">
        <v>-2.8196912752598891E-2</v>
      </c>
      <c r="BL13" s="3">
        <v>3.8941058780349737E-2</v>
      </c>
      <c r="BM13" s="3">
        <v>4.6612515564975428E-2</v>
      </c>
      <c r="BN13" s="3">
        <v>4.387547147273926E-3</v>
      </c>
      <c r="BO13" s="3">
        <v>-4.1090334773843627E-2</v>
      </c>
      <c r="BP13" s="3">
        <v>-5.3202148200600721E-3</v>
      </c>
      <c r="BQ13" s="3">
        <v>9.7590206030102704E-3</v>
      </c>
      <c r="BR13" s="3">
        <v>-5.9375523757729393E-3</v>
      </c>
      <c r="BS13" s="3">
        <v>-3.4048716358733452E-2</v>
      </c>
      <c r="BT13" s="3">
        <v>-5.0253781744752993E-3</v>
      </c>
      <c r="BU13" s="3">
        <v>-2.4516316516098369E-2</v>
      </c>
      <c r="BV13" s="3">
        <v>-4.9478740935611401E-2</v>
      </c>
      <c r="BW13" s="3">
        <v>5.6458346899181111E-4</v>
      </c>
      <c r="BX13" s="3">
        <v>-1.5755333566071891E-2</v>
      </c>
      <c r="BY13" s="3">
        <v>-4.8846200088265852E-2</v>
      </c>
      <c r="BZ13" s="3">
        <v>-2.4459567102379509E-3</v>
      </c>
      <c r="CA13" s="3">
        <v>2.6303578185823209E-2</v>
      </c>
      <c r="CB13" s="3">
        <v>2.79565611469989E-2</v>
      </c>
      <c r="CC13" s="3">
        <v>1.0716720914463599E-3</v>
      </c>
      <c r="CD13" s="3">
        <v>3.185754501995632E-3</v>
      </c>
      <c r="CE13" s="3">
        <v>1.5735213891371901E-2</v>
      </c>
      <c r="CF13" s="3">
        <v>2.9119201850234481E-2</v>
      </c>
      <c r="CG13" s="3">
        <v>-4.9202652743660917E-2</v>
      </c>
      <c r="CH13" s="3">
        <v>8.4016717240530808E-3</v>
      </c>
      <c r="CI13" s="3">
        <v>-5.0093246397575307E-2</v>
      </c>
      <c r="CJ13" s="3">
        <v>2.09059253114105E-3</v>
      </c>
      <c r="CK13" s="3">
        <v>6.5517118371520411E-2</v>
      </c>
      <c r="CL13" s="3">
        <v>3.3705432912417302E-2</v>
      </c>
      <c r="CM13" s="3">
        <v>-3.4989394109715542E-2</v>
      </c>
      <c r="CN13" s="3">
        <v>3.7478846520031493E-2</v>
      </c>
      <c r="CO13" s="3">
        <v>-4.3873849832557758E-2</v>
      </c>
      <c r="CP13" s="3">
        <v>1.45402505454446E-2</v>
      </c>
      <c r="CQ13" s="3">
        <v>5.6641732139420711E-2</v>
      </c>
      <c r="CR13" s="3">
        <v>-6.0502724472655402E-2</v>
      </c>
      <c r="CS13" s="3">
        <v>3.231006454866073E-3</v>
      </c>
      <c r="CT13" s="3">
        <v>-8.5284682463838482E-3</v>
      </c>
      <c r="CU13" s="3">
        <v>0.11178805156709901</v>
      </c>
      <c r="CV13" s="3">
        <v>-7.6907356213282624E-2</v>
      </c>
      <c r="CW13" s="3">
        <v>3.3795594047858958E-2</v>
      </c>
      <c r="CX13" s="3">
        <v>-3.041592508760484E-2</v>
      </c>
      <c r="CY13" s="3">
        <v>-5.6233685908411518E-2</v>
      </c>
      <c r="CZ13" s="3">
        <v>-6.422732788920596E-3</v>
      </c>
      <c r="DA13" s="3">
        <v>1.6517969898326941E-2</v>
      </c>
      <c r="DB13" s="3">
        <v>3.7525834629814493E-2</v>
      </c>
      <c r="DC13" s="3">
        <v>-2.516539273218844E-2</v>
      </c>
      <c r="DD13" s="3">
        <v>7.1693271991635873E-2</v>
      </c>
      <c r="DE13" s="3">
        <v>-1.424011475858664E-2</v>
      </c>
      <c r="DF13" s="3">
        <v>2.7138095551750351E-2</v>
      </c>
      <c r="DG13" s="3">
        <v>6.4819452521868548E-2</v>
      </c>
      <c r="DH13" s="3">
        <v>3.7174904846287507E-2</v>
      </c>
      <c r="DI13" s="3">
        <v>1.510479360590612E-2</v>
      </c>
      <c r="DJ13" s="3">
        <v>-1.4916158470664399E-3</v>
      </c>
      <c r="DK13" s="3">
        <v>6.8528228696381624E-3</v>
      </c>
      <c r="DL13" s="3">
        <v>3.1928366927177848E-2</v>
      </c>
      <c r="DM13" s="3">
        <v>1.017251418486353E-2</v>
      </c>
      <c r="DN13" s="3">
        <v>-4.5047643292899266E-3</v>
      </c>
      <c r="DO13" s="3">
        <v>4.1067716545564847E-2</v>
      </c>
      <c r="DP13" s="3">
        <v>5.3511487842789501E-2</v>
      </c>
      <c r="DQ13" s="3">
        <v>-6.1220595722963858E-2</v>
      </c>
      <c r="DR13" s="3">
        <v>-2.0233316508843229E-2</v>
      </c>
      <c r="DS13" s="3">
        <v>-2.739977314903342E-2</v>
      </c>
      <c r="DT13" s="3">
        <v>2.7375112753663122E-2</v>
      </c>
      <c r="DU13" s="3">
        <v>-2.0814911038588228E-2</v>
      </c>
      <c r="DV13" s="3">
        <v>-1.808189604269244E-2</v>
      </c>
      <c r="DW13" s="3">
        <v>-2.1192478829749031E-2</v>
      </c>
      <c r="DX13" s="3">
        <v>5.5875507689239802E-2</v>
      </c>
      <c r="DY13" s="3">
        <v>-2.0987138201878988E-3</v>
      </c>
      <c r="DZ13" s="3">
        <v>2.3436347427169591E-2</v>
      </c>
      <c r="EA13" s="3">
        <v>4.6460981855743183E-2</v>
      </c>
      <c r="EB13" s="3">
        <v>5.7080533181651807E-2</v>
      </c>
      <c r="EC13" s="3">
        <v>-4.0940281642171762E-2</v>
      </c>
      <c r="ED13" s="3">
        <v>-4.335556933187814E-2</v>
      </c>
      <c r="EE13" s="3">
        <v>-2.881128960419448E-2</v>
      </c>
      <c r="EF13" s="3">
        <v>-3.5981928125412302E-2</v>
      </c>
      <c r="EG13" s="3">
        <v>-5.3261638121428589E-2</v>
      </c>
      <c r="EH13" s="3">
        <v>1.120523021333945E-2</v>
      </c>
      <c r="EI13" s="3">
        <v>-6.5484713012183941E-3</v>
      </c>
      <c r="EJ13" s="3">
        <v>6.3945044853014454E-3</v>
      </c>
      <c r="EK13" s="3">
        <v>1.387191782542848E-2</v>
      </c>
      <c r="EL13" s="3">
        <v>-5.4200361509841789E-2</v>
      </c>
      <c r="EM13">
        <f t="shared" si="11"/>
        <v>7.5746726784336697E-3</v>
      </c>
      <c r="EN13">
        <f t="shared" si="12"/>
        <v>3.8520560337268167E-2</v>
      </c>
      <c r="EO13">
        <f t="shared" si="13"/>
        <v>0.19663973244712299</v>
      </c>
    </row>
    <row r="14" spans="1:145" x14ac:dyDescent="0.3">
      <c r="A14" s="17">
        <v>50</v>
      </c>
      <c r="B14" s="17">
        <f t="shared" si="10"/>
        <v>21</v>
      </c>
      <c r="C14" s="3">
        <v>-7.0147677629209787E-2</v>
      </c>
      <c r="D14" s="3">
        <v>0.1158127989469112</v>
      </c>
      <c r="E14" s="3">
        <v>-2.6685515637469029E-2</v>
      </c>
      <c r="F14" s="3">
        <v>1.997188403876415E-2</v>
      </c>
      <c r="G14" s="3">
        <v>-7.5085370632261769E-2</v>
      </c>
      <c r="H14" s="3">
        <v>7.0556940690420537E-3</v>
      </c>
      <c r="I14" s="3">
        <v>-8.2313590722530278E-2</v>
      </c>
      <c r="J14" s="3">
        <v>6.4091148046200197E-2</v>
      </c>
      <c r="K14" s="3">
        <v>1.632153994888911E-3</v>
      </c>
      <c r="L14" s="3">
        <v>-5.8513564069971061E-2</v>
      </c>
      <c r="M14" s="3">
        <v>-2.2751694019537928E-3</v>
      </c>
      <c r="N14" s="3">
        <v>6.7651274010027657E-2</v>
      </c>
      <c r="O14" s="3">
        <v>2.3559801475391461E-2</v>
      </c>
      <c r="P14" s="3">
        <v>6.8327754141842252E-3</v>
      </c>
      <c r="Q14" s="3">
        <v>7.2386392451194867E-2</v>
      </c>
      <c r="R14" s="3">
        <v>2.8742686221748671E-2</v>
      </c>
      <c r="S14" s="3">
        <v>0.1395841093461111</v>
      </c>
      <c r="T14" s="3">
        <v>4.3640636712842663E-2</v>
      </c>
      <c r="U14" s="3">
        <v>0.11068443410109539</v>
      </c>
      <c r="V14" s="3">
        <v>-3.4231499798857618E-2</v>
      </c>
      <c r="W14" s="3">
        <v>2.6873789517261031E-2</v>
      </c>
      <c r="X14" s="3">
        <v>-0.1032033074865468</v>
      </c>
      <c r="Y14" s="3">
        <v>9.226250026191124E-3</v>
      </c>
      <c r="Z14" s="3">
        <v>0.1062122318974191</v>
      </c>
      <c r="AA14" s="3">
        <v>-4.4385134817114417E-2</v>
      </c>
      <c r="AB14" s="3">
        <v>-6.9227714312762256E-2</v>
      </c>
      <c r="AC14" s="3">
        <v>1.982436908184718E-2</v>
      </c>
      <c r="AD14" s="3">
        <v>1.374396919104851E-2</v>
      </c>
      <c r="AE14" s="3">
        <v>0.1082963843164074</v>
      </c>
      <c r="AF14" s="3">
        <v>-7.6843366101025087E-2</v>
      </c>
      <c r="AG14" s="3">
        <v>2.8655986331801591E-2</v>
      </c>
      <c r="AH14" s="3">
        <v>5.0879396121610992E-2</v>
      </c>
      <c r="AI14" s="3">
        <v>-2.7402985925398929E-2</v>
      </c>
      <c r="AJ14" s="3">
        <v>3.1700886973186612E-2</v>
      </c>
      <c r="AK14" s="3">
        <v>5.8451122638718933E-2</v>
      </c>
      <c r="AL14" s="3">
        <v>2.5944789681796199E-2</v>
      </c>
      <c r="AM14" s="3">
        <v>3.6458820946065622E-3</v>
      </c>
      <c r="AN14" s="3">
        <v>0.1044155732278423</v>
      </c>
      <c r="AO14" s="3">
        <v>3.2604667782996637E-2</v>
      </c>
      <c r="AP14" s="3">
        <v>4.2604398890639862E-2</v>
      </c>
      <c r="AQ14" s="3">
        <v>-1.9665685276977232E-2</v>
      </c>
      <c r="AR14" s="3">
        <v>7.3752568151875322E-3</v>
      </c>
      <c r="AS14" s="3">
        <v>1.3478001554976559E-2</v>
      </c>
      <c r="AT14" s="3">
        <v>0.13781441350398549</v>
      </c>
      <c r="AU14" s="3">
        <v>7.7517190518051976E-2</v>
      </c>
      <c r="AV14" s="3">
        <v>-3.371082575251988E-2</v>
      </c>
      <c r="AW14" s="3">
        <v>2.7266581301792291E-2</v>
      </c>
      <c r="AX14" s="3">
        <v>4.0769983534298428E-2</v>
      </c>
      <c r="AY14" s="3">
        <v>4.589894769879152E-2</v>
      </c>
      <c r="AZ14" s="3">
        <v>-4.0288085265968249E-2</v>
      </c>
      <c r="BA14" s="3">
        <v>3.6761616107432463E-2</v>
      </c>
      <c r="BB14" s="3">
        <v>7.773635586658105E-2</v>
      </c>
      <c r="BC14" s="3">
        <v>2.052320405610537E-2</v>
      </c>
      <c r="BD14" s="3">
        <v>4.3508384878577798E-2</v>
      </c>
      <c r="BE14" s="3">
        <v>-7.1812117572027559E-2</v>
      </c>
      <c r="BF14" s="3">
        <v>0.1572912263866483</v>
      </c>
      <c r="BG14" s="3">
        <v>8.23295680681847E-2</v>
      </c>
      <c r="BH14" s="3">
        <v>3.3284482905728802E-2</v>
      </c>
      <c r="BI14" s="3">
        <v>5.4726627084813559E-2</v>
      </c>
      <c r="BJ14" s="3">
        <v>6.3282892431894208E-3</v>
      </c>
      <c r="BK14" s="3">
        <v>-8.8843406963126065E-2</v>
      </c>
      <c r="BL14" s="3">
        <v>3.2503785982039207E-2</v>
      </c>
      <c r="BM14" s="3">
        <v>3.292116482344528E-2</v>
      </c>
      <c r="BN14" s="3">
        <v>2.6584135379415171E-2</v>
      </c>
      <c r="BO14" s="3">
        <v>-2.4215815950696402E-2</v>
      </c>
      <c r="BP14" s="3">
        <v>1.3303581563541051E-2</v>
      </c>
      <c r="BQ14" s="3">
        <v>-2.3262836254986739E-2</v>
      </c>
      <c r="BR14" s="3">
        <v>-4.3166544756196211E-2</v>
      </c>
      <c r="BS14" s="3">
        <v>-2.961161518074365E-2</v>
      </c>
      <c r="BT14" s="3">
        <v>-3.7045271178850502E-2</v>
      </c>
      <c r="BU14" s="3">
        <v>-2.0313888149694578E-2</v>
      </c>
      <c r="BV14" s="3">
        <v>-8.1081006290671873E-2</v>
      </c>
      <c r="BW14" s="3">
        <v>-7.4926371770266684E-3</v>
      </c>
      <c r="BX14" s="3">
        <v>-5.7360046534479757E-2</v>
      </c>
      <c r="BY14" s="3">
        <v>-9.8203765625875183E-2</v>
      </c>
      <c r="BZ14" s="3">
        <v>-4.9772173607772342E-2</v>
      </c>
      <c r="CA14" s="3">
        <v>-1.530081439883035E-2</v>
      </c>
      <c r="CB14" s="3">
        <v>-5.9068563190711187E-3</v>
      </c>
      <c r="CC14" s="3">
        <v>-9.4556515578385625E-3</v>
      </c>
      <c r="CD14" s="3">
        <v>4.681534907198126E-2</v>
      </c>
      <c r="CE14" s="3">
        <v>-2.9083892802831381E-2</v>
      </c>
      <c r="CF14" s="3">
        <v>5.0755772847125832E-2</v>
      </c>
      <c r="CG14" s="3">
        <v>-6.5160968394517182E-2</v>
      </c>
      <c r="CH14" s="3">
        <v>7.0932617314534749E-2</v>
      </c>
      <c r="CI14" s="3">
        <v>-0.113844214471976</v>
      </c>
      <c r="CJ14" s="3">
        <v>6.6208015381626073E-3</v>
      </c>
      <c r="CK14" s="3">
        <v>5.3942692127080083E-2</v>
      </c>
      <c r="CL14" s="3">
        <v>6.451237294910718E-2</v>
      </c>
      <c r="CM14" s="3">
        <v>-3.6520584560599902E-2</v>
      </c>
      <c r="CN14" s="3">
        <v>4.5793102108443333E-2</v>
      </c>
      <c r="CO14" s="3">
        <v>-7.1290727465447318E-2</v>
      </c>
      <c r="CP14" s="3">
        <v>6.6645440687895796E-2</v>
      </c>
      <c r="CQ14" s="3">
        <v>1.6983985983403772E-2</v>
      </c>
      <c r="CR14" s="3">
        <v>-4.3319638203963569E-2</v>
      </c>
      <c r="CS14" s="3">
        <v>2.3427351300329021E-2</v>
      </c>
      <c r="CT14" s="3">
        <v>2.7177904636120052E-2</v>
      </c>
      <c r="CU14" s="3">
        <v>0.13049331926284929</v>
      </c>
      <c r="CV14" s="3">
        <v>-0.13473974763177771</v>
      </c>
      <c r="CW14" s="3">
        <v>4.1207943299450843E-2</v>
      </c>
      <c r="CX14" s="3">
        <v>-5.3559520759984131E-2</v>
      </c>
      <c r="CY14" s="3">
        <v>-0.1096716237662924</v>
      </c>
      <c r="CZ14" s="3">
        <v>-3.9295528811416319E-2</v>
      </c>
      <c r="DA14" s="3">
        <v>1.833914423843224E-3</v>
      </c>
      <c r="DB14" s="3">
        <v>1.090497301775741E-2</v>
      </c>
      <c r="DC14" s="3">
        <v>-1.2420966394114521E-2</v>
      </c>
      <c r="DD14" s="3">
        <v>9.873476841909308E-2</v>
      </c>
      <c r="DE14" s="3">
        <v>-2.7444221094356149E-2</v>
      </c>
      <c r="DF14" s="3">
        <v>4.2417818702499263E-2</v>
      </c>
      <c r="DG14" s="3">
        <v>8.4633247378414392E-2</v>
      </c>
      <c r="DH14" s="3">
        <v>3.2676237467867533E-2</v>
      </c>
      <c r="DI14" s="3">
        <v>-1.3854001235964969E-2</v>
      </c>
      <c r="DJ14" s="3">
        <v>9.3362115920242045E-3</v>
      </c>
      <c r="DK14" s="3">
        <v>-2.31532096733192E-2</v>
      </c>
      <c r="DL14" s="3">
        <v>3.9872633242987357E-2</v>
      </c>
      <c r="DM14" s="3">
        <v>1.5879651958918359E-2</v>
      </c>
      <c r="DN14" s="3">
        <v>6.4680191210663568E-2</v>
      </c>
      <c r="DO14" s="3">
        <v>6.749155499135967E-2</v>
      </c>
      <c r="DP14" s="3">
        <v>3.5084228984769261E-2</v>
      </c>
      <c r="DQ14" s="3">
        <v>-3.2645533016168099E-2</v>
      </c>
      <c r="DR14" s="3">
        <v>-5.3613768849205268E-2</v>
      </c>
      <c r="DS14" s="3">
        <v>-6.8525307837216776E-2</v>
      </c>
      <c r="DT14" s="3">
        <v>1.512528510044751E-2</v>
      </c>
      <c r="DU14" s="3">
        <v>-8.7746691323399892E-2</v>
      </c>
      <c r="DV14" s="3">
        <v>-3.2703112011867028E-2</v>
      </c>
      <c r="DW14" s="3">
        <v>-9.7196857655370839E-3</v>
      </c>
      <c r="DX14" s="3">
        <v>9.6137869163774814E-2</v>
      </c>
      <c r="DY14" s="3">
        <v>2.8956628053560491E-2</v>
      </c>
      <c r="DZ14" s="3">
        <v>-1.190009565703247E-2</v>
      </c>
      <c r="EA14" s="3">
        <v>6.2943118256179875E-2</v>
      </c>
      <c r="EB14" s="3">
        <v>8.4619816663084185E-2</v>
      </c>
      <c r="EC14" s="3">
        <v>-1.747393549534236E-2</v>
      </c>
      <c r="ED14" s="3">
        <v>-5.0141322069712793E-2</v>
      </c>
      <c r="EE14" s="3">
        <v>-4.5131715674727513E-2</v>
      </c>
      <c r="EF14" s="3">
        <v>-5.9075572986686441E-2</v>
      </c>
      <c r="EG14" s="3">
        <v>-0.12596481166948539</v>
      </c>
      <c r="EH14" s="3">
        <v>1.1678053250898889E-2</v>
      </c>
      <c r="EI14" s="3">
        <v>5.0391892520531438E-2</v>
      </c>
      <c r="EJ14" s="3">
        <v>1.0053647267214401E-2</v>
      </c>
      <c r="EK14" s="3">
        <v>7.7789644705384409E-2</v>
      </c>
      <c r="EL14" s="3">
        <v>-4.7771192418282378E-2</v>
      </c>
      <c r="EM14">
        <f t="shared" si="11"/>
        <v>7.6900199498760096E-3</v>
      </c>
      <c r="EN14">
        <f t="shared" si="12"/>
        <v>5.8942154777747995E-2</v>
      </c>
      <c r="EO14">
        <f t="shared" si="13"/>
        <v>0.13046723484868536</v>
      </c>
    </row>
    <row r="15" spans="1:145" x14ac:dyDescent="0.3">
      <c r="A15" s="17">
        <v>110</v>
      </c>
      <c r="B15" s="17">
        <f t="shared" si="10"/>
        <v>10</v>
      </c>
      <c r="C15" s="3">
        <v>-9.5037535583778296E-2</v>
      </c>
      <c r="D15" s="3">
        <v>0.17378891286628589</v>
      </c>
      <c r="E15" s="3">
        <v>-3.6478294824372808E-2</v>
      </c>
      <c r="F15" s="3">
        <v>7.2424255902727275E-2</v>
      </c>
      <c r="G15" s="3">
        <v>-2.53577976603564E-3</v>
      </c>
      <c r="H15" s="3">
        <v>1.633740630847369E-2</v>
      </c>
      <c r="I15" s="3">
        <v>-0.12829638481240971</v>
      </c>
      <c r="J15" s="3">
        <v>0.13535866244314329</v>
      </c>
      <c r="K15" s="3">
        <v>4.5856094679227369E-2</v>
      </c>
      <c r="L15" s="3">
        <v>-0.1035081220587549</v>
      </c>
      <c r="M15" s="3">
        <v>5.629585886769306E-2</v>
      </c>
      <c r="N15" s="3">
        <v>8.9772316641766894E-2</v>
      </c>
      <c r="O15" s="3">
        <v>5.2525265491851533E-2</v>
      </c>
      <c r="P15" s="3">
        <v>4.6283434267813228E-2</v>
      </c>
      <c r="Q15" s="3">
        <v>0.1170575353238649</v>
      </c>
      <c r="R15" s="3">
        <v>8.5673280309319685E-2</v>
      </c>
      <c r="S15" s="3">
        <v>0.1802361447281137</v>
      </c>
      <c r="T15" s="3">
        <v>5.8198486768288482E-2</v>
      </c>
      <c r="U15" s="3">
        <v>0.13796305634091591</v>
      </c>
      <c r="V15" s="3">
        <v>-6.0599995689698663E-2</v>
      </c>
      <c r="W15" s="3">
        <v>1.544097769719144E-2</v>
      </c>
      <c r="X15" s="3">
        <v>-0.10443897904169711</v>
      </c>
      <c r="Y15" s="3">
        <v>-1.121680496760034E-2</v>
      </c>
      <c r="Z15" s="3">
        <v>4.8366369396083367E-2</v>
      </c>
      <c r="AA15" s="3">
        <v>-5.4579453372160282E-2</v>
      </c>
      <c r="AB15" s="3">
        <v>-7.4371814458625951E-2</v>
      </c>
      <c r="AC15" s="3">
        <v>-3.3883246056628097E-2</v>
      </c>
      <c r="AD15" s="3">
        <v>-4.7007358577018508E-2</v>
      </c>
      <c r="AE15" s="3">
        <v>0.17602316758642261</v>
      </c>
      <c r="AF15" s="3">
        <v>-0.13248670478170749</v>
      </c>
      <c r="AG15" s="3">
        <v>2.4048005905984979E-2</v>
      </c>
      <c r="AH15" s="3">
        <v>4.7090692795637393E-2</v>
      </c>
      <c r="AI15" s="3">
        <v>-1.8572527895701438E-2</v>
      </c>
      <c r="AJ15" s="3">
        <v>5.2974427440471428E-2</v>
      </c>
      <c r="AK15" s="3">
        <v>5.7963941149427933E-2</v>
      </c>
      <c r="AL15" s="3">
        <v>5.4708467172654783E-2</v>
      </c>
      <c r="AM15" s="3">
        <v>4.8733459531672104E-3</v>
      </c>
      <c r="AN15" s="3">
        <v>0.1187039663124473</v>
      </c>
      <c r="AO15" s="3">
        <v>4.3798347087138943E-2</v>
      </c>
      <c r="AP15" s="3">
        <v>5.6957256149213882E-2</v>
      </c>
      <c r="AQ15" s="3">
        <v>3.8102468754567922E-2</v>
      </c>
      <c r="AR15" s="3">
        <v>1.1318369487501111E-2</v>
      </c>
      <c r="AS15" s="3">
        <v>6.5028803619250217E-2</v>
      </c>
      <c r="AT15" s="3">
        <v>0.2078389578691365</v>
      </c>
      <c r="AU15" s="3">
        <v>9.0932728029609292E-2</v>
      </c>
      <c r="AV15" s="3">
        <v>-4.6574912991002353E-2</v>
      </c>
      <c r="AW15" s="3">
        <v>-2.456036031455194E-2</v>
      </c>
      <c r="AX15" s="3">
        <v>0.1140796931468484</v>
      </c>
      <c r="AY15" s="3">
        <v>7.696898309524209E-3</v>
      </c>
      <c r="AZ15" s="3">
        <v>-4.147929441714801E-2</v>
      </c>
      <c r="BA15" s="3">
        <v>1.6457938493464719E-2</v>
      </c>
      <c r="BB15" s="3">
        <v>9.1035930729889331E-2</v>
      </c>
      <c r="BC15" s="3">
        <v>6.7540883800242132E-2</v>
      </c>
      <c r="BD15" s="3">
        <v>8.4156920729491852E-2</v>
      </c>
      <c r="BE15" s="3">
        <v>-6.3332838845437306E-2</v>
      </c>
      <c r="BF15" s="3">
        <v>0.22710040348729599</v>
      </c>
      <c r="BG15" s="3">
        <v>4.3080381043251501E-2</v>
      </c>
      <c r="BH15" s="3">
        <v>5.0564255193939422E-2</v>
      </c>
      <c r="BI15" s="3">
        <v>6.1863404220822767E-2</v>
      </c>
      <c r="BJ15" s="3">
        <v>4.6155034773925352E-2</v>
      </c>
      <c r="BK15" s="3">
        <v>-0.10413755450221179</v>
      </c>
      <c r="BL15" s="3">
        <v>7.5891715934744086E-2</v>
      </c>
      <c r="BM15" s="3">
        <v>5.4492831913828248E-2</v>
      </c>
      <c r="BN15" s="3">
        <v>4.6581169900477289E-2</v>
      </c>
      <c r="BO15" s="3">
        <v>-3.139537347461429E-2</v>
      </c>
      <c r="BP15" s="3">
        <v>2.433842937662337E-2</v>
      </c>
      <c r="BQ15" s="3">
        <v>-6.0311372633281693E-2</v>
      </c>
      <c r="BR15" s="3">
        <v>-7.5056995812548238E-2</v>
      </c>
      <c r="BS15" s="3">
        <v>-3.9787779996983269E-3</v>
      </c>
      <c r="BT15" s="3">
        <v>-4.9227241421055903E-2</v>
      </c>
      <c r="BU15" s="3">
        <v>-7.2608821017855832E-3</v>
      </c>
      <c r="BV15" s="3">
        <v>-6.3848422770407032E-2</v>
      </c>
      <c r="BW15" s="3">
        <v>-2.99604325521746E-2</v>
      </c>
      <c r="BX15" s="3">
        <v>7.9095404982131249E-3</v>
      </c>
      <c r="BY15" s="3">
        <v>-0.1170215036470855</v>
      </c>
      <c r="BZ15" s="3">
        <v>-8.6772760457739267E-2</v>
      </c>
      <c r="CA15" s="3">
        <v>6.0851495681845842E-3</v>
      </c>
      <c r="CB15" s="3">
        <v>-5.261198164757537E-2</v>
      </c>
      <c r="CC15" s="3">
        <v>-0.1078272568632148</v>
      </c>
      <c r="CD15" s="3">
        <v>2.180493174291093E-2</v>
      </c>
      <c r="CE15" s="3">
        <v>-0.1050109564905078</v>
      </c>
      <c r="CF15" s="3">
        <v>8.6444362290460319E-2</v>
      </c>
      <c r="CG15" s="3">
        <v>-0.10390932025663881</v>
      </c>
      <c r="CH15" s="3">
        <v>5.682543054775463E-2</v>
      </c>
      <c r="CI15" s="3">
        <v>-3.7144945320355012E-2</v>
      </c>
      <c r="CJ15" s="3">
        <v>4.3972103903508523E-2</v>
      </c>
      <c r="CK15" s="3">
        <v>0.1434218267067412</v>
      </c>
      <c r="CL15" s="3">
        <v>9.513781759860454E-2</v>
      </c>
      <c r="CM15" s="3">
        <v>-2.616074050996969E-2</v>
      </c>
      <c r="CN15" s="3">
        <v>8.5872132847714805E-2</v>
      </c>
      <c r="CO15" s="3">
        <v>-0.19509607170964541</v>
      </c>
      <c r="CP15" s="3">
        <v>7.8825084918561397E-2</v>
      </c>
      <c r="CQ15" s="3">
        <v>6.4482894299108936E-3</v>
      </c>
      <c r="CR15" s="3">
        <v>-0.1088852828024178</v>
      </c>
      <c r="CS15" s="3">
        <v>2.4648670660661589E-2</v>
      </c>
      <c r="CT15" s="3">
        <v>3.1426509832751442E-2</v>
      </c>
      <c r="CU15" s="3">
        <v>0.16039605454608519</v>
      </c>
      <c r="CV15" s="3">
        <v>-0.15883627528963709</v>
      </c>
      <c r="CW15" s="3">
        <v>3.1169210624073362E-2</v>
      </c>
      <c r="CX15" s="3">
        <v>-8.5710342767130659E-2</v>
      </c>
      <c r="CY15" s="3">
        <v>-6.8157689880564143E-2</v>
      </c>
      <c r="CZ15" s="3">
        <v>5.4570469806409783E-3</v>
      </c>
      <c r="DA15" s="3">
        <v>-2.2818354042593119E-2</v>
      </c>
      <c r="DB15" s="3">
        <v>2.8237377436243511E-2</v>
      </c>
      <c r="DC15" s="3">
        <v>-1.7598376414005291E-2</v>
      </c>
      <c r="DD15" s="3">
        <v>6.6996804109661759E-2</v>
      </c>
      <c r="DE15" s="3">
        <v>-2.5121441411934949E-2</v>
      </c>
      <c r="DF15" s="3">
        <v>9.5532794827942712E-3</v>
      </c>
      <c r="DG15" s="3">
        <v>9.8009312082274744E-2</v>
      </c>
      <c r="DH15" s="3">
        <v>1.52116552922546E-3</v>
      </c>
      <c r="DI15" s="3">
        <v>-2.8468466705051671E-2</v>
      </c>
      <c r="DJ15" s="3">
        <v>-6.2778969213389879E-2</v>
      </c>
      <c r="DK15" s="3">
        <v>-2.0475094250755652E-2</v>
      </c>
      <c r="DL15" s="3">
        <v>4.517439390109889E-2</v>
      </c>
      <c r="DM15" s="3">
        <v>-5.2410072269874167E-2</v>
      </c>
      <c r="DN15" s="3">
        <v>0.1111745334290872</v>
      </c>
      <c r="DO15" s="3">
        <v>4.2035732338063979E-2</v>
      </c>
      <c r="DP15" s="3">
        <v>-1.2595778583227491E-2</v>
      </c>
      <c r="DQ15" s="3">
        <v>-2.5991770469525759E-2</v>
      </c>
      <c r="DR15" s="3">
        <v>-2.5698175054819961E-2</v>
      </c>
      <c r="DS15" s="3">
        <v>-3.0358369568470881E-2</v>
      </c>
      <c r="DT15" s="3">
        <v>2.2455456644572162E-2</v>
      </c>
      <c r="DU15" s="3">
        <v>-0.15570488266181609</v>
      </c>
      <c r="DV15" s="3">
        <v>-8.8090090620085281E-3</v>
      </c>
      <c r="DW15" s="3">
        <v>-1.6197702595987139E-2</v>
      </c>
      <c r="DX15" s="3">
        <v>3.800440562168661E-2</v>
      </c>
      <c r="DY15" s="3">
        <v>-7.980019567433147E-2</v>
      </c>
      <c r="DZ15" s="3">
        <v>-4.075905038959271E-2</v>
      </c>
      <c r="EA15" s="3">
        <v>6.474027869781232E-2</v>
      </c>
      <c r="EB15" s="3">
        <v>0.11336525352108941</v>
      </c>
      <c r="EC15" s="3">
        <v>-8.2959084084229057E-2</v>
      </c>
      <c r="ED15" s="3">
        <v>-9.5580668268785293E-2</v>
      </c>
      <c r="EE15" s="3">
        <v>-5.6090869673354728E-2</v>
      </c>
      <c r="EF15" s="3">
        <v>-4.4912949178721878E-2</v>
      </c>
      <c r="EG15" s="3">
        <v>-0.26144874157893622</v>
      </c>
      <c r="EH15" s="3">
        <v>2.3350353236254201E-2</v>
      </c>
      <c r="EI15" s="3">
        <v>-2.709830727557112E-2</v>
      </c>
      <c r="EJ15" s="3">
        <v>1.095406862051285E-2</v>
      </c>
      <c r="EK15" s="3">
        <v>0.1140996968123482</v>
      </c>
      <c r="EL15" s="3">
        <v>4.1557680501237038E-2</v>
      </c>
      <c r="EM15">
        <f t="shared" si="11"/>
        <v>8.279228080492352E-3</v>
      </c>
      <c r="EN15">
        <f t="shared" si="12"/>
        <v>8.1273647643743438E-2</v>
      </c>
      <c r="EO15">
        <f t="shared" si="13"/>
        <v>0.10186854313200866</v>
      </c>
    </row>
    <row r="16" spans="1:145" x14ac:dyDescent="0.3">
      <c r="A16" s="17">
        <v>120</v>
      </c>
      <c r="B16" s="17">
        <f t="shared" si="10"/>
        <v>9</v>
      </c>
      <c r="C16" s="3">
        <v>-9.71680377431344E-2</v>
      </c>
      <c r="D16" s="3">
        <v>0.18425850840958</v>
      </c>
      <c r="E16" s="3">
        <v>1.2546398179007121E-3</v>
      </c>
      <c r="F16" s="3">
        <v>0.1015451073915609</v>
      </c>
      <c r="G16" s="3">
        <v>-8.8348382115517612E-2</v>
      </c>
      <c r="H16" s="3">
        <v>2.5862340331128639E-2</v>
      </c>
      <c r="I16" s="3">
        <v>-0.1386283480312914</v>
      </c>
      <c r="J16" s="3">
        <v>0.14986077687311791</v>
      </c>
      <c r="K16" s="3">
        <v>3.5512414889476568E-2</v>
      </c>
      <c r="L16" s="3">
        <v>-9.2506160017111649E-2</v>
      </c>
      <c r="M16" s="3">
        <v>5.3926091998967099E-2</v>
      </c>
      <c r="N16" s="3">
        <v>8.6790996117322064E-2</v>
      </c>
      <c r="O16" s="3">
        <v>7.4997993084941442E-2</v>
      </c>
      <c r="P16" s="3">
        <v>3.9445540139423113E-2</v>
      </c>
      <c r="Q16" s="3">
        <v>0.1244133715986941</v>
      </c>
      <c r="R16" s="3">
        <v>6.789675464184089E-2</v>
      </c>
      <c r="S16" s="3">
        <v>0.1962294625411693</v>
      </c>
      <c r="T16" s="3">
        <v>9.4226726153592844E-2</v>
      </c>
      <c r="U16" s="3">
        <v>0.14366062108626881</v>
      </c>
      <c r="V16" s="3">
        <v>-7.5295882228626876E-2</v>
      </c>
      <c r="W16" s="3">
        <v>6.2744042721163962E-2</v>
      </c>
      <c r="X16" s="3">
        <v>-0.1018402697575891</v>
      </c>
      <c r="Y16" s="3">
        <v>-1.6237215633638821E-2</v>
      </c>
      <c r="Z16" s="3">
        <v>4.8488528814658122E-2</v>
      </c>
      <c r="AA16" s="3">
        <v>-4.6132933490130541E-2</v>
      </c>
      <c r="AB16" s="3">
        <v>-8.3679343533461917E-2</v>
      </c>
      <c r="AC16" s="3">
        <v>-2.5086622142810992E-2</v>
      </c>
      <c r="AD16" s="3">
        <v>-1.1883533968536541E-2</v>
      </c>
      <c r="AE16" s="3">
        <v>0.19437017354429709</v>
      </c>
      <c r="AF16" s="3">
        <v>-0.14270118361213019</v>
      </c>
      <c r="AG16" s="3">
        <v>3.0984762906759462E-2</v>
      </c>
      <c r="AH16" s="3">
        <v>5.8576971392953057E-2</v>
      </c>
      <c r="AI16" s="3">
        <v>-2.515121444953191E-2</v>
      </c>
      <c r="AJ16" s="3">
        <v>5.9042402745775838E-2</v>
      </c>
      <c r="AK16" s="3">
        <v>6.4421400832372078E-2</v>
      </c>
      <c r="AL16" s="3">
        <v>3.3707825123009287E-2</v>
      </c>
      <c r="AM16" s="3">
        <v>-1.825143833757844E-3</v>
      </c>
      <c r="AN16" s="3">
        <v>0.1374029139074828</v>
      </c>
      <c r="AO16" s="3">
        <v>6.3928703055241967E-2</v>
      </c>
      <c r="AP16" s="3">
        <v>7.740114897876324E-2</v>
      </c>
      <c r="AQ16" s="3">
        <v>5.1655017148793933E-2</v>
      </c>
      <c r="AR16" s="3">
        <v>2.195304702745236E-2</v>
      </c>
      <c r="AS16" s="3">
        <v>6.572009184837771E-2</v>
      </c>
      <c r="AT16" s="3">
        <v>0.2213208370440905</v>
      </c>
      <c r="AU16" s="3">
        <v>0.1148347715921714</v>
      </c>
      <c r="AV16" s="3">
        <v>-6.505802944014219E-2</v>
      </c>
      <c r="AW16" s="3">
        <v>4.6331170270706761E-4</v>
      </c>
      <c r="AX16" s="3">
        <v>0.113595596911948</v>
      </c>
      <c r="AY16" s="3">
        <v>-4.7113984184792151E-3</v>
      </c>
      <c r="AZ16" s="3">
        <v>-1.8155398260774568E-2</v>
      </c>
      <c r="BA16" s="3">
        <v>1.2096985808141791E-2</v>
      </c>
      <c r="BB16" s="3">
        <v>0.1164875051166427</v>
      </c>
      <c r="BC16" s="3">
        <v>6.5392330536299823E-2</v>
      </c>
      <c r="BD16" s="3">
        <v>9.0787391319676697E-2</v>
      </c>
      <c r="BE16" s="3">
        <v>-5.5749584759779952E-2</v>
      </c>
      <c r="BF16" s="3">
        <v>0.1359041050233428</v>
      </c>
      <c r="BG16" s="3">
        <v>5.6929802358028879E-2</v>
      </c>
      <c r="BH16" s="3">
        <v>3.2909754819947679E-2</v>
      </c>
      <c r="BI16" s="3">
        <v>7.1250388135637208E-2</v>
      </c>
      <c r="BJ16" s="3">
        <v>5.1164983931225379E-2</v>
      </c>
      <c r="BK16" s="3">
        <v>-0.1025492164218821</v>
      </c>
      <c r="BL16" s="3">
        <v>6.939639853734389E-2</v>
      </c>
      <c r="BM16" s="3">
        <v>4.4461594183894608E-2</v>
      </c>
      <c r="BN16" s="3">
        <v>4.4841329445366993E-2</v>
      </c>
      <c r="BO16" s="3">
        <v>-2.5701078886255359E-2</v>
      </c>
      <c r="BP16" s="3">
        <v>3.4920012822141251E-2</v>
      </c>
      <c r="BQ16" s="3">
        <v>-6.1932157749013908E-2</v>
      </c>
      <c r="BR16" s="3">
        <v>-6.0589298079074913E-2</v>
      </c>
      <c r="BS16" s="3">
        <v>7.9012391770569186E-3</v>
      </c>
      <c r="BT16" s="3">
        <v>-5.015959430703798E-2</v>
      </c>
      <c r="BU16" s="3">
        <v>1.482094260337782E-2</v>
      </c>
      <c r="BV16" s="3">
        <v>-3.7578374096590053E-2</v>
      </c>
      <c r="BW16" s="3">
        <v>-3.8747285711416168E-2</v>
      </c>
      <c r="BX16" s="3">
        <v>-8.0992436044694735E-3</v>
      </c>
      <c r="BY16" s="3">
        <v>-0.13162601291712861</v>
      </c>
      <c r="BZ16" s="3">
        <v>-7.9934571903241991E-2</v>
      </c>
      <c r="CA16" s="3">
        <v>2.2142699591408251E-2</v>
      </c>
      <c r="CB16" s="3">
        <v>-5.9465970165944591E-2</v>
      </c>
      <c r="CC16" s="3">
        <v>-0.1182501596229092</v>
      </c>
      <c r="CD16" s="3">
        <v>1.8545595104213549E-2</v>
      </c>
      <c r="CE16" s="3">
        <v>-0.1208822519030792</v>
      </c>
      <c r="CF16" s="3">
        <v>7.8306387754693507E-2</v>
      </c>
      <c r="CG16" s="3">
        <v>-0.1159768192729449</v>
      </c>
      <c r="CH16" s="3">
        <v>6.911791898089259E-2</v>
      </c>
      <c r="CI16" s="3">
        <v>-4.9089741250033729E-2</v>
      </c>
      <c r="CJ16" s="3">
        <v>5.6743180121133011E-2</v>
      </c>
      <c r="CK16" s="3">
        <v>0.1414699025513512</v>
      </c>
      <c r="CL16" s="3">
        <v>0.1132569677786987</v>
      </c>
      <c r="CM16" s="3">
        <v>-2.1263889802606038E-2</v>
      </c>
      <c r="CN16" s="3">
        <v>6.1379874937325371E-2</v>
      </c>
      <c r="CO16" s="3">
        <v>-0.21015560075498099</v>
      </c>
      <c r="CP16" s="3">
        <v>8.0406142975407657E-2</v>
      </c>
      <c r="CQ16" s="3">
        <v>7.5659968624205126E-2</v>
      </c>
      <c r="CR16" s="3">
        <v>-0.10958322858512259</v>
      </c>
      <c r="CS16" s="3">
        <v>1.541304512112728E-2</v>
      </c>
      <c r="CT16" s="3">
        <v>3.1864242248225039E-2</v>
      </c>
      <c r="CU16" s="3">
        <v>0.15928631311606539</v>
      </c>
      <c r="CV16" s="3">
        <v>-0.13244233189943641</v>
      </c>
      <c r="CW16" s="3">
        <v>5.5800521046015572E-2</v>
      </c>
      <c r="CX16" s="3">
        <v>-0.12601795925741691</v>
      </c>
      <c r="CY16" s="3">
        <v>-7.8936117015922208E-2</v>
      </c>
      <c r="CZ16" s="3">
        <v>-2.664596799080407E-2</v>
      </c>
      <c r="DA16" s="3">
        <v>-3.4419492787366321E-2</v>
      </c>
      <c r="DB16" s="3">
        <v>3.5441786010534389E-2</v>
      </c>
      <c r="DC16" s="3">
        <v>-1.559517627743354E-2</v>
      </c>
      <c r="DD16" s="3">
        <v>8.1763272406890575E-2</v>
      </c>
      <c r="DE16" s="3">
        <v>-2.6213745236921351E-2</v>
      </c>
      <c r="DF16" s="3">
        <v>-1.147280575773244E-2</v>
      </c>
      <c r="DG16" s="3">
        <v>8.8702762240259705E-2</v>
      </c>
      <c r="DH16" s="3">
        <v>5.5732891435929521E-3</v>
      </c>
      <c r="DI16" s="3">
        <v>-4.0146607313784402E-2</v>
      </c>
      <c r="DJ16" s="3">
        <v>-5.9518456318777779E-2</v>
      </c>
      <c r="DK16" s="3">
        <v>-3.5621972495511679E-3</v>
      </c>
      <c r="DL16" s="3">
        <v>9.6269308724760989E-3</v>
      </c>
      <c r="DM16" s="3">
        <v>-5.059106283650449E-2</v>
      </c>
      <c r="DN16" s="3">
        <v>0.1030004857123339</v>
      </c>
      <c r="DO16" s="3">
        <v>5.5376440467518988E-2</v>
      </c>
      <c r="DP16" s="3">
        <v>1.7922888901306559E-2</v>
      </c>
      <c r="DQ16" s="3">
        <v>-2.4838895613820289E-2</v>
      </c>
      <c r="DR16" s="3">
        <v>-3.7831496932614089E-2</v>
      </c>
      <c r="DS16" s="3">
        <v>-2.4374262052376409E-2</v>
      </c>
      <c r="DT16" s="3">
        <v>5.8933335493967523E-2</v>
      </c>
      <c r="DU16" s="3">
        <v>-0.17791333832569989</v>
      </c>
      <c r="DV16" s="3">
        <v>-3.5964057377857531E-3</v>
      </c>
      <c r="DW16" s="3">
        <v>-2.854486907738369E-2</v>
      </c>
      <c r="DX16" s="3">
        <v>4.4218675002053023E-2</v>
      </c>
      <c r="DY16" s="3">
        <v>-8.9581678445983498E-2</v>
      </c>
      <c r="DZ16" s="3">
        <v>-3.7997245253137982E-2</v>
      </c>
      <c r="EA16" s="3">
        <v>8.4234522479627136E-2</v>
      </c>
      <c r="EB16" s="3">
        <v>0.11109853543951929</v>
      </c>
      <c r="EC16" s="3">
        <v>-8.2284542230439295E-2</v>
      </c>
      <c r="ED16" s="3">
        <v>-9.8269305855753553E-2</v>
      </c>
      <c r="EE16" s="3">
        <v>-5.8529226151859529E-2</v>
      </c>
      <c r="EF16" s="3">
        <v>-6.0242639972929821E-2</v>
      </c>
      <c r="EG16" s="3">
        <v>-0.28106449452732468</v>
      </c>
      <c r="EH16" s="3">
        <v>2.0533961936404031E-2</v>
      </c>
      <c r="EI16" s="3">
        <v>-3.029997401672236E-2</v>
      </c>
      <c r="EJ16" s="3">
        <v>2.6684429075705479E-2</v>
      </c>
      <c r="EK16" s="3">
        <v>0.1162988751082142</v>
      </c>
      <c r="EL16" s="3">
        <v>2.0357810052897621E-2</v>
      </c>
      <c r="EM16">
        <f t="shared" si="11"/>
        <v>9.8303210419966383E-3</v>
      </c>
      <c r="EN16">
        <f t="shared" si="12"/>
        <v>8.5273295865518017E-2</v>
      </c>
      <c r="EO16">
        <f t="shared" si="13"/>
        <v>0.11528018170541626</v>
      </c>
    </row>
    <row r="17" spans="1:145" x14ac:dyDescent="0.3">
      <c r="A17" s="17">
        <v>130</v>
      </c>
      <c r="B17" s="17">
        <f t="shared" si="10"/>
        <v>8</v>
      </c>
      <c r="C17" s="3">
        <v>-0.10848541786298629</v>
      </c>
      <c r="D17" s="3">
        <v>0.18133129259318301</v>
      </c>
      <c r="E17" s="3">
        <v>-1.4337604938035729E-2</v>
      </c>
      <c r="F17" s="3">
        <v>0.14304465208026029</v>
      </c>
      <c r="G17" s="3">
        <v>-8.8781681840671589E-2</v>
      </c>
      <c r="H17" s="3">
        <v>2.869672530965681E-2</v>
      </c>
      <c r="I17" s="3">
        <v>-0.15376841472222169</v>
      </c>
      <c r="J17" s="3">
        <v>0.15964101098343059</v>
      </c>
      <c r="K17" s="3">
        <v>4.6352046863155791E-2</v>
      </c>
      <c r="L17" s="3">
        <v>-7.3232188041334925E-2</v>
      </c>
      <c r="M17" s="3">
        <v>5.5237105233283269E-2</v>
      </c>
      <c r="N17" s="3">
        <v>9.7477746687630151E-2</v>
      </c>
      <c r="O17" s="3">
        <v>6.2366129424337162E-2</v>
      </c>
      <c r="P17" s="3">
        <v>2.1983032017847671E-2</v>
      </c>
      <c r="Q17" s="3">
        <v>0.12826268494599849</v>
      </c>
      <c r="R17" s="3">
        <v>7.0899543817579888E-2</v>
      </c>
      <c r="S17" s="3">
        <v>0.24596559854622521</v>
      </c>
      <c r="T17" s="3">
        <v>9.3876727456493281E-2</v>
      </c>
      <c r="U17" s="3">
        <v>0.16140525861559321</v>
      </c>
      <c r="V17" s="3">
        <v>-7.1459287832526613E-2</v>
      </c>
      <c r="W17" s="3">
        <v>7.6581696676687225E-2</v>
      </c>
      <c r="X17" s="3">
        <v>-0.1340913045828529</v>
      </c>
      <c r="Y17" s="3">
        <v>-2.9926454668850501E-3</v>
      </c>
      <c r="Z17" s="3">
        <v>5.6824382034626648E-2</v>
      </c>
      <c r="AA17" s="3">
        <v>-5.1129027670266718E-2</v>
      </c>
      <c r="AB17" s="3">
        <v>-8.5885231039272217E-2</v>
      </c>
      <c r="AC17" s="3">
        <v>-1.7804086134317849E-2</v>
      </c>
      <c r="AD17" s="3">
        <v>-1.223794750048187E-2</v>
      </c>
      <c r="AE17" s="3">
        <v>0.17483924961177291</v>
      </c>
      <c r="AF17" s="3">
        <v>-0.1816171367597203</v>
      </c>
      <c r="AG17" s="3">
        <v>6.6435099043148163E-2</v>
      </c>
      <c r="AH17" s="3">
        <v>9.3768560348520436E-2</v>
      </c>
      <c r="AI17" s="3">
        <v>-1.184896128361165E-3</v>
      </c>
      <c r="AJ17" s="3">
        <v>8.3847311354789608E-2</v>
      </c>
      <c r="AK17" s="3">
        <v>3.1812485999819867E-2</v>
      </c>
      <c r="AL17" s="3">
        <v>3.184147070148817E-2</v>
      </c>
      <c r="AM17" s="3">
        <v>1.164532483032311E-3</v>
      </c>
      <c r="AN17" s="3">
        <v>0.1150317075315794</v>
      </c>
      <c r="AO17" s="3">
        <v>2.9150083513395549E-2</v>
      </c>
      <c r="AP17" s="3">
        <v>0.1005058530806891</v>
      </c>
      <c r="AQ17" s="3">
        <v>3.3097297155682201E-2</v>
      </c>
      <c r="AR17" s="3">
        <v>2.4600126491950969E-2</v>
      </c>
      <c r="AS17" s="3">
        <v>8.6099673056289988E-2</v>
      </c>
      <c r="AT17" s="3">
        <v>0.2675017318134017</v>
      </c>
      <c r="AU17" s="3">
        <v>0.16451196262571949</v>
      </c>
      <c r="AV17" s="3">
        <v>-7.218721493644871E-2</v>
      </c>
      <c r="AW17" s="3">
        <v>-1.252766625358679E-2</v>
      </c>
      <c r="AX17" s="3">
        <v>9.6011082808542647E-2</v>
      </c>
      <c r="AY17" s="3">
        <v>-4.8330329569632319E-3</v>
      </c>
      <c r="AZ17" s="3">
        <v>1.9981923156699631E-2</v>
      </c>
      <c r="BA17" s="3">
        <v>9.6964031887086036E-3</v>
      </c>
      <c r="BB17" s="3">
        <v>0.14193613403146271</v>
      </c>
      <c r="BC17" s="3">
        <v>8.1917917659997619E-2</v>
      </c>
      <c r="BD17" s="3">
        <v>7.8172420627705505E-2</v>
      </c>
      <c r="BE17" s="3">
        <v>-7.9146428674660319E-2</v>
      </c>
      <c r="BF17" s="3">
        <v>0.1494784707301087</v>
      </c>
      <c r="BG17" s="3">
        <v>1.349434926079399E-2</v>
      </c>
      <c r="BH17" s="3">
        <v>6.6040501318651273E-2</v>
      </c>
      <c r="BI17" s="3">
        <v>5.7207807481250983E-2</v>
      </c>
      <c r="BJ17" s="3">
        <v>7.7585785842305105E-2</v>
      </c>
      <c r="BK17" s="3">
        <v>-9.6916219887294985E-2</v>
      </c>
      <c r="BL17" s="3">
        <v>4.3403096258777363E-2</v>
      </c>
      <c r="BM17" s="3">
        <v>2.368577340358741E-2</v>
      </c>
      <c r="BN17" s="3">
        <v>5.638205174788475E-2</v>
      </c>
      <c r="BO17" s="3">
        <v>-1.0268629779396901E-2</v>
      </c>
      <c r="BP17" s="3">
        <v>3.5844841455134203E-2</v>
      </c>
      <c r="BQ17" s="3">
        <v>-5.9524454783734942E-2</v>
      </c>
      <c r="BR17" s="3">
        <v>-3.2468675473830998E-2</v>
      </c>
      <c r="BS17" s="3">
        <v>9.2324973901933491E-3</v>
      </c>
      <c r="BT17" s="3">
        <v>-2.713598156373118E-2</v>
      </c>
      <c r="BU17" s="3">
        <v>4.8214505443007469E-2</v>
      </c>
      <c r="BV17" s="3">
        <v>-6.590093372816222E-2</v>
      </c>
      <c r="BW17" s="3">
        <v>-7.843187907280158E-2</v>
      </c>
      <c r="BX17" s="3">
        <v>-2.430471463428575E-3</v>
      </c>
      <c r="BY17" s="3">
        <v>-9.546081973655117E-2</v>
      </c>
      <c r="BZ17" s="3">
        <v>-8.7603173155947484E-2</v>
      </c>
      <c r="CA17" s="3">
        <v>1.9416680923815231E-2</v>
      </c>
      <c r="CB17" s="3">
        <v>-5.631044378582574E-2</v>
      </c>
      <c r="CC17" s="3">
        <v>-0.18432006655761579</v>
      </c>
      <c r="CD17" s="3">
        <v>-1.71283052130633E-3</v>
      </c>
      <c r="CE17" s="3">
        <v>-0.15827879924712221</v>
      </c>
      <c r="CF17" s="3">
        <v>6.8976127772498813E-2</v>
      </c>
      <c r="CG17" s="3">
        <v>-0.1232702825774835</v>
      </c>
      <c r="CH17" s="3">
        <v>4.5776871402103063E-2</v>
      </c>
      <c r="CI17" s="3">
        <v>-5.5913288806027542E-2</v>
      </c>
      <c r="CJ17" s="3">
        <v>8.1625098873259805E-2</v>
      </c>
      <c r="CK17" s="3">
        <v>0.1430434700386142</v>
      </c>
      <c r="CL17" s="3">
        <v>0.1082463176603676</v>
      </c>
      <c r="CM17" s="3">
        <v>-3.0255388402135808E-2</v>
      </c>
      <c r="CN17" s="3">
        <v>7.1601733869625178E-2</v>
      </c>
      <c r="CO17" s="3">
        <v>-0.21719509557040159</v>
      </c>
      <c r="CP17" s="3">
        <v>9.9452860955883599E-2</v>
      </c>
      <c r="CQ17" s="3">
        <v>6.6152951237496135E-2</v>
      </c>
      <c r="CR17" s="3">
        <v>-7.911461590479249E-2</v>
      </c>
      <c r="CS17" s="3">
        <v>1.474801416262659E-2</v>
      </c>
      <c r="CT17" s="3">
        <v>4.0155345599371971E-2</v>
      </c>
      <c r="CU17" s="3">
        <v>0.1546915472850518</v>
      </c>
      <c r="CV17" s="3">
        <v>-0.1227951635392554</v>
      </c>
      <c r="CW17" s="3">
        <v>6.9562239507384466E-2</v>
      </c>
      <c r="CX17" s="3">
        <v>-0.1256646477464772</v>
      </c>
      <c r="CY17" s="3">
        <v>-4.6190210894398412E-2</v>
      </c>
      <c r="CZ17" s="3">
        <v>-2.7595689618317761E-2</v>
      </c>
      <c r="DA17" s="3">
        <v>-4.8827628571350291E-2</v>
      </c>
      <c r="DB17" s="3">
        <v>2.1445068537740919E-2</v>
      </c>
      <c r="DC17" s="3">
        <v>-2.5802332302496251E-2</v>
      </c>
      <c r="DD17" s="3">
        <v>9.6005186292577357E-2</v>
      </c>
      <c r="DE17" s="3">
        <v>-2.505165232706846E-2</v>
      </c>
      <c r="DF17" s="3">
        <v>3.1415421356985758E-3</v>
      </c>
      <c r="DG17" s="3">
        <v>9.7393408181285029E-2</v>
      </c>
      <c r="DH17" s="3">
        <v>2.726662585916818E-2</v>
      </c>
      <c r="DI17" s="3">
        <v>-3.1911727931631849E-2</v>
      </c>
      <c r="DJ17" s="3">
        <v>-6.6172823701739464E-2</v>
      </c>
      <c r="DK17" s="3">
        <v>7.6338487143976794E-3</v>
      </c>
      <c r="DL17" s="3">
        <v>3.3776521632631271E-3</v>
      </c>
      <c r="DM17" s="3">
        <v>-8.8702295744612608E-2</v>
      </c>
      <c r="DN17" s="3">
        <v>0.1407928439418504</v>
      </c>
      <c r="DO17" s="3">
        <v>7.5164690087662328E-2</v>
      </c>
      <c r="DP17" s="3">
        <v>3.1720124336312043E-2</v>
      </c>
      <c r="DQ17" s="3">
        <v>-4.7643837166474433E-2</v>
      </c>
      <c r="DR17" s="3">
        <v>-5.3728120390811533E-2</v>
      </c>
      <c r="DS17" s="3">
        <v>-5.7672909590693808E-3</v>
      </c>
      <c r="DT17" s="3">
        <v>7.6728353137935593E-2</v>
      </c>
      <c r="DU17" s="3">
        <v>-0.19564396620173291</v>
      </c>
      <c r="DV17" s="3">
        <v>2.2495642149801538E-3</v>
      </c>
      <c r="DW17" s="3">
        <v>-3.9271864742645463E-2</v>
      </c>
      <c r="DX17" s="3">
        <v>5.69552720772694E-2</v>
      </c>
      <c r="DY17" s="3">
        <v>-9.2615744597034033E-2</v>
      </c>
      <c r="DZ17" s="3">
        <v>-7.4262205080522142E-2</v>
      </c>
      <c r="EA17" s="3">
        <v>0.1051514099583504</v>
      </c>
      <c r="EB17" s="3">
        <v>0.1209598200696666</v>
      </c>
      <c r="EC17" s="3">
        <v>-5.6703448860551717E-2</v>
      </c>
      <c r="ED17" s="3">
        <v>-7.0037964093863703E-2</v>
      </c>
      <c r="EE17" s="3">
        <v>-6.6437347645094957E-2</v>
      </c>
      <c r="EF17" s="3">
        <v>-7.17201196883194E-2</v>
      </c>
      <c r="EG17" s="3">
        <v>-0.29206160514271601</v>
      </c>
      <c r="EH17" s="3">
        <v>1.5751083219620252E-2</v>
      </c>
      <c r="EI17" s="3">
        <v>-3.0154408128035212E-2</v>
      </c>
      <c r="EJ17" s="3">
        <v>2.9340073177758431E-2</v>
      </c>
      <c r="EK17" s="3">
        <v>0.13388963973230381</v>
      </c>
      <c r="EL17" s="3">
        <v>1.9339646930291419E-2</v>
      </c>
      <c r="EM17">
        <f t="shared" si="11"/>
        <v>1.1837272096606464E-2</v>
      </c>
      <c r="EN17">
        <f t="shared" si="12"/>
        <v>9.2622825119312233E-2</v>
      </c>
      <c r="EO17">
        <f t="shared" si="13"/>
        <v>0.12780081023611906</v>
      </c>
    </row>
    <row r="18" spans="1:145" x14ac:dyDescent="0.3">
      <c r="A18" s="17">
        <v>150</v>
      </c>
      <c r="B18" s="17">
        <f t="shared" si="10"/>
        <v>7</v>
      </c>
      <c r="C18" s="3">
        <v>-5.264358642546442E-2</v>
      </c>
      <c r="D18" s="3">
        <v>0.19928275284188771</v>
      </c>
      <c r="E18" s="3">
        <v>1.3048588484643639E-2</v>
      </c>
      <c r="F18" s="3">
        <v>0.15798308106779871</v>
      </c>
      <c r="G18" s="3">
        <v>-7.549066755326822E-2</v>
      </c>
      <c r="H18" s="3">
        <v>1.8917999682007951E-2</v>
      </c>
      <c r="I18" s="3">
        <v>-0.14821157041136249</v>
      </c>
      <c r="J18" s="3">
        <v>0.19319962712648889</v>
      </c>
      <c r="K18" s="3">
        <v>6.1555077462900148E-2</v>
      </c>
      <c r="L18" s="3">
        <v>-6.071099636825536E-2</v>
      </c>
      <c r="M18" s="3">
        <v>5.3938885942552348E-2</v>
      </c>
      <c r="N18" s="3">
        <v>9.395426094992379E-2</v>
      </c>
      <c r="O18" s="3">
        <v>8.9528965292745066E-2</v>
      </c>
      <c r="P18" s="3">
        <v>1.028400799247953E-2</v>
      </c>
      <c r="Q18" s="3">
        <v>0.1502701249215575</v>
      </c>
      <c r="R18" s="3">
        <v>8.3649355601262257E-2</v>
      </c>
      <c r="S18" s="3">
        <v>0.28114321822492511</v>
      </c>
      <c r="T18" s="3">
        <v>8.8495999226994942E-2</v>
      </c>
      <c r="U18" s="3">
        <v>0.151044592824151</v>
      </c>
      <c r="V18" s="3">
        <v>-6.8181928002782111E-2</v>
      </c>
      <c r="W18" s="3">
        <v>8.9030265334534606E-2</v>
      </c>
      <c r="X18" s="3">
        <v>-0.12683028097326729</v>
      </c>
      <c r="Y18" s="3">
        <v>1.4124330881083129E-2</v>
      </c>
      <c r="Z18" s="3">
        <v>6.7105426807382601E-2</v>
      </c>
      <c r="AA18" s="3">
        <v>-5.1800630276831391E-2</v>
      </c>
      <c r="AB18" s="3">
        <v>-9.482142138284913E-2</v>
      </c>
      <c r="AC18" s="3">
        <v>-1.7944234425234039E-2</v>
      </c>
      <c r="AD18" s="3">
        <v>-3.834699391362445E-2</v>
      </c>
      <c r="AE18" s="3">
        <v>0.20233266192506999</v>
      </c>
      <c r="AF18" s="3">
        <v>-0.2335332864896679</v>
      </c>
      <c r="AG18" s="3">
        <v>5.5242557359592707E-2</v>
      </c>
      <c r="AH18" s="3">
        <v>8.6917574719815691E-2</v>
      </c>
      <c r="AI18" s="3">
        <v>1.412698109927032E-2</v>
      </c>
      <c r="AJ18" s="3">
        <v>7.61478514743852E-2</v>
      </c>
      <c r="AK18" s="3">
        <v>-2.1874809686740931E-3</v>
      </c>
      <c r="AL18" s="3">
        <v>2.6245818566959529E-2</v>
      </c>
      <c r="AM18" s="3">
        <v>4.532187889988366E-3</v>
      </c>
      <c r="AN18" s="3">
        <v>0.12728849630120859</v>
      </c>
      <c r="AO18" s="3">
        <v>1.3072200348825421E-2</v>
      </c>
      <c r="AP18" s="3">
        <v>7.5596620318455904E-2</v>
      </c>
      <c r="AQ18" s="3">
        <v>-6.9686748346081823E-3</v>
      </c>
      <c r="AR18" s="3">
        <v>2.750994645123778E-2</v>
      </c>
      <c r="AS18" s="3">
        <v>3.4980856502051363E-2</v>
      </c>
      <c r="AT18" s="3">
        <v>0.29755359591416419</v>
      </c>
      <c r="AU18" s="3">
        <v>0.17314010766987301</v>
      </c>
      <c r="AV18" s="3">
        <v>-7.8764629702722203E-2</v>
      </c>
      <c r="AW18" s="3">
        <v>-9.6164541514198228E-3</v>
      </c>
      <c r="AX18" s="3">
        <v>0.1384838600667897</v>
      </c>
      <c r="AY18" s="3">
        <v>-5.2270054812624048E-3</v>
      </c>
      <c r="AZ18" s="3">
        <v>2.670241357654829E-2</v>
      </c>
      <c r="BA18" s="3">
        <v>-1.7861028417374091E-2</v>
      </c>
      <c r="BB18" s="3">
        <v>0.16857579890929059</v>
      </c>
      <c r="BC18" s="3">
        <v>8.2288825297534743E-2</v>
      </c>
      <c r="BD18" s="3">
        <v>5.1867071868349067E-2</v>
      </c>
      <c r="BE18" s="3">
        <v>-7.5977969995435976E-2</v>
      </c>
      <c r="BF18" s="3">
        <v>0.14387298468636861</v>
      </c>
      <c r="BG18" s="3">
        <v>1.739298012590685E-2</v>
      </c>
      <c r="BH18" s="3">
        <v>1.9313319304242821E-2</v>
      </c>
      <c r="BI18" s="3">
        <v>5.0528764463940903E-2</v>
      </c>
      <c r="BJ18" s="3">
        <v>4.0631798996460383E-2</v>
      </c>
      <c r="BK18" s="3">
        <v>-0.1271840328975968</v>
      </c>
      <c r="BL18" s="3">
        <v>5.9180796428692638E-2</v>
      </c>
      <c r="BM18" s="3">
        <v>4.7064733084606243E-2</v>
      </c>
      <c r="BN18" s="3">
        <v>5.7391553739660588E-2</v>
      </c>
      <c r="BO18" s="3">
        <v>-2.051646755136657E-2</v>
      </c>
      <c r="BP18" s="3">
        <v>2.5169253131422941E-2</v>
      </c>
      <c r="BQ18" s="3">
        <v>-4.4668065196641973E-2</v>
      </c>
      <c r="BR18" s="3">
        <v>2.010587854894344E-4</v>
      </c>
      <c r="BS18" s="3">
        <v>8.7511588191738904E-3</v>
      </c>
      <c r="BT18" s="3">
        <v>-2.9464169134161639E-2</v>
      </c>
      <c r="BU18" s="3">
        <v>4.5866600042470937E-2</v>
      </c>
      <c r="BV18" s="3">
        <v>9.5384602406614356E-3</v>
      </c>
      <c r="BW18" s="3">
        <v>-7.9818409046286537E-2</v>
      </c>
      <c r="BX18" s="3">
        <v>-3.100890105256008E-2</v>
      </c>
      <c r="BY18" s="3">
        <v>-8.7918546937779993E-2</v>
      </c>
      <c r="BZ18" s="3">
        <v>-0.1098145711266066</v>
      </c>
      <c r="CA18" s="3">
        <v>2.3223983918224389E-2</v>
      </c>
      <c r="CB18" s="3">
        <v>-5.4216327893374543E-2</v>
      </c>
      <c r="CC18" s="3">
        <v>-0.21996524743106699</v>
      </c>
      <c r="CD18" s="3">
        <v>8.9782117725513699E-3</v>
      </c>
      <c r="CE18" s="3">
        <v>-0.13393260690958211</v>
      </c>
      <c r="CF18" s="3">
        <v>5.8878529831163449E-2</v>
      </c>
      <c r="CG18" s="3">
        <v>-0.17068847751891089</v>
      </c>
      <c r="CH18" s="3">
        <v>4.5072328746394531E-2</v>
      </c>
      <c r="CI18" s="3">
        <v>-3.0254409657059309E-2</v>
      </c>
      <c r="CJ18" s="3">
        <v>9.8939506341008163E-2</v>
      </c>
      <c r="CK18" s="3">
        <v>0.14910621729999041</v>
      </c>
      <c r="CL18" s="3">
        <v>0.1122118714270389</v>
      </c>
      <c r="CM18" s="3">
        <v>-1.485562655522701E-2</v>
      </c>
      <c r="CN18" s="3">
        <v>8.3229964807617754E-2</v>
      </c>
      <c r="CO18" s="3">
        <v>-0.210802125471416</v>
      </c>
      <c r="CP18" s="3">
        <v>0.11259506557389271</v>
      </c>
      <c r="CQ18" s="3">
        <v>4.7890904898578807E-2</v>
      </c>
      <c r="CR18" s="3">
        <v>-4.7814345592861053E-2</v>
      </c>
      <c r="CS18" s="3">
        <v>3.8558231530778142E-2</v>
      </c>
      <c r="CT18" s="3">
        <v>3.75016449195784E-2</v>
      </c>
      <c r="CU18" s="3">
        <v>0.1672345640050685</v>
      </c>
      <c r="CV18" s="3">
        <v>-0.1058315728417677</v>
      </c>
      <c r="CW18" s="3">
        <v>8.1713485742130165E-2</v>
      </c>
      <c r="CX18" s="3">
        <v>-9.7539868553291803E-2</v>
      </c>
      <c r="CY18" s="3">
        <v>-6.5170046432079493E-2</v>
      </c>
      <c r="CZ18" s="3">
        <v>-6.4844857286546514E-2</v>
      </c>
      <c r="DA18" s="3">
        <v>-5.3314123716004559E-2</v>
      </c>
      <c r="DB18" s="3">
        <v>2.1993506445864858E-2</v>
      </c>
      <c r="DC18" s="3">
        <v>-1.6338911009788432E-2</v>
      </c>
      <c r="DD18" s="3">
        <v>6.3134171128300498E-2</v>
      </c>
      <c r="DE18" s="3">
        <v>-3.3866290413535838E-2</v>
      </c>
      <c r="DF18" s="3">
        <v>3.6889485532906371E-2</v>
      </c>
      <c r="DG18" s="3">
        <v>8.9597380346258373E-2</v>
      </c>
      <c r="DH18" s="3">
        <v>2.844306212876466E-2</v>
      </c>
      <c r="DI18" s="3">
        <v>-3.7886954592806457E-2</v>
      </c>
      <c r="DJ18" s="3">
        <v>-6.6022975522745553E-2</v>
      </c>
      <c r="DK18" s="3">
        <v>3.534056529006302E-2</v>
      </c>
      <c r="DL18" s="3">
        <v>3.6194321287657681E-3</v>
      </c>
      <c r="DM18" s="3">
        <v>-8.3310379948091942E-2</v>
      </c>
      <c r="DN18" s="3">
        <v>0.15346599235654229</v>
      </c>
      <c r="DO18" s="3">
        <v>4.1529469731542583E-2</v>
      </c>
      <c r="DP18" s="3">
        <v>1.7868131614328361E-2</v>
      </c>
      <c r="DQ18" s="3">
        <v>-3.7166409110126891E-2</v>
      </c>
      <c r="DR18" s="3">
        <v>-5.2098327962446359E-2</v>
      </c>
      <c r="DS18" s="3">
        <v>3.0478001670476498E-3</v>
      </c>
      <c r="DT18" s="3">
        <v>9.5508566632489633E-2</v>
      </c>
      <c r="DU18" s="3">
        <v>-0.16699397878894101</v>
      </c>
      <c r="DV18" s="3">
        <v>-1.6358092090033069E-2</v>
      </c>
      <c r="DW18" s="3">
        <v>-3.3839095594252563E-2</v>
      </c>
      <c r="DX18" s="3">
        <v>7.8512284432182236E-2</v>
      </c>
      <c r="DY18" s="3">
        <v>-0.12759762660026519</v>
      </c>
      <c r="DZ18" s="3">
        <v>-9.7056063713003488E-2</v>
      </c>
      <c r="EA18" s="3">
        <v>0.13955198459728951</v>
      </c>
      <c r="EB18" s="3">
        <v>0.1090778874278253</v>
      </c>
      <c r="EC18" s="3">
        <v>-5.1865240388643541E-2</v>
      </c>
      <c r="ED18" s="3">
        <v>-3.9747591724024957E-2</v>
      </c>
      <c r="EE18" s="3">
        <v>-6.0382327761682598E-2</v>
      </c>
      <c r="EF18" s="3">
        <v>-8.2038991713789311E-2</v>
      </c>
      <c r="EG18" s="3">
        <v>-0.32935670666564248</v>
      </c>
      <c r="EH18" s="3">
        <v>1.6992386962088581E-2</v>
      </c>
      <c r="EI18" s="3">
        <v>-1.379284222679469E-2</v>
      </c>
      <c r="EJ18" s="3">
        <v>2.794403617859538E-2</v>
      </c>
      <c r="EK18" s="3">
        <v>0.14216877665460939</v>
      </c>
      <c r="EL18" s="3">
        <v>-8.5219986279376769E-3</v>
      </c>
      <c r="EM18">
        <f t="shared" si="11"/>
        <v>1.3392160259374739E-2</v>
      </c>
      <c r="EN18">
        <f t="shared" si="12"/>
        <v>9.7652703801485122E-2</v>
      </c>
      <c r="EO18">
        <f t="shared" si="13"/>
        <v>0.13714070105625759</v>
      </c>
    </row>
    <row r="19" spans="1:145" x14ac:dyDescent="0.3">
      <c r="A19" s="17">
        <v>180</v>
      </c>
      <c r="B19" s="17">
        <f t="shared" si="10"/>
        <v>6</v>
      </c>
      <c r="C19" s="3">
        <v>-6.3862070951592978E-2</v>
      </c>
      <c r="D19" s="3">
        <v>0.20816772247219481</v>
      </c>
      <c r="E19" s="3">
        <v>5.7019268228133517E-2</v>
      </c>
      <c r="F19" s="3">
        <v>0.13572992870553999</v>
      </c>
      <c r="G19" s="3">
        <v>-0.11281382672705779</v>
      </c>
      <c r="H19" s="3">
        <v>3.6133644221662757E-2</v>
      </c>
      <c r="I19" s="3">
        <v>-0.183132986749064</v>
      </c>
      <c r="J19" s="3">
        <v>0.2060553049937506</v>
      </c>
      <c r="K19" s="3">
        <v>0.12836313714558589</v>
      </c>
      <c r="L19" s="3">
        <v>-4.5025444540175798E-2</v>
      </c>
      <c r="M19" s="3">
        <v>5.6587151701981503E-2</v>
      </c>
      <c r="N19" s="3">
        <v>9.5718639060142635E-2</v>
      </c>
      <c r="O19" s="3">
        <v>8.3834481001647421E-2</v>
      </c>
      <c r="P19" s="3">
        <v>3.2168551411611568E-2</v>
      </c>
      <c r="Q19" s="3">
        <v>0.1520069122019321</v>
      </c>
      <c r="R19" s="3">
        <v>9.2763195453314254E-2</v>
      </c>
      <c r="S19" s="3">
        <v>0.32455080850195822</v>
      </c>
      <c r="T19" s="3">
        <v>7.0706363175496681E-2</v>
      </c>
      <c r="U19" s="3">
        <v>0.127790990668878</v>
      </c>
      <c r="V19" s="3">
        <v>-7.6793573733846959E-2</v>
      </c>
      <c r="W19" s="3">
        <v>0.1122630936464145</v>
      </c>
      <c r="X19" s="3">
        <v>-9.7247602492257806E-2</v>
      </c>
      <c r="Y19" s="3">
        <v>-2.497575791312592E-2</v>
      </c>
      <c r="Z19" s="3">
        <v>7.2871079141072187E-2</v>
      </c>
      <c r="AA19" s="3">
        <v>-5.3348133814614278E-2</v>
      </c>
      <c r="AB19" s="3">
        <v>-7.9004586334525617E-2</v>
      </c>
      <c r="AC19" s="3">
        <v>-9.4951403046225485E-3</v>
      </c>
      <c r="AD19" s="3">
        <v>-2.4650669750622E-3</v>
      </c>
      <c r="AE19" s="3">
        <v>0.23675417838502649</v>
      </c>
      <c r="AF19" s="3">
        <v>-0.2456999504625641</v>
      </c>
      <c r="AG19" s="3">
        <v>4.8677233877883898E-2</v>
      </c>
      <c r="AH19" s="3">
        <v>8.1102630405328863E-2</v>
      </c>
      <c r="AI19" s="3">
        <v>3.1554436283047077E-2</v>
      </c>
      <c r="AJ19" s="3">
        <v>9.0605207393604434E-2</v>
      </c>
      <c r="AK19" s="3">
        <v>7.5520425059527104E-3</v>
      </c>
      <c r="AL19" s="3">
        <v>2.4597503939923372E-2</v>
      </c>
      <c r="AM19" s="3">
        <v>2.814640311476763E-2</v>
      </c>
      <c r="AN19" s="3">
        <v>0.11732233838426109</v>
      </c>
      <c r="AO19" s="3">
        <v>2.3521151986376668E-2</v>
      </c>
      <c r="AP19" s="3">
        <v>0.10406327549215991</v>
      </c>
      <c r="AQ19" s="3">
        <v>-1.8043551058852521E-3</v>
      </c>
      <c r="AR19" s="3">
        <v>2.9545089678382881E-2</v>
      </c>
      <c r="AS19" s="3">
        <v>5.7025232144876439E-2</v>
      </c>
      <c r="AT19" s="3">
        <v>0.33000222487138942</v>
      </c>
      <c r="AU19" s="3">
        <v>0.21019997104886151</v>
      </c>
      <c r="AV19" s="3">
        <v>-9.0115407767361155E-2</v>
      </c>
      <c r="AW19" s="3">
        <v>8.1342196190773517E-3</v>
      </c>
      <c r="AX19" s="3">
        <v>0.18062020604609161</v>
      </c>
      <c r="AY19" s="3">
        <v>-1.381210687588093E-2</v>
      </c>
      <c r="AZ19" s="3">
        <v>-7.1138165568383274E-2</v>
      </c>
      <c r="BA19" s="3">
        <v>-2.9599194625857899E-2</v>
      </c>
      <c r="BB19" s="3">
        <v>0.1859153452045772</v>
      </c>
      <c r="BC19" s="3">
        <v>8.2725621214935138E-2</v>
      </c>
      <c r="BD19" s="3">
        <v>1.102630094743672E-2</v>
      </c>
      <c r="BE19" s="3">
        <v>-8.105888884626726E-2</v>
      </c>
      <c r="BF19" s="3">
        <v>0.13026631111831799</v>
      </c>
      <c r="BG19" s="3">
        <v>2.3555433244620689E-2</v>
      </c>
      <c r="BH19" s="3">
        <v>4.1000429022308271E-2</v>
      </c>
      <c r="BI19" s="3">
        <v>5.2443790315098902E-2</v>
      </c>
      <c r="BJ19" s="3">
        <v>2.9441368166143039E-2</v>
      </c>
      <c r="BK19" s="3">
        <v>-0.1095323913526333</v>
      </c>
      <c r="BL19" s="3">
        <v>6.7122935241750795E-2</v>
      </c>
      <c r="BM19" s="3">
        <v>4.9110781341881633E-2</v>
      </c>
      <c r="BN19" s="3">
        <v>6.6626952027252717E-2</v>
      </c>
      <c r="BO19" s="3">
        <v>-2.1019849988848791E-2</v>
      </c>
      <c r="BP19" s="3">
        <v>4.3032708198786948E-2</v>
      </c>
      <c r="BQ19" s="3">
        <v>-7.3551566143554903E-2</v>
      </c>
      <c r="BR19" s="3">
        <v>-7.6937408196493286E-3</v>
      </c>
      <c r="BS19" s="3">
        <v>8.9670615801846071E-3</v>
      </c>
      <c r="BT19" s="3">
        <v>-2.2485274248821002E-2</v>
      </c>
      <c r="BU19" s="3">
        <v>6.2493293502537198E-2</v>
      </c>
      <c r="BV19" s="3">
        <v>4.9639260373983238E-2</v>
      </c>
      <c r="BW19" s="3">
        <v>-8.2111102604668196E-2</v>
      </c>
      <c r="BX19" s="3">
        <v>-3.7240914294484777E-2</v>
      </c>
      <c r="BY19" s="3">
        <v>-9.4645219359794364E-2</v>
      </c>
      <c r="BZ19" s="3">
        <v>-0.14474202182844201</v>
      </c>
      <c r="CA19" s="3">
        <v>2.238290891488591E-2</v>
      </c>
      <c r="CB19" s="3">
        <v>-8.8054136731451904E-2</v>
      </c>
      <c r="CC19" s="3">
        <v>-0.2417632910805583</v>
      </c>
      <c r="CD19" s="3">
        <v>-2.5243296071044839E-2</v>
      </c>
      <c r="CE19" s="3">
        <v>-0.17925424783212451</v>
      </c>
      <c r="CF19" s="3">
        <v>-2.0789933068726601E-2</v>
      </c>
      <c r="CG19" s="3">
        <v>-0.14129641998391829</v>
      </c>
      <c r="CH19" s="3">
        <v>0.1303475449315222</v>
      </c>
      <c r="CI19" s="3">
        <v>-2.6363132284744802E-2</v>
      </c>
      <c r="CJ19" s="3">
        <v>9.4477767867255952E-2</v>
      </c>
      <c r="CK19" s="3">
        <v>0.15223796993137539</v>
      </c>
      <c r="CL19" s="3">
        <v>0.1414922470467804</v>
      </c>
      <c r="CM19" s="3">
        <v>3.4344857156288863E-2</v>
      </c>
      <c r="CN19" s="3">
        <v>7.6655302389225299E-2</v>
      </c>
      <c r="CO19" s="3">
        <v>-0.2235154197732051</v>
      </c>
      <c r="CP19" s="3">
        <v>0.11837555431378879</v>
      </c>
      <c r="CQ19" s="3">
        <v>4.6129026068822333E-2</v>
      </c>
      <c r="CR19" s="3">
        <v>-0.1031272569006812</v>
      </c>
      <c r="CS19" s="3">
        <v>4.0969268936396581E-2</v>
      </c>
      <c r="CT19" s="3">
        <v>-7.6451676051782907E-3</v>
      </c>
      <c r="CU19" s="3">
        <v>0.17077278897132989</v>
      </c>
      <c r="CV19" s="3">
        <v>-0.13455717083029151</v>
      </c>
      <c r="CW19" s="3">
        <v>6.773106645809171E-2</v>
      </c>
      <c r="CX19" s="3">
        <v>-0.1035655166187455</v>
      </c>
      <c r="CY19" s="3">
        <v>-7.2991215289993056E-2</v>
      </c>
      <c r="CZ19" s="3">
        <v>-1.801165092213633E-2</v>
      </c>
      <c r="DA19" s="3">
        <v>-6.5145924933432936E-2</v>
      </c>
      <c r="DB19" s="3">
        <v>3.118080988309958E-2</v>
      </c>
      <c r="DC19" s="3">
        <v>5.8594248802098133E-2</v>
      </c>
      <c r="DD19" s="3">
        <v>3.2007773031956649E-2</v>
      </c>
      <c r="DE19" s="3">
        <v>1.961177400071876E-2</v>
      </c>
      <c r="DF19" s="3">
        <v>-3.8359198699313729E-2</v>
      </c>
      <c r="DG19" s="3">
        <v>0.1156741012754892</v>
      </c>
      <c r="DH19" s="3">
        <v>-1.3768818672265429E-2</v>
      </c>
      <c r="DI19" s="3">
        <v>-6.0907595470325121E-2</v>
      </c>
      <c r="DJ19" s="3">
        <v>-4.0660305394108559E-2</v>
      </c>
      <c r="DK19" s="3">
        <v>4.0692421355179378E-2</v>
      </c>
      <c r="DL19" s="3">
        <v>-5.1896576032354688E-3</v>
      </c>
      <c r="DM19" s="3">
        <v>-4.2875893136251952E-2</v>
      </c>
      <c r="DN19" s="3">
        <v>0.19574439148311651</v>
      </c>
      <c r="DO19" s="3">
        <v>3.9010651523882188E-2</v>
      </c>
      <c r="DP19" s="3">
        <v>2.7711231149184119E-2</v>
      </c>
      <c r="DQ19" s="3">
        <v>-5.0447793337120753E-2</v>
      </c>
      <c r="DR19" s="3">
        <v>-5.0246245988047958E-2</v>
      </c>
      <c r="DS19" s="3">
        <v>1.6560303521378172E-2</v>
      </c>
      <c r="DT19" s="3">
        <v>7.3921318815956788E-2</v>
      </c>
      <c r="DU19" s="3">
        <v>-0.1945563373493151</v>
      </c>
      <c r="DV19" s="3">
        <v>-8.395519445350226E-3</v>
      </c>
      <c r="DW19" s="3">
        <v>-4.0067548642833281E-2</v>
      </c>
      <c r="DX19" s="3">
        <v>9.3094438984653596E-2</v>
      </c>
      <c r="DY19" s="3">
        <v>-0.10759301853245939</v>
      </c>
      <c r="DZ19" s="3">
        <v>-0.1569433676501622</v>
      </c>
      <c r="EA19" s="3">
        <v>0.16979568244635121</v>
      </c>
      <c r="EB19" s="3">
        <v>0.12031809934960069</v>
      </c>
      <c r="EC19" s="3">
        <v>-3.5933991929562342E-2</v>
      </c>
      <c r="ED19" s="3">
        <v>-3.3251180511030133E-2</v>
      </c>
      <c r="EE19" s="3">
        <v>-5.960284590791292E-2</v>
      </c>
      <c r="EF19" s="3">
        <v>-7.2902631519315961E-2</v>
      </c>
      <c r="EG19" s="3">
        <v>-0.44044150042745428</v>
      </c>
      <c r="EH19" s="3">
        <v>-1.2381003743444649E-2</v>
      </c>
      <c r="EI19" s="3">
        <v>6.1146519784480158E-3</v>
      </c>
      <c r="EJ19" s="3">
        <v>4.0877305587657758E-2</v>
      </c>
      <c r="EK19" s="3">
        <v>0.1237022591148411</v>
      </c>
      <c r="EL19" s="3">
        <v>2.37681856516841E-2</v>
      </c>
      <c r="EM19">
        <f t="shared" si="11"/>
        <v>1.4568247035960123E-2</v>
      </c>
      <c r="EN19">
        <f t="shared" si="12"/>
        <v>0.1093364659915969</v>
      </c>
      <c r="EO19">
        <f t="shared" si="13"/>
        <v>0.13324234420636727</v>
      </c>
    </row>
    <row r="20" spans="1:145" x14ac:dyDescent="0.3">
      <c r="A20" s="17">
        <v>200</v>
      </c>
      <c r="B20" s="17">
        <f t="shared" si="10"/>
        <v>5</v>
      </c>
      <c r="C20" s="3">
        <v>-7.7247532291167223E-2</v>
      </c>
      <c r="D20" s="3">
        <v>0.22395275743740001</v>
      </c>
      <c r="E20" s="3">
        <v>6.8320617322066068E-2</v>
      </c>
      <c r="F20" s="3">
        <v>0.1640011624365548</v>
      </c>
      <c r="G20" s="3">
        <v>-0.13326717167358201</v>
      </c>
      <c r="H20" s="3">
        <v>1.746187284294827E-2</v>
      </c>
      <c r="I20" s="3">
        <v>-0.2142284970631311</v>
      </c>
      <c r="J20" s="3">
        <v>0.22900574536443169</v>
      </c>
      <c r="K20" s="3">
        <v>0.1090072940348538</v>
      </c>
      <c r="L20" s="3">
        <v>-6.3366714195723942E-2</v>
      </c>
      <c r="M20" s="3">
        <v>4.3807329306204637E-2</v>
      </c>
      <c r="N20" s="3">
        <v>0.14490003730717421</v>
      </c>
      <c r="O20" s="3">
        <v>9.9488963161912608E-2</v>
      </c>
      <c r="P20" s="3">
        <v>5.2097243635889842E-2</v>
      </c>
      <c r="Q20" s="3">
        <v>0.16253832772787319</v>
      </c>
      <c r="R20" s="3">
        <v>7.6644816129848664E-2</v>
      </c>
      <c r="S20" s="3">
        <v>0.27746770687171862</v>
      </c>
      <c r="T20" s="3">
        <v>9.2488241977941019E-2</v>
      </c>
      <c r="U20" s="3">
        <v>0.1043735159566512</v>
      </c>
      <c r="V20" s="3">
        <v>-7.2880284363465539E-2</v>
      </c>
      <c r="W20" s="3">
        <v>0.1666084892431455</v>
      </c>
      <c r="X20" s="3">
        <v>-0.1254274699309309</v>
      </c>
      <c r="Y20" s="3">
        <v>-2.457532873154393E-2</v>
      </c>
      <c r="Z20" s="3">
        <v>0.11695890130971</v>
      </c>
      <c r="AA20" s="3">
        <v>-2.6830372358164871E-2</v>
      </c>
      <c r="AB20" s="3">
        <v>-0.1152208458850684</v>
      </c>
      <c r="AC20" s="3">
        <v>5.0356165119691543E-2</v>
      </c>
      <c r="AD20" s="3">
        <v>-4.0734777719304643E-2</v>
      </c>
      <c r="AE20" s="3">
        <v>0.14193566253016249</v>
      </c>
      <c r="AF20" s="3">
        <v>-0.2386840433411182</v>
      </c>
      <c r="AG20" s="3">
        <v>2.7659218539892259E-2</v>
      </c>
      <c r="AH20" s="3">
        <v>5.3615499657421961E-2</v>
      </c>
      <c r="AI20" s="3">
        <v>3.0638748971120702E-2</v>
      </c>
      <c r="AJ20" s="3">
        <v>0.13945097761494249</v>
      </c>
      <c r="AK20" s="3">
        <v>-1.359511549600285E-2</v>
      </c>
      <c r="AL20" s="3">
        <v>6.373554095447824E-2</v>
      </c>
      <c r="AM20" s="3">
        <v>2.8483107085087351E-2</v>
      </c>
      <c r="AN20" s="3">
        <v>0.1208414664731992</v>
      </c>
      <c r="AO20" s="3">
        <v>3.3309502134405873E-2</v>
      </c>
      <c r="AP20" s="3">
        <v>0.14727206317956049</v>
      </c>
      <c r="AQ20" s="3">
        <v>2.2718043509262941E-2</v>
      </c>
      <c r="AR20" s="3">
        <v>-2.097792210223048E-3</v>
      </c>
      <c r="AS20" s="3">
        <v>7.3246355688317957E-2</v>
      </c>
      <c r="AT20" s="3">
        <v>0.2030625906437723</v>
      </c>
      <c r="AU20" s="3">
        <v>0.2020390092933958</v>
      </c>
      <c r="AV20" s="3">
        <v>-9.7723679554602538E-2</v>
      </c>
      <c r="AW20" s="3">
        <v>-8.561298635354278E-4</v>
      </c>
      <c r="AX20" s="3">
        <v>0.1790139480206687</v>
      </c>
      <c r="AY20" s="3">
        <v>-7.3666499020899889E-3</v>
      </c>
      <c r="AZ20" s="3">
        <v>-9.4730207884381773E-2</v>
      </c>
      <c r="BA20" s="3">
        <v>-4.8327506816448547E-2</v>
      </c>
      <c r="BB20" s="3">
        <v>0.2348731780291089</v>
      </c>
      <c r="BC20" s="3">
        <v>3.9522400124645321E-2</v>
      </c>
      <c r="BD20" s="3">
        <v>3.5610536191995293E-2</v>
      </c>
      <c r="BE20" s="3">
        <v>-5.4207680239582348E-2</v>
      </c>
      <c r="BF20" s="3">
        <v>0.15957316783485589</v>
      </c>
      <c r="BG20" s="3">
        <v>-1.2799079086689339E-2</v>
      </c>
      <c r="BH20" s="3">
        <v>2.9345883264363382E-2</v>
      </c>
      <c r="BI20" s="3">
        <v>8.4860687701590484E-2</v>
      </c>
      <c r="BJ20" s="3">
        <v>2.9139871065308031E-2</v>
      </c>
      <c r="BK20" s="3">
        <v>1.5347523542533191E-3</v>
      </c>
      <c r="BL20" s="3">
        <v>7.4609523730898381E-2</v>
      </c>
      <c r="BM20" s="3">
        <v>5.6480862732913917E-2</v>
      </c>
      <c r="BN20" s="3">
        <v>9.5426685671894731E-2</v>
      </c>
      <c r="BO20" s="3">
        <v>-2.361256287382453E-2</v>
      </c>
      <c r="BP20" s="3">
        <v>5.1306747683821652E-2</v>
      </c>
      <c r="BQ20" s="3">
        <v>-9.3865646339479802E-2</v>
      </c>
      <c r="BR20" s="3">
        <v>-5.3891578431138863E-3</v>
      </c>
      <c r="BS20" s="3">
        <v>2.4364630143780739E-2</v>
      </c>
      <c r="BT20" s="3">
        <v>-3.6055404801430851E-2</v>
      </c>
      <c r="BU20" s="3">
        <v>5.0555818908897078E-2</v>
      </c>
      <c r="BV20" s="3">
        <v>5.7447555262872832E-2</v>
      </c>
      <c r="BW20" s="3">
        <v>-0.1216863616581198</v>
      </c>
      <c r="BX20" s="3">
        <v>-2.22574151216192E-2</v>
      </c>
      <c r="BY20" s="3">
        <v>-9.2755670484487407E-2</v>
      </c>
      <c r="BZ20" s="3">
        <v>-0.18472508748935221</v>
      </c>
      <c r="CA20" s="3">
        <v>1.7341987931063979E-2</v>
      </c>
      <c r="CB20" s="3">
        <v>-4.8224518879054767E-2</v>
      </c>
      <c r="CC20" s="3">
        <v>-0.2670957339038651</v>
      </c>
      <c r="CD20" s="3">
        <v>2.1518145989787421E-2</v>
      </c>
      <c r="CE20" s="3">
        <v>-0.20293368894332689</v>
      </c>
      <c r="CF20" s="3">
        <v>-1.186602010762987E-2</v>
      </c>
      <c r="CG20" s="3">
        <v>-0.1317137537872772</v>
      </c>
      <c r="CH20" s="3">
        <v>0.13470827654387199</v>
      </c>
      <c r="CI20" s="3">
        <v>4.1774733061409894E-3</v>
      </c>
      <c r="CJ20" s="3">
        <v>0.14212644503577981</v>
      </c>
      <c r="CK20" s="3">
        <v>0.1133929332981321</v>
      </c>
      <c r="CL20" s="3">
        <v>0.14406366552741051</v>
      </c>
      <c r="CM20" s="3">
        <v>2.9319594991152449E-2</v>
      </c>
      <c r="CN20" s="3">
        <v>7.8693195965172158E-2</v>
      </c>
      <c r="CO20" s="3">
        <v>-0.28663326181220211</v>
      </c>
      <c r="CP20" s="3">
        <v>0.1645116595679032</v>
      </c>
      <c r="CQ20" s="3">
        <v>4.5176644179017067E-2</v>
      </c>
      <c r="CR20" s="3">
        <v>-0.11594260530644281</v>
      </c>
      <c r="CS20" s="3">
        <v>5.8574012912527229E-2</v>
      </c>
      <c r="CT20" s="3">
        <v>-3.4364019328356241E-2</v>
      </c>
      <c r="CU20" s="3">
        <v>0.16194416727056149</v>
      </c>
      <c r="CV20" s="3">
        <v>-0.15168960754829389</v>
      </c>
      <c r="CW20" s="3">
        <v>5.3587191859861633E-2</v>
      </c>
      <c r="CX20" s="3">
        <v>-9.1172230679345184E-2</v>
      </c>
      <c r="CY20" s="3">
        <v>-9.0125293189851824E-2</v>
      </c>
      <c r="CZ20" s="3">
        <v>-8.0005485064748305E-3</v>
      </c>
      <c r="DA20" s="3">
        <v>-5.5778351031412973E-2</v>
      </c>
      <c r="DB20" s="3">
        <v>1.2910443853945011E-2</v>
      </c>
      <c r="DC20" s="3">
        <v>3.456113066023539E-2</v>
      </c>
      <c r="DD20" s="3">
        <v>3.4565162089503582E-2</v>
      </c>
      <c r="DE20" s="3">
        <v>-4.342618570873874E-2</v>
      </c>
      <c r="DF20" s="3">
        <v>-3.3372507585579879E-2</v>
      </c>
      <c r="DG20" s="3">
        <v>0.14042925077002061</v>
      </c>
      <c r="DH20" s="3">
        <v>-1.552048269913851E-2</v>
      </c>
      <c r="DI20" s="3">
        <v>-2.749454079454907E-2</v>
      </c>
      <c r="DJ20" s="3">
        <v>-1.5727649400214851E-2</v>
      </c>
      <c r="DK20" s="3">
        <v>2.7288253863589911E-3</v>
      </c>
      <c r="DL20" s="3">
        <v>5.464949574950681E-3</v>
      </c>
      <c r="DM20" s="3">
        <v>-7.3288815523190165E-2</v>
      </c>
      <c r="DN20" s="3">
        <v>0.22684224168146461</v>
      </c>
      <c r="DO20" s="3">
        <v>-1.7855120094467311E-2</v>
      </c>
      <c r="DP20" s="3">
        <v>3.6573078694257292E-2</v>
      </c>
      <c r="DQ20" s="3">
        <v>-4.1618122190411319E-2</v>
      </c>
      <c r="DR20" s="3">
        <v>-5.8604562959139697E-2</v>
      </c>
      <c r="DS20" s="3">
        <v>3.8235208247916201E-2</v>
      </c>
      <c r="DT20" s="3">
        <v>6.8042387127364698E-2</v>
      </c>
      <c r="DU20" s="3">
        <v>-0.24265585275046769</v>
      </c>
      <c r="DV20" s="3">
        <v>-4.1788597291417262E-2</v>
      </c>
      <c r="DW20" s="3">
        <v>-4.9423471656750532E-2</v>
      </c>
      <c r="DX20" s="3">
        <v>0.13335426278951851</v>
      </c>
      <c r="DY20" s="3">
        <v>-0.19059859320622971</v>
      </c>
      <c r="DZ20" s="3">
        <v>-0.19320279881304969</v>
      </c>
      <c r="EA20" s="3">
        <v>0.1994733538056174</v>
      </c>
      <c r="EB20" s="3">
        <v>0.13359364119037129</v>
      </c>
      <c r="EC20" s="3">
        <v>-5.1561124266858049E-2</v>
      </c>
      <c r="ED20" s="3">
        <v>-8.2967308695257799E-3</v>
      </c>
      <c r="EE20" s="3">
        <v>-2.8226265489816601E-2</v>
      </c>
      <c r="EF20" s="3">
        <v>-8.4458715388422562E-2</v>
      </c>
      <c r="EG20" s="3">
        <v>-0.45349068161603578</v>
      </c>
      <c r="EH20" s="3">
        <v>-8.7684410243298316E-3</v>
      </c>
      <c r="EI20" s="3">
        <v>-5.1742311728768531E-2</v>
      </c>
      <c r="EJ20" s="3">
        <v>2.770907509652407E-2</v>
      </c>
      <c r="EK20" s="3">
        <v>0.14654902267031489</v>
      </c>
      <c r="EL20" s="3">
        <v>4.4597852711278162E-2</v>
      </c>
      <c r="EM20">
        <f t="shared" si="11"/>
        <v>1.339102224008649E-2</v>
      </c>
      <c r="EN20">
        <f t="shared" si="12"/>
        <v>0.11632789663836762</v>
      </c>
      <c r="EO20">
        <f t="shared" si="13"/>
        <v>0.11511445342913405</v>
      </c>
    </row>
    <row r="21" spans="1:145" x14ac:dyDescent="0.3">
      <c r="A21" s="17">
        <v>256</v>
      </c>
      <c r="B21" s="17">
        <f t="shared" si="10"/>
        <v>4</v>
      </c>
      <c r="C21" s="3">
        <v>1.190207271587417E-2</v>
      </c>
      <c r="D21" s="3">
        <v>0.1872483238738703</v>
      </c>
      <c r="E21" s="3">
        <v>-9.6158537925814802E-3</v>
      </c>
      <c r="F21" s="3">
        <v>0.18403858160612999</v>
      </c>
      <c r="G21" s="3">
        <v>-6.2455603007767313E-2</v>
      </c>
      <c r="H21" s="3">
        <v>-5.2945065547031503E-2</v>
      </c>
      <c r="I21" s="3">
        <v>-0.2173542762050098</v>
      </c>
      <c r="J21" s="3">
        <v>0.28503540232140601</v>
      </c>
      <c r="K21" s="3">
        <v>5.6385823452699692E-2</v>
      </c>
      <c r="L21" s="3">
        <v>-7.3002634445401865E-2</v>
      </c>
      <c r="M21" s="3">
        <v>-2.9350118045452199E-2</v>
      </c>
      <c r="N21" s="3">
        <v>0.1442028904226075</v>
      </c>
      <c r="O21" s="3">
        <v>0.101704656153443</v>
      </c>
      <c r="P21" s="3">
        <v>8.8165606280514466E-2</v>
      </c>
      <c r="Q21" s="3">
        <v>0.17440788339097121</v>
      </c>
      <c r="R21" s="3">
        <v>0.1042261533567273</v>
      </c>
      <c r="S21" s="3">
        <v>0.25468280250588032</v>
      </c>
      <c r="T21" s="3">
        <v>0.1157189576337045</v>
      </c>
      <c r="U21" s="3">
        <v>0.1127314871451478</v>
      </c>
      <c r="V21" s="3">
        <v>-2.8497686040694591E-2</v>
      </c>
      <c r="W21" s="3">
        <v>0.1630558798265769</v>
      </c>
      <c r="X21" s="3">
        <v>-0.13383003673111221</v>
      </c>
      <c r="Y21" s="3">
        <v>-1.3138882269357629E-2</v>
      </c>
      <c r="Z21" s="3">
        <v>0.13186385509314039</v>
      </c>
      <c r="AA21" s="3">
        <v>8.533396604185858E-3</v>
      </c>
      <c r="AB21" s="3">
        <v>-0.1167099719164395</v>
      </c>
      <c r="AC21" s="3">
        <v>6.1997929262369307E-2</v>
      </c>
      <c r="AD21" s="3">
        <v>-7.3114424521115023E-2</v>
      </c>
      <c r="AE21" s="3">
        <v>0.15043393360703219</v>
      </c>
      <c r="AF21" s="3">
        <v>-0.24276149706013739</v>
      </c>
      <c r="AG21" s="3">
        <v>4.4302777789794079E-2</v>
      </c>
      <c r="AH21" s="3">
        <v>2.590800587773848E-2</v>
      </c>
      <c r="AI21" s="3">
        <v>-2.271891412517683E-2</v>
      </c>
      <c r="AJ21" s="3">
        <v>0.2270313937955809</v>
      </c>
      <c r="AK21" s="3">
        <v>-3.064343373743127E-2</v>
      </c>
      <c r="AL21" s="3">
        <v>6.5379822733110632E-2</v>
      </c>
      <c r="AM21" s="3">
        <v>-7.8331085762032623E-3</v>
      </c>
      <c r="AN21" s="3">
        <v>0.1064311379698018</v>
      </c>
      <c r="AO21" s="3">
        <v>0.1803604878600828</v>
      </c>
      <c r="AP21" s="3">
        <v>0.18453516644040691</v>
      </c>
      <c r="AQ21" s="3">
        <v>4.6577566106297097E-2</v>
      </c>
      <c r="AR21" s="3">
        <v>-3.8219096310563187E-2</v>
      </c>
      <c r="AS21" s="3">
        <v>0.1174173206585938</v>
      </c>
      <c r="AT21" s="3">
        <v>0.21118406973015361</v>
      </c>
      <c r="AU21" s="3">
        <v>0.26089728822828062</v>
      </c>
      <c r="AV21" s="3">
        <v>-8.9659120897593467E-2</v>
      </c>
      <c r="AW21" s="3">
        <v>2.4903098190320189E-2</v>
      </c>
      <c r="AX21" s="3">
        <v>0.15731136441856319</v>
      </c>
      <c r="AY21" s="3">
        <v>-1.5847563811557799E-2</v>
      </c>
      <c r="AZ21" s="3">
        <v>-0.16404772824859379</v>
      </c>
      <c r="BA21" s="3">
        <v>-4.8067558401640578E-2</v>
      </c>
      <c r="BB21" s="3">
        <v>0.27638756126644792</v>
      </c>
      <c r="BC21" s="3">
        <v>5.9896200794398398E-2</v>
      </c>
      <c r="BD21" s="3">
        <v>-1.2829662122521301E-2</v>
      </c>
      <c r="BE21" s="3">
        <v>-0.13674535590796441</v>
      </c>
      <c r="BF21" s="3">
        <v>0.19911721643060321</v>
      </c>
      <c r="BG21" s="3">
        <v>1.324431147469142E-2</v>
      </c>
      <c r="BH21" s="3">
        <v>-4.8053699617806908E-2</v>
      </c>
      <c r="BI21" s="3">
        <v>4.6273768631689999E-2</v>
      </c>
      <c r="BJ21" s="3">
        <v>2.3095902254964521E-3</v>
      </c>
      <c r="BK21" s="3">
        <v>4.7851688152755461E-3</v>
      </c>
      <c r="BL21" s="3">
        <v>9.4508282582240866E-2</v>
      </c>
      <c r="BM21" s="3">
        <v>4.0795286028720637E-2</v>
      </c>
      <c r="BN21" s="3">
        <v>0.123828936860666</v>
      </c>
      <c r="BO21" s="3">
        <v>0.10661704054188401</v>
      </c>
      <c r="BP21" s="3">
        <v>8.255212019536784E-2</v>
      </c>
      <c r="BQ21" s="3">
        <v>-7.1046843066567195E-2</v>
      </c>
      <c r="BR21" s="3">
        <v>1.5383030805276299E-2</v>
      </c>
      <c r="BS21" s="3">
        <v>2.9758592738494131E-2</v>
      </c>
      <c r="BT21" s="3">
        <v>-1.176408289349291E-2</v>
      </c>
      <c r="BU21" s="3">
        <v>0.17779225560485529</v>
      </c>
      <c r="BV21" s="3">
        <v>8.2098962201967898E-2</v>
      </c>
      <c r="BW21" s="3">
        <v>-0.14471369773672821</v>
      </c>
      <c r="BX21" s="3">
        <v>-4.8237903724040992E-2</v>
      </c>
      <c r="BY21" s="3">
        <v>-7.6881613663400933E-2</v>
      </c>
      <c r="BZ21" s="3">
        <v>-0.25140177788258627</v>
      </c>
      <c r="CA21" s="3">
        <v>6.4338154315686943E-2</v>
      </c>
      <c r="CB21" s="3">
        <v>-2.6388382570037779E-2</v>
      </c>
      <c r="CC21" s="3">
        <v>-0.17931874603036521</v>
      </c>
      <c r="CD21" s="3">
        <v>-5.473506970604039E-2</v>
      </c>
      <c r="CE21" s="3">
        <v>-0.34015037388082398</v>
      </c>
      <c r="CF21" s="3">
        <v>1.6372110636307339E-2</v>
      </c>
      <c r="CG21" s="3">
        <v>-0.15287279607197121</v>
      </c>
      <c r="CH21" s="3">
        <v>0.12696361866002889</v>
      </c>
      <c r="CI21" s="3">
        <v>3.003803332268698E-3</v>
      </c>
      <c r="CJ21" s="3">
        <v>0.23904770620485921</v>
      </c>
      <c r="CK21" s="3">
        <v>0.23663133235579659</v>
      </c>
      <c r="CL21" s="3">
        <v>8.5330884764178966E-2</v>
      </c>
      <c r="CM21" s="3">
        <v>8.7517273868249618E-3</v>
      </c>
      <c r="CN21" s="3">
        <v>0.10649522043646879</v>
      </c>
      <c r="CO21" s="3">
        <v>-0.29725993832316078</v>
      </c>
      <c r="CP21" s="3">
        <v>0.12221034556460759</v>
      </c>
      <c r="CQ21" s="3">
        <v>4.7072420475831933E-2</v>
      </c>
      <c r="CR21" s="3">
        <v>-0.1197085447372189</v>
      </c>
      <c r="CS21" s="3">
        <v>3.034633104330612E-2</v>
      </c>
      <c r="CT21" s="3">
        <v>-5.1451000930628023E-2</v>
      </c>
      <c r="CU21" s="3">
        <v>0.17793682006611869</v>
      </c>
      <c r="CV21" s="3">
        <v>-0.20039655861827799</v>
      </c>
      <c r="CW21" s="3">
        <v>4.3841589312089903E-2</v>
      </c>
      <c r="CX21" s="3">
        <v>-3.7793903089870851E-2</v>
      </c>
      <c r="CY21" s="3">
        <v>-0.1106503068143025</v>
      </c>
      <c r="CZ21" s="3">
        <v>8.887359157592728E-3</v>
      </c>
      <c r="DA21" s="3">
        <v>-9.1908158885625028E-3</v>
      </c>
      <c r="DB21" s="3">
        <v>3.3685093476025392E-2</v>
      </c>
      <c r="DC21" s="3">
        <v>5.2448650016597861E-2</v>
      </c>
      <c r="DD21" s="3">
        <v>3.3671195797877647E-2</v>
      </c>
      <c r="DE21" s="3">
        <v>-5.3096691280428918E-2</v>
      </c>
      <c r="DF21" s="3">
        <v>-6.2202613264323851E-2</v>
      </c>
      <c r="DG21" s="3">
        <v>0.1282306235995887</v>
      </c>
      <c r="DH21" s="3">
        <v>-3.4712119132136181E-3</v>
      </c>
      <c r="DI21" s="3">
        <v>-5.3926294667070072E-2</v>
      </c>
      <c r="DJ21" s="3">
        <v>3.5598969460519367E-2</v>
      </c>
      <c r="DK21" s="3">
        <v>2.1545303149642842E-2</v>
      </c>
      <c r="DL21" s="3">
        <v>2.1920188588726831E-2</v>
      </c>
      <c r="DM21" s="3">
        <v>-0.1162525000516713</v>
      </c>
      <c r="DN21" s="3">
        <v>0.32191567956678868</v>
      </c>
      <c r="DO21" s="3">
        <v>1.4066410155289951E-2</v>
      </c>
      <c r="DP21" s="3">
        <v>-3.7646763032475619E-2</v>
      </c>
      <c r="DQ21" s="3">
        <v>-0.1092082834775548</v>
      </c>
      <c r="DR21" s="3">
        <v>-1.851543020035536E-2</v>
      </c>
      <c r="DS21" s="3">
        <v>-0.1068253817907779</v>
      </c>
      <c r="DT21" s="3">
        <v>-7.8939330138467281E-3</v>
      </c>
      <c r="DU21" s="3">
        <v>-0.32089058419434002</v>
      </c>
      <c r="DV21" s="3">
        <v>-5.2149153198353962E-2</v>
      </c>
      <c r="DW21" s="3">
        <v>-0.1201976564496203</v>
      </c>
      <c r="DX21" s="3">
        <v>9.9724610700535204E-2</v>
      </c>
      <c r="DY21" s="3">
        <v>-0.12017983297387171</v>
      </c>
      <c r="DZ21" s="3">
        <v>-0.20976460288639329</v>
      </c>
      <c r="EA21" s="3">
        <v>0.1482860445811536</v>
      </c>
      <c r="EB21" s="3">
        <v>8.9072392905037934E-2</v>
      </c>
      <c r="EC21" s="3">
        <v>-5.4546207039917319E-2</v>
      </c>
      <c r="ED21" s="3">
        <v>0.15793452261161731</v>
      </c>
      <c r="EE21" s="3">
        <v>-1.241716631221753E-2</v>
      </c>
      <c r="EF21" s="3">
        <v>-8.4417239940866182E-2</v>
      </c>
      <c r="EG21" s="3">
        <v>-0.57002336715213819</v>
      </c>
      <c r="EH21" s="3">
        <v>-2.6426669615196342E-2</v>
      </c>
      <c r="EI21" s="3">
        <v>-0.1529727938292951</v>
      </c>
      <c r="EJ21" s="3">
        <v>2.3148967267547609E-2</v>
      </c>
      <c r="EK21" s="3">
        <v>0.15458699575729079</v>
      </c>
      <c r="EL21" s="3">
        <v>4.4194552507990002E-2</v>
      </c>
      <c r="EM21">
        <f t="shared" si="11"/>
        <v>1.3548250434658021E-2</v>
      </c>
      <c r="EN21">
        <f t="shared" si="12"/>
        <v>0.13477322274583198</v>
      </c>
      <c r="EO21">
        <f t="shared" si="13"/>
        <v>0.10052627783642591</v>
      </c>
    </row>
    <row r="22" spans="1:145" x14ac:dyDescent="0.3">
      <c r="A22" s="17">
        <v>400</v>
      </c>
      <c r="B22" s="17">
        <f t="shared" si="10"/>
        <v>3</v>
      </c>
      <c r="C22" s="3">
        <v>1.083089340061978E-2</v>
      </c>
      <c r="D22" s="3">
        <v>3.657372240832911E-2</v>
      </c>
      <c r="E22" s="3">
        <v>-2.2230412259238129E-2</v>
      </c>
      <c r="F22" s="3">
        <v>6.7831060921277567E-2</v>
      </c>
      <c r="G22" s="3">
        <v>-0.1038843632903341</v>
      </c>
      <c r="H22" s="3">
        <v>-0.22980554449140059</v>
      </c>
      <c r="I22" s="3">
        <v>-0.21695806010811891</v>
      </c>
      <c r="J22" s="3">
        <v>0.37609347134271992</v>
      </c>
      <c r="K22" s="3">
        <v>0.1006611454503521</v>
      </c>
      <c r="L22" s="3">
        <v>-0.12894877287545589</v>
      </c>
      <c r="M22" s="3">
        <v>-1.6096386535256649E-2</v>
      </c>
      <c r="N22" s="3">
        <v>0.13760495623780411</v>
      </c>
      <c r="O22" s="3">
        <v>0.1434803460042724</v>
      </c>
      <c r="P22" s="3">
        <v>8.822230609834375E-2</v>
      </c>
      <c r="Q22" s="3">
        <v>0.27677689383305182</v>
      </c>
      <c r="R22" s="3">
        <v>0.18638739658007181</v>
      </c>
      <c r="S22" s="3">
        <v>7.2840826515003912E-2</v>
      </c>
      <c r="T22" s="3">
        <v>0.13585714956761111</v>
      </c>
      <c r="U22" s="3">
        <v>8.9351554043276993E-2</v>
      </c>
      <c r="V22" s="3">
        <v>6.1265227232740922E-2</v>
      </c>
      <c r="W22" s="3">
        <v>0.15624265358615441</v>
      </c>
      <c r="X22" s="3">
        <v>-0.13022385859285221</v>
      </c>
      <c r="Y22" s="3">
        <v>-9.3219142774314478E-2</v>
      </c>
      <c r="Z22" s="3">
        <v>0.1264880361063952</v>
      </c>
      <c r="AA22" s="3">
        <v>-1.7888872034478979E-2</v>
      </c>
      <c r="AB22" s="3">
        <v>-0.11750157576156529</v>
      </c>
      <c r="AC22" s="3">
        <v>6.1227953935459191E-2</v>
      </c>
      <c r="AD22" s="3">
        <v>-5.7995871092346052E-2</v>
      </c>
      <c r="AE22" s="3">
        <v>0.13325425166370131</v>
      </c>
      <c r="AF22" s="3">
        <v>-0.27237224992142972</v>
      </c>
      <c r="AG22" s="3">
        <v>5.2841540175733892E-2</v>
      </c>
      <c r="AH22" s="3">
        <v>-0.27180152500680921</v>
      </c>
      <c r="AI22" s="3">
        <v>2.049960797509837E-2</v>
      </c>
      <c r="AJ22" s="3">
        <v>8.5451172373276051E-3</v>
      </c>
      <c r="AK22" s="3">
        <v>0.1012885607403957</v>
      </c>
      <c r="AL22" s="3">
        <v>4.0340966806900407E-2</v>
      </c>
      <c r="AM22" s="3">
        <v>2.097556027782203E-2</v>
      </c>
      <c r="AN22" s="3">
        <v>0.17720720373425369</v>
      </c>
      <c r="AO22" s="3">
        <v>0.23610215360517761</v>
      </c>
      <c r="AP22" s="3">
        <v>0.2288312981267964</v>
      </c>
      <c r="AQ22" s="3">
        <v>0.17906239408298319</v>
      </c>
      <c r="AR22" s="3">
        <v>-0.1247636093395899</v>
      </c>
      <c r="AS22" s="3">
        <v>2.2170482112280659E-2</v>
      </c>
      <c r="AT22" s="3">
        <v>0.1136043448595091</v>
      </c>
      <c r="AU22" s="3">
        <v>0.26832386549208792</v>
      </c>
      <c r="AV22" s="3">
        <v>-0.1277627783183822</v>
      </c>
      <c r="AW22" s="3">
        <v>1.740338462223227E-2</v>
      </c>
      <c r="AX22" s="3">
        <v>-4.7737840971480427E-2</v>
      </c>
      <c r="AY22" s="3">
        <v>-1.590734683650193E-2</v>
      </c>
      <c r="AZ22" s="3">
        <v>-0.20190115560187241</v>
      </c>
      <c r="BA22" s="3">
        <v>-7.7254544464199326E-2</v>
      </c>
      <c r="BB22" s="3">
        <v>0.36382183506135091</v>
      </c>
      <c r="BC22" s="3">
        <v>-0.1155417258126869</v>
      </c>
      <c r="BD22" s="3">
        <v>5.6393617869291167E-2</v>
      </c>
      <c r="BE22" s="3">
        <v>-0.12806788396565999</v>
      </c>
      <c r="BF22" s="3">
        <v>0.1991024485484385</v>
      </c>
      <c r="BG22" s="3">
        <v>4.6279512168386029E-2</v>
      </c>
      <c r="BH22" s="3">
        <v>-0.12796054233813189</v>
      </c>
      <c r="BI22" s="3">
        <v>8.2345467472674225E-2</v>
      </c>
      <c r="BJ22" s="3">
        <v>7.0714564721851059E-2</v>
      </c>
      <c r="BK22" s="3">
        <v>-4.1524494204098284E-3</v>
      </c>
      <c r="BL22" s="3">
        <v>0.11765694936342749</v>
      </c>
      <c r="BM22" s="3">
        <v>2.4304832455331882E-3</v>
      </c>
      <c r="BN22" s="3">
        <v>9.7900329238010148E-2</v>
      </c>
      <c r="BO22" s="3">
        <v>9.2277713600133218E-2</v>
      </c>
      <c r="BP22" s="3">
        <v>8.0067784402279879E-2</v>
      </c>
      <c r="BQ22" s="3">
        <v>-5.4742685729096567E-2</v>
      </c>
      <c r="BR22" s="3">
        <v>2.0827019985354332E-2</v>
      </c>
      <c r="BS22" s="3">
        <v>-4.4078422998684391E-2</v>
      </c>
      <c r="BT22" s="3">
        <v>7.5653419255075294E-2</v>
      </c>
      <c r="BU22" s="3">
        <v>0.13235233602007071</v>
      </c>
      <c r="BV22" s="3">
        <v>4.7266464511905519E-2</v>
      </c>
      <c r="BW22" s="3">
        <v>-0.16432372303626769</v>
      </c>
      <c r="BX22" s="3">
        <v>-7.1978018305067684E-2</v>
      </c>
      <c r="BY22" s="3">
        <v>-5.0267437474919248E-2</v>
      </c>
      <c r="BZ22" s="3">
        <v>-0.27962933884715457</v>
      </c>
      <c r="CA22" s="3">
        <v>4.6015862393473828E-2</v>
      </c>
      <c r="CB22" s="3">
        <v>-0.11246692101664429</v>
      </c>
      <c r="CC22" s="3">
        <v>-0.27544481942343019</v>
      </c>
      <c r="CD22" s="3">
        <v>0.1157693263200997</v>
      </c>
      <c r="CE22" s="3">
        <v>-0.45437992056022231</v>
      </c>
      <c r="CF22" s="3">
        <v>3.0126654752079939E-2</v>
      </c>
      <c r="CG22" s="3">
        <v>-0.32392308344577347</v>
      </c>
      <c r="CH22" s="3">
        <v>9.5389298045437471E-2</v>
      </c>
      <c r="CI22" s="3">
        <v>1.5860418083537709E-2</v>
      </c>
      <c r="CJ22" s="3">
        <v>0.2086692910689549</v>
      </c>
      <c r="CK22" s="3">
        <v>0.17643920814984551</v>
      </c>
      <c r="CL22" s="3">
        <v>0.1149115839190942</v>
      </c>
      <c r="CM22" s="3">
        <v>-3.5471159765653799E-2</v>
      </c>
      <c r="CN22" s="3">
        <v>-3.078058338277545E-2</v>
      </c>
      <c r="CO22" s="3">
        <v>-0.40281884348616209</v>
      </c>
      <c r="CP22" s="3">
        <v>0.21852930022888059</v>
      </c>
      <c r="CQ22" s="3">
        <v>9.2165908408294861E-2</v>
      </c>
      <c r="CR22" s="3">
        <v>-0.1063310736371918</v>
      </c>
      <c r="CS22" s="3">
        <v>3.1092055850554679E-2</v>
      </c>
      <c r="CT22" s="3">
        <v>-5.0872553540877996E-3</v>
      </c>
      <c r="CU22" s="3">
        <v>0.19271417485125961</v>
      </c>
      <c r="CV22" s="3">
        <v>-0.2362808128295201</v>
      </c>
      <c r="CW22" s="3">
        <v>-1.0226546296446719E-2</v>
      </c>
      <c r="CX22" s="3">
        <v>-5.3668438098670723E-2</v>
      </c>
      <c r="CY22" s="3">
        <v>-0.13548943365441571</v>
      </c>
      <c r="CZ22" s="3">
        <v>-2.1955487924134182E-3</v>
      </c>
      <c r="DA22" s="3">
        <v>1.19128481030224E-2</v>
      </c>
      <c r="DB22" s="3">
        <v>1.8908186607683109E-2</v>
      </c>
      <c r="DC22" s="3">
        <v>2.4083459890003728E-2</v>
      </c>
      <c r="DD22" s="3">
        <v>0.1383546535444734</v>
      </c>
      <c r="DE22" s="3">
        <v>3.5633519478019952E-2</v>
      </c>
      <c r="DF22" s="3">
        <v>-3.4026960184508889E-2</v>
      </c>
      <c r="DG22" s="3">
        <v>0.1848371904930898</v>
      </c>
      <c r="DH22" s="3">
        <v>-5.5811676332512411E-3</v>
      </c>
      <c r="DI22" s="3">
        <v>1.683437269848209E-3</v>
      </c>
      <c r="DJ22" s="3">
        <v>2.786499768424489E-3</v>
      </c>
      <c r="DK22" s="3">
        <v>-9.2543489168821179E-3</v>
      </c>
      <c r="DL22" s="3">
        <v>3.31091150919431E-2</v>
      </c>
      <c r="DM22" s="3">
        <v>-1.9996291673307021E-2</v>
      </c>
      <c r="DN22" s="3">
        <v>0.3004957821395095</v>
      </c>
      <c r="DO22" s="3">
        <v>-6.1460673285183669E-2</v>
      </c>
      <c r="DP22" s="3">
        <v>-2.744743885582383E-3</v>
      </c>
      <c r="DQ22" s="3">
        <v>-0.21106094176177309</v>
      </c>
      <c r="DR22" s="3">
        <v>5.7297032660947191E-2</v>
      </c>
      <c r="DS22" s="3">
        <v>-0.13891982403128081</v>
      </c>
      <c r="DT22" s="3">
        <v>3.8469137611300892E-2</v>
      </c>
      <c r="DU22" s="3">
        <v>-0.39947641885448221</v>
      </c>
      <c r="DV22" s="3">
        <v>-9.1775838761170375E-2</v>
      </c>
      <c r="DW22" s="3">
        <v>2.487769030156459E-2</v>
      </c>
      <c r="DX22" s="3">
        <v>0.17726337258765951</v>
      </c>
      <c r="DY22" s="3">
        <v>-0.1416342571500728</v>
      </c>
      <c r="DZ22" s="3">
        <v>-0.17790368694674619</v>
      </c>
      <c r="EA22" s="3">
        <v>-1.6671554930229589E-2</v>
      </c>
      <c r="EB22" s="3">
        <v>0.20437536021575409</v>
      </c>
      <c r="EC22" s="3">
        <v>-4.5053777898000927E-2</v>
      </c>
      <c r="ED22" s="3">
        <v>0.18368198650415579</v>
      </c>
      <c r="EE22" s="3">
        <v>4.1797260386268381E-2</v>
      </c>
      <c r="EF22" s="3">
        <v>-3.4354893375399979E-2</v>
      </c>
      <c r="EG22" s="3">
        <v>-0.73770718935007829</v>
      </c>
      <c r="EH22" s="3">
        <v>-1.2167207592622331E-2</v>
      </c>
      <c r="EI22" s="3">
        <v>-9.9205856093462108E-2</v>
      </c>
      <c r="EJ22" s="3">
        <v>8.3601728889601129E-2</v>
      </c>
      <c r="EK22" s="3">
        <v>0.24984676652687571</v>
      </c>
      <c r="EL22" s="3">
        <v>-2.5307223738907911E-2</v>
      </c>
      <c r="EM22">
        <f t="shared" si="11"/>
        <v>4.429363902651212E-3</v>
      </c>
      <c r="EN22">
        <f t="shared" si="12"/>
        <v>0.15959455349219678</v>
      </c>
      <c r="EO22">
        <f t="shared" si="13"/>
        <v>2.7753853785917458E-2</v>
      </c>
    </row>
    <row r="23" spans="1:145" x14ac:dyDescent="0.3">
      <c r="A23" s="17">
        <v>512</v>
      </c>
      <c r="B23" s="17">
        <f t="shared" si="10"/>
        <v>2</v>
      </c>
      <c r="C23" s="3">
        <v>3.1325684581971477E-2</v>
      </c>
      <c r="D23" s="3">
        <v>2.5572738597117312E-2</v>
      </c>
      <c r="E23" s="3">
        <v>-1.5061587686965401E-2</v>
      </c>
      <c r="F23" s="3">
        <v>0.1823960753208787</v>
      </c>
      <c r="G23" s="3">
        <v>2.6971568524368019E-2</v>
      </c>
      <c r="H23" s="3">
        <v>-0.2628102412014528</v>
      </c>
      <c r="I23" s="3">
        <v>-0.148152028600294</v>
      </c>
      <c r="J23" s="3">
        <v>0.1120353509707598</v>
      </c>
      <c r="K23" s="3">
        <v>0.14148271525764719</v>
      </c>
      <c r="L23" s="3">
        <v>-0.23244436104246219</v>
      </c>
      <c r="M23" s="3">
        <v>-6.6725323868973827E-2</v>
      </c>
      <c r="N23" s="3">
        <v>0.1038317212738903</v>
      </c>
      <c r="O23" s="3">
        <v>0.20456437797300209</v>
      </c>
      <c r="P23" s="3">
        <v>0.1173354723884273</v>
      </c>
      <c r="Q23" s="3">
        <v>-5.95680169005205E-2</v>
      </c>
      <c r="R23" s="3">
        <v>7.5413382280886121E-2</v>
      </c>
      <c r="S23" s="3">
        <v>8.401148311947354E-2</v>
      </c>
      <c r="T23" s="3">
        <v>3.9614189164827618E-2</v>
      </c>
      <c r="U23" s="3">
        <v>9.63528179199135E-2</v>
      </c>
      <c r="V23" s="3">
        <v>0.16529276572388771</v>
      </c>
      <c r="W23" s="3">
        <v>0.13653490355992831</v>
      </c>
      <c r="X23" s="3">
        <v>-0.13707141125822819</v>
      </c>
      <c r="Y23" s="3">
        <v>-0.20414744900244591</v>
      </c>
      <c r="Z23" s="3">
        <v>0.112147298723505</v>
      </c>
      <c r="AA23" s="3">
        <v>-5.4903276071808282E-2</v>
      </c>
      <c r="AB23" s="3">
        <v>-0.15024154796734959</v>
      </c>
      <c r="AC23" s="3">
        <v>0.1726681468782954</v>
      </c>
      <c r="AD23" s="3">
        <v>-1.7187803589621329E-2</v>
      </c>
      <c r="AE23" s="3">
        <v>0.15243653556779671</v>
      </c>
      <c r="AF23" s="3">
        <v>-0.19177289444394499</v>
      </c>
      <c r="AG23" s="3">
        <v>9.1873657646360199E-2</v>
      </c>
      <c r="AH23" s="3">
        <v>-0.42311474546283429</v>
      </c>
      <c r="AI23" s="3">
        <v>3.0243744310411179E-2</v>
      </c>
      <c r="AJ23" s="3">
        <v>8.0980386382207628E-3</v>
      </c>
      <c r="AK23" s="3">
        <v>0.11411109934719101</v>
      </c>
      <c r="AL23" s="3">
        <v>0.1314317131925356</v>
      </c>
      <c r="AM23" s="3">
        <v>-7.3818797379495531E-3</v>
      </c>
      <c r="AN23" s="3">
        <v>0.24231469935730071</v>
      </c>
      <c r="AO23" s="3">
        <v>0.24640716478248709</v>
      </c>
      <c r="AP23" s="3">
        <v>-0.17902888630512509</v>
      </c>
      <c r="AQ23" s="3">
        <v>0.18719277713888691</v>
      </c>
      <c r="AR23" s="3">
        <v>-0.24679311649072941</v>
      </c>
      <c r="AS23" s="3">
        <v>6.2783843657924859E-2</v>
      </c>
      <c r="AT23" s="3">
        <v>0.1095059029649002</v>
      </c>
      <c r="AU23" s="3">
        <v>0.25080886648410922</v>
      </c>
      <c r="AV23" s="3">
        <v>-9.6757250400133471E-2</v>
      </c>
      <c r="AW23" s="3">
        <v>5.202690983840276E-2</v>
      </c>
      <c r="AX23" s="3">
        <v>-1.4812779008540821E-2</v>
      </c>
      <c r="AY23" s="3">
        <v>0.25265988336690948</v>
      </c>
      <c r="AZ23" s="3">
        <v>-0.29181699223939561</v>
      </c>
      <c r="BA23" s="3">
        <v>9.6467800801007808E-3</v>
      </c>
      <c r="BB23" s="3">
        <v>0.56682652604744033</v>
      </c>
      <c r="BC23" s="3">
        <v>-0.30082824917306578</v>
      </c>
      <c r="BD23" s="3">
        <v>9.4830881346450333E-2</v>
      </c>
      <c r="BE23" s="3">
        <v>-0.1242921430258994</v>
      </c>
      <c r="BF23" s="3">
        <v>0.21000911286045121</v>
      </c>
      <c r="BG23" s="3">
        <v>7.4761471196752541E-2</v>
      </c>
      <c r="BH23" s="3">
        <v>-0.2034839813552872</v>
      </c>
      <c r="BI23" s="3">
        <v>0.1212055236354101</v>
      </c>
      <c r="BJ23" s="3">
        <v>7.1437909162187813E-2</v>
      </c>
      <c r="BK23" s="3">
        <v>1.106420743282177E-3</v>
      </c>
      <c r="BL23" s="3">
        <v>0.11436629014166901</v>
      </c>
      <c r="BM23" s="3">
        <v>-6.9495462024450616E-2</v>
      </c>
      <c r="BN23" s="3">
        <v>4.7083686754103692E-3</v>
      </c>
      <c r="BO23" s="3">
        <v>0.19280643096294561</v>
      </c>
      <c r="BP23" s="3">
        <v>0.14328953955384841</v>
      </c>
      <c r="BQ23" s="3">
        <v>2.0891917198085731E-2</v>
      </c>
      <c r="BR23" s="3">
        <v>2.4393962323800509E-2</v>
      </c>
      <c r="BS23" s="3">
        <v>4.9110058236967458E-4</v>
      </c>
      <c r="BT23" s="3">
        <v>0.3423536066165257</v>
      </c>
      <c r="BU23" s="3">
        <v>0.1392643910138692</v>
      </c>
      <c r="BV23" s="3">
        <v>5.326905055788838E-2</v>
      </c>
      <c r="BW23" s="3">
        <v>-0.21512993757435039</v>
      </c>
      <c r="BX23" s="3">
        <v>7.9802590591823735E-2</v>
      </c>
      <c r="BY23" s="3">
        <v>-8.3991020616997591E-2</v>
      </c>
      <c r="BZ23" s="3">
        <v>-0.35239786706502269</v>
      </c>
      <c r="CA23" s="3">
        <v>0.1158479734548683</v>
      </c>
      <c r="CB23" s="3">
        <v>-5.7868840600491009E-2</v>
      </c>
      <c r="CC23" s="3">
        <v>-0.44318286919740241</v>
      </c>
      <c r="CD23" s="3">
        <v>0.1118635707259928</v>
      </c>
      <c r="CE23" s="3">
        <v>-0.56006957897571663</v>
      </c>
      <c r="CF23" s="3">
        <v>0.1427675458661766</v>
      </c>
      <c r="CG23" s="3">
        <v>-0.39327674779210842</v>
      </c>
      <c r="CH23" s="3">
        <v>0.13084753490872919</v>
      </c>
      <c r="CI23" s="3">
        <v>-5.6784922348380729E-3</v>
      </c>
      <c r="CJ23" s="3">
        <v>0.24860911365428501</v>
      </c>
      <c r="CK23" s="3">
        <v>0.31480429120780962</v>
      </c>
      <c r="CL23" s="3">
        <v>0.34628583381381162</v>
      </c>
      <c r="CM23" s="3">
        <v>-5.1572329591000568E-2</v>
      </c>
      <c r="CN23" s="3">
        <v>-2.602429011749285E-3</v>
      </c>
      <c r="CO23" s="3">
        <v>-0.4369130189375362</v>
      </c>
      <c r="CP23" s="3">
        <v>0.21780803514148719</v>
      </c>
      <c r="CQ23" s="3">
        <v>0.11133205484913621</v>
      </c>
      <c r="CR23" s="3">
        <v>-1.8172659732715979E-2</v>
      </c>
      <c r="CS23" s="3">
        <v>9.5512641045979257E-2</v>
      </c>
      <c r="CT23" s="3">
        <v>0.1747804573845364</v>
      </c>
      <c r="CU23" s="3">
        <v>0.24014428048449399</v>
      </c>
      <c r="CV23" s="3">
        <v>-0.3097785048289281</v>
      </c>
      <c r="CW23" s="3">
        <v>-1.9053529099671781E-2</v>
      </c>
      <c r="CX23" s="3">
        <v>-8.7839862612636183E-2</v>
      </c>
      <c r="CY23" s="3">
        <v>-0.17213840798346319</v>
      </c>
      <c r="CZ23" s="3">
        <v>4.6312789196422843E-2</v>
      </c>
      <c r="DA23" s="3">
        <v>-7.1252332484906316E-3</v>
      </c>
      <c r="DB23" s="3">
        <v>-1.077601300906769E-3</v>
      </c>
      <c r="DC23" s="3">
        <v>-0.114152472901645</v>
      </c>
      <c r="DD23" s="3">
        <v>9.2798674677153081E-2</v>
      </c>
      <c r="DE23" s="3">
        <v>-9.3952259516448811E-3</v>
      </c>
      <c r="DF23" s="3">
        <v>-6.194212704490535E-2</v>
      </c>
      <c r="DG23" s="3">
        <v>0.24857362281119699</v>
      </c>
      <c r="DH23" s="3">
        <v>-3.7295904916819958E-2</v>
      </c>
      <c r="DI23" s="3">
        <v>2.9161842220836579E-2</v>
      </c>
      <c r="DJ23" s="3">
        <v>9.5273942110107451E-3</v>
      </c>
      <c r="DK23" s="3">
        <v>-4.2686116162198258E-2</v>
      </c>
      <c r="DL23" s="3">
        <v>5.4101277140998598E-2</v>
      </c>
      <c r="DM23" s="3">
        <v>1.345327574630702E-2</v>
      </c>
      <c r="DN23" s="3">
        <v>0.4441927862240389</v>
      </c>
      <c r="DO23" s="3">
        <v>-4.9077326915596242E-2</v>
      </c>
      <c r="DP23" s="3">
        <v>7.1628473690507691E-2</v>
      </c>
      <c r="DQ23" s="3">
        <v>-0.28304273574048727</v>
      </c>
      <c r="DR23" s="3">
        <v>6.0496157088733682E-2</v>
      </c>
      <c r="DS23" s="3">
        <v>-0.17094859795120121</v>
      </c>
      <c r="DT23" s="3">
        <v>8.3862877380775525E-2</v>
      </c>
      <c r="DU23" s="3">
        <v>-0.53392168708434029</v>
      </c>
      <c r="DV23" s="3">
        <v>2.136964639749328E-2</v>
      </c>
      <c r="DW23" s="3">
        <v>0.27857637182341682</v>
      </c>
      <c r="DX23" s="3">
        <v>0.31944909562846269</v>
      </c>
      <c r="DY23" s="3">
        <v>-0.26822192937212391</v>
      </c>
      <c r="DZ23" s="3">
        <v>-6.4458048897843706E-2</v>
      </c>
      <c r="EA23" s="3">
        <v>-2.875877977640498E-2</v>
      </c>
      <c r="EB23" s="3">
        <v>0.33153537858175969</v>
      </c>
      <c r="EC23" s="3">
        <v>-1.684593676457162E-2</v>
      </c>
      <c r="ED23" s="3">
        <v>0.194323278521919</v>
      </c>
      <c r="EE23" s="3">
        <v>6.9545558094986554E-2</v>
      </c>
      <c r="EF23" s="3">
        <v>-9.0054994279120365E-2</v>
      </c>
      <c r="EG23" s="3">
        <v>-3.0354357497334759E-2</v>
      </c>
      <c r="EH23" s="3">
        <v>9.9209371656780579E-2</v>
      </c>
      <c r="EI23" s="3">
        <v>-0.1096937444109269</v>
      </c>
      <c r="EJ23" s="3">
        <v>8.2764083686817161E-2</v>
      </c>
      <c r="EK23" s="3">
        <v>0.31873883732546759</v>
      </c>
      <c r="EL23" s="3">
        <v>-4.9726084313458999E-2</v>
      </c>
      <c r="EM23">
        <f t="shared" si="11"/>
        <v>1.7634250708877079E-2</v>
      </c>
      <c r="EN23">
        <f t="shared" si="12"/>
        <v>0.18797995446129828</v>
      </c>
      <c r="EO23">
        <f t="shared" si="13"/>
        <v>9.3809208324431514E-2</v>
      </c>
    </row>
    <row r="24" spans="1:145" x14ac:dyDescent="0.3">
      <c r="A24" s="17">
        <v>1051</v>
      </c>
      <c r="B24" s="17">
        <f t="shared" si="10"/>
        <v>1</v>
      </c>
      <c r="C24" s="3">
        <v>2.776696731044102E-2</v>
      </c>
      <c r="D24" s="3">
        <v>0.1006099128992286</v>
      </c>
      <c r="E24" s="3">
        <v>8.1880334610397495E-2</v>
      </c>
      <c r="F24" s="3">
        <v>0.20154571887164621</v>
      </c>
      <c r="G24" s="3">
        <v>2.2622388562617651E-2</v>
      </c>
      <c r="H24" s="3">
        <v>-0.35082219133103881</v>
      </c>
      <c r="I24" s="3">
        <v>2.111933203143501E-3</v>
      </c>
      <c r="J24" s="3">
        <v>-5.4302156076947827E-2</v>
      </c>
      <c r="K24" s="3">
        <v>5.0444335993488708E-2</v>
      </c>
      <c r="L24" s="3">
        <v>-0.33375944447564659</v>
      </c>
      <c r="M24" s="3">
        <v>-0.14681933889950849</v>
      </c>
      <c r="N24" s="3">
        <v>0.1051917107958454</v>
      </c>
      <c r="O24" s="3">
        <v>0.235309193405423</v>
      </c>
      <c r="P24" s="3">
        <v>7.7736485854057236E-2</v>
      </c>
      <c r="Q24" s="3">
        <v>-6.096496164670627E-2</v>
      </c>
      <c r="R24" s="3">
        <v>0.1083654949121912</v>
      </c>
      <c r="S24" s="3">
        <v>0.1008087952876474</v>
      </c>
      <c r="T24" s="3">
        <v>-7.793839649787318E-2</v>
      </c>
      <c r="U24" s="3">
        <v>2.034173508586648E-2</v>
      </c>
      <c r="V24" s="3">
        <v>0.11654031671685081</v>
      </c>
      <c r="W24" s="3">
        <v>0.64293352860565944</v>
      </c>
      <c r="X24" s="3">
        <v>-0.1180224325060039</v>
      </c>
      <c r="Y24" s="3">
        <v>-0.49353998747896521</v>
      </c>
      <c r="Z24" s="3">
        <v>7.9423704249252589E-2</v>
      </c>
      <c r="AA24" s="3">
        <v>1.354776823757727E-2</v>
      </c>
      <c r="AB24" s="3">
        <v>-0.1953396226752438</v>
      </c>
      <c r="AC24" s="3">
        <v>0.47418328353128952</v>
      </c>
      <c r="AD24" s="3">
        <v>-0.46807019051584892</v>
      </c>
      <c r="AE24" s="3">
        <v>0.1117312814238354</v>
      </c>
      <c r="AF24" s="3">
        <v>-7.4833924998670837E-2</v>
      </c>
      <c r="AG24" s="3">
        <v>0.1331342505435987</v>
      </c>
      <c r="AH24" s="3">
        <v>-0.50010941392831398</v>
      </c>
      <c r="AI24" s="3">
        <v>0.21453722164080699</v>
      </c>
      <c r="AJ24" s="3">
        <v>-1.8825641884350749E-2</v>
      </c>
      <c r="AK24" s="3">
        <v>8.4883953068192297E-2</v>
      </c>
      <c r="AL24" s="3">
        <v>-5.4676935490635382E-2</v>
      </c>
      <c r="AM24" s="3">
        <v>7.859849797311308E-2</v>
      </c>
      <c r="AN24" s="3">
        <v>0.22118946514543131</v>
      </c>
      <c r="AO24" s="3">
        <v>0.1029057025777895</v>
      </c>
      <c r="AP24" s="3">
        <v>-0.41640853388971072</v>
      </c>
      <c r="AQ24" s="3">
        <v>0.29800338435896789</v>
      </c>
      <c r="AR24" s="3">
        <v>-0.22832049298777149</v>
      </c>
      <c r="AS24" s="3">
        <v>5.9514127532407722E-2</v>
      </c>
      <c r="AT24" s="3">
        <v>0.15076897992568081</v>
      </c>
      <c r="AU24" s="3">
        <v>0.22984101567941989</v>
      </c>
      <c r="AV24" s="3">
        <v>-1.952221442252405E-2</v>
      </c>
      <c r="AW24" s="3">
        <v>-4.9875415110391882E-3</v>
      </c>
      <c r="AX24" s="3">
        <v>0.1114913369162155</v>
      </c>
      <c r="AY24" s="3">
        <v>0.44347344173649922</v>
      </c>
      <c r="AZ24" s="3">
        <v>-0.60989956018477687</v>
      </c>
      <c r="BA24" s="3">
        <v>-5.3794732084633153E-2</v>
      </c>
      <c r="BB24" s="3">
        <v>0.69077653138067185</v>
      </c>
      <c r="BC24" s="3">
        <v>-0.8032160130443774</v>
      </c>
      <c r="BD24" s="3">
        <v>0.18559521924643521</v>
      </c>
      <c r="BE24" s="3">
        <v>5.7380537985080138E-2</v>
      </c>
      <c r="BF24" s="3">
        <v>-6.4370420949463519E-2</v>
      </c>
      <c r="BG24" s="3">
        <v>2.6835965866310919E-2</v>
      </c>
      <c r="BH24" s="3">
        <v>-0.38625533691353497</v>
      </c>
      <c r="BI24" s="3">
        <v>0.16926892499271901</v>
      </c>
      <c r="BJ24" s="3">
        <v>-6.5154095179785917E-2</v>
      </c>
      <c r="BK24" s="3">
        <v>2.7238209053504731E-2</v>
      </c>
      <c r="BL24" s="3">
        <v>0.1061069201511666</v>
      </c>
      <c r="BM24" s="3">
        <v>8.4782939838988242E-2</v>
      </c>
      <c r="BN24" s="3">
        <v>6.849341845574783E-3</v>
      </c>
      <c r="BO24" s="3">
        <v>0.16110969109564191</v>
      </c>
      <c r="BP24" s="3">
        <v>0.1233511811293219</v>
      </c>
      <c r="BQ24" s="3">
        <v>1.385746642413632E-2</v>
      </c>
      <c r="BR24" s="3">
        <v>4.2356223303417713E-2</v>
      </c>
      <c r="BS24" s="3">
        <v>0.1403201139620911</v>
      </c>
      <c r="BT24" s="3">
        <v>0.29946444334326322</v>
      </c>
      <c r="BU24" s="3">
        <v>0.15755187588247849</v>
      </c>
      <c r="BV24" s="3">
        <v>4.625870574066291E-2</v>
      </c>
      <c r="BW24" s="3">
        <v>-0.20821529750379361</v>
      </c>
      <c r="BX24" s="3">
        <v>6.7434721383990356E-2</v>
      </c>
      <c r="BY24" s="3">
        <v>-0.29033687494541688</v>
      </c>
      <c r="BZ24" s="3">
        <v>-0.81395802674252182</v>
      </c>
      <c r="CA24" s="3">
        <v>0.1087530887469883</v>
      </c>
      <c r="CB24" s="3">
        <v>-5.7477118626405088E-2</v>
      </c>
      <c r="CC24" s="3">
        <v>0.2198311932012271</v>
      </c>
      <c r="CD24" s="3">
        <v>0.24348205996258329</v>
      </c>
      <c r="CE24" s="3">
        <v>-7.3675901971975016E-2</v>
      </c>
      <c r="CF24" s="3">
        <v>0.40283909403309098</v>
      </c>
      <c r="CG24" s="3">
        <v>-0.64058463387261821</v>
      </c>
      <c r="CH24" s="3">
        <v>8.577297080573372E-3</v>
      </c>
      <c r="CI24" s="3">
        <v>-0.1211775893413336</v>
      </c>
      <c r="CJ24" s="3">
        <v>0.40875838062707592</v>
      </c>
      <c r="CK24" s="3">
        <v>-8.7873759970029004E-3</v>
      </c>
      <c r="CL24" s="3">
        <v>0.40508140877399501</v>
      </c>
      <c r="CM24" s="3">
        <v>-0.23495953986462789</v>
      </c>
      <c r="CN24" s="3">
        <v>9.0548656975183314E-2</v>
      </c>
      <c r="CO24" s="3">
        <v>-0.71572900872536049</v>
      </c>
      <c r="CP24" s="3">
        <v>0.26545893566707068</v>
      </c>
      <c r="CQ24" s="3">
        <v>0.13092719820022791</v>
      </c>
      <c r="CR24" s="3">
        <v>-3.7598107081364518E-2</v>
      </c>
      <c r="CS24" s="3">
        <v>0.1215103123128518</v>
      </c>
      <c r="CT24" s="3">
        <v>0.1828965872921165</v>
      </c>
      <c r="CU24" s="3">
        <v>5.2729044813654813E-2</v>
      </c>
      <c r="CV24" s="3">
        <v>-0.26202483868410642</v>
      </c>
      <c r="CW24" s="3">
        <v>-0.29572306148039179</v>
      </c>
      <c r="CX24" s="3">
        <v>-0.1780711986935764</v>
      </c>
      <c r="CY24" s="3">
        <v>-0.36022804676873771</v>
      </c>
      <c r="CZ24" s="3">
        <v>0.31116733738571328</v>
      </c>
      <c r="DA24" s="3">
        <v>2.451120416275485E-2</v>
      </c>
      <c r="DB24" s="3">
        <v>-0.19959876910803809</v>
      </c>
      <c r="DC24" s="3">
        <v>-0.19445359829121789</v>
      </c>
      <c r="DD24" s="3">
        <v>-0.19584472218244131</v>
      </c>
      <c r="DE24" s="3">
        <v>-0.17606275750953501</v>
      </c>
      <c r="DF24" s="3">
        <v>0.1046649760205613</v>
      </c>
      <c r="DG24" s="3">
        <v>0.18911025907425591</v>
      </c>
      <c r="DH24" s="3">
        <v>-0.1774246538151544</v>
      </c>
      <c r="DI24" s="3">
        <v>-0.36477511528666579</v>
      </c>
      <c r="DJ24" s="3">
        <v>0.24842466295311089</v>
      </c>
      <c r="DK24" s="3">
        <v>2.8040367326366201E-2</v>
      </c>
      <c r="DL24" s="3">
        <v>4.7769086011877862E-2</v>
      </c>
      <c r="DM24" s="3">
        <v>-8.1409543633570974E-2</v>
      </c>
      <c r="DN24" s="3">
        <v>0.66708867560199003</v>
      </c>
      <c r="DO24" s="3">
        <v>-4.0894289457340617E-2</v>
      </c>
      <c r="DP24" s="3">
        <v>-0.1261097641133086</v>
      </c>
      <c r="DQ24" s="3">
        <v>-0.34701110177349048</v>
      </c>
      <c r="DR24" s="3">
        <v>4.6637310808330813E-2</v>
      </c>
      <c r="DS24" s="3">
        <v>-0.42342018028661599</v>
      </c>
      <c r="DT24" s="3">
        <v>5.6640305677830684E-3</v>
      </c>
      <c r="DU24" s="3">
        <v>-0.75093836081020182</v>
      </c>
      <c r="DV24" s="3">
        <v>-0.22962495612622619</v>
      </c>
      <c r="DW24" s="3">
        <v>0.38336324094520591</v>
      </c>
      <c r="DX24" s="3">
        <v>0.28592948388289841</v>
      </c>
      <c r="DY24" s="3">
        <v>-3.2066535729951551E-2</v>
      </c>
      <c r="DZ24" s="3">
        <v>-4.8904664258799802E-2</v>
      </c>
      <c r="EA24" s="3">
        <v>-5.4920183841502608E-2</v>
      </c>
      <c r="EB24" s="3">
        <v>0.68520167421929012</v>
      </c>
      <c r="EC24" s="3">
        <v>-1.368417489400252E-2</v>
      </c>
      <c r="ED24" s="3">
        <v>8.4540092567264802E-2</v>
      </c>
      <c r="EE24" s="3">
        <v>-3.5663982870964749E-2</v>
      </c>
      <c r="EF24" s="3">
        <v>-0.13408707635021461</v>
      </c>
      <c r="EG24" s="3">
        <v>7.0451324384900899E-2</v>
      </c>
      <c r="EH24" s="3">
        <v>0.20538557869251389</v>
      </c>
      <c r="EI24" s="3">
        <v>-0.13529464317466511</v>
      </c>
      <c r="EJ24" s="3">
        <v>0.16991348062196729</v>
      </c>
      <c r="EK24" s="3">
        <v>-0.19792572457114649</v>
      </c>
      <c r="EL24" s="3">
        <v>-0.25659148538174992</v>
      </c>
      <c r="EM24">
        <f t="shared" si="11"/>
        <v>-5.7712511510424735E-3</v>
      </c>
      <c r="EN24">
        <f t="shared" si="12"/>
        <v>0.27140164473970424</v>
      </c>
      <c r="EO24">
        <f t="shared" si="13"/>
        <v>-2.1264613766720397E-2</v>
      </c>
    </row>
    <row r="25" spans="1:145" x14ac:dyDescent="0.3">
      <c r="A25" s="17" t="s">
        <v>154</v>
      </c>
      <c r="B25" s="17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8" t="s">
        <v>157</v>
      </c>
      <c r="C27" s="4" t="s">
        <v>158</v>
      </c>
      <c r="D27" s="4" t="s">
        <v>159</v>
      </c>
      <c r="E27" s="4" t="s">
        <v>160</v>
      </c>
      <c r="F27" s="4" t="s">
        <v>160</v>
      </c>
      <c r="G27" s="4" t="s">
        <v>160</v>
      </c>
      <c r="H27" s="4" t="s">
        <v>160</v>
      </c>
      <c r="I27" s="4" t="s">
        <v>161</v>
      </c>
      <c r="J27" s="4" t="s">
        <v>161</v>
      </c>
      <c r="K27" s="4" t="s">
        <v>162</v>
      </c>
      <c r="L27" s="4" t="s">
        <v>162</v>
      </c>
      <c r="M27" s="4" t="s">
        <v>162</v>
      </c>
      <c r="N27" s="4" t="s">
        <v>162</v>
      </c>
      <c r="O27" s="4" t="s">
        <v>159</v>
      </c>
      <c r="P27" s="4" t="s">
        <v>163</v>
      </c>
      <c r="Q27" s="4" t="s">
        <v>159</v>
      </c>
      <c r="R27" s="4" t="s">
        <v>162</v>
      </c>
      <c r="S27" s="4" t="s">
        <v>164</v>
      </c>
      <c r="T27" s="4" t="s">
        <v>164</v>
      </c>
      <c r="U27" s="4" t="s">
        <v>165</v>
      </c>
      <c r="V27" s="4" t="s">
        <v>163</v>
      </c>
      <c r="W27" s="4" t="s">
        <v>166</v>
      </c>
      <c r="X27" s="4" t="s">
        <v>167</v>
      </c>
      <c r="Y27" s="4" t="s">
        <v>168</v>
      </c>
      <c r="Z27" s="4" t="s">
        <v>169</v>
      </c>
      <c r="AA27" s="4" t="s">
        <v>167</v>
      </c>
      <c r="AB27" s="4" t="s">
        <v>167</v>
      </c>
      <c r="AC27" s="4" t="s">
        <v>170</v>
      </c>
      <c r="AD27" s="4" t="s">
        <v>170</v>
      </c>
      <c r="AE27" s="4" t="s">
        <v>171</v>
      </c>
      <c r="AF27" s="4" t="s">
        <v>172</v>
      </c>
      <c r="AG27" s="4" t="s">
        <v>167</v>
      </c>
      <c r="AH27" s="4" t="s">
        <v>172</v>
      </c>
      <c r="AI27" s="4" t="s">
        <v>172</v>
      </c>
      <c r="AJ27" s="4" t="s">
        <v>172</v>
      </c>
      <c r="AK27" s="4" t="s">
        <v>167</v>
      </c>
      <c r="AL27" s="4" t="s">
        <v>167</v>
      </c>
      <c r="AM27" s="4" t="s">
        <v>173</v>
      </c>
      <c r="AN27" s="4" t="s">
        <v>167</v>
      </c>
      <c r="AO27" s="4" t="s">
        <v>169</v>
      </c>
      <c r="AP27" s="4" t="s">
        <v>174</v>
      </c>
      <c r="AQ27" s="4" t="s">
        <v>175</v>
      </c>
      <c r="AR27" s="4" t="s">
        <v>175</v>
      </c>
      <c r="AS27" s="4" t="s">
        <v>175</v>
      </c>
      <c r="AT27" s="4" t="s">
        <v>174</v>
      </c>
      <c r="AU27" s="4" t="s">
        <v>174</v>
      </c>
      <c r="AV27" s="4" t="s">
        <v>173</v>
      </c>
      <c r="AW27" s="4" t="s">
        <v>158</v>
      </c>
      <c r="AX27" s="4" t="s">
        <v>174</v>
      </c>
      <c r="AY27" s="4" t="s">
        <v>173</v>
      </c>
      <c r="AZ27" s="4" t="s">
        <v>176</v>
      </c>
      <c r="BA27" s="4" t="s">
        <v>167</v>
      </c>
      <c r="BB27" s="4" t="s">
        <v>173</v>
      </c>
      <c r="BC27" s="4" t="s">
        <v>167</v>
      </c>
      <c r="BD27" s="4" t="s">
        <v>167</v>
      </c>
      <c r="BE27" s="4" t="s">
        <v>177</v>
      </c>
      <c r="BF27" s="4" t="s">
        <v>177</v>
      </c>
      <c r="BG27" s="4" t="s">
        <v>167</v>
      </c>
      <c r="BH27" s="4" t="s">
        <v>167</v>
      </c>
      <c r="BI27" s="4" t="s">
        <v>178</v>
      </c>
      <c r="BJ27" s="4" t="s">
        <v>178</v>
      </c>
      <c r="BK27" s="4" t="s">
        <v>179</v>
      </c>
      <c r="BL27" s="4" t="s">
        <v>179</v>
      </c>
      <c r="BM27" s="4" t="s">
        <v>179</v>
      </c>
      <c r="BN27" s="4" t="s">
        <v>167</v>
      </c>
      <c r="BO27" s="4" t="s">
        <v>167</v>
      </c>
      <c r="BP27" s="4" t="s">
        <v>167</v>
      </c>
      <c r="BQ27" s="4" t="s">
        <v>179</v>
      </c>
      <c r="BR27" s="4" t="s">
        <v>167</v>
      </c>
      <c r="BS27" s="4" t="s">
        <v>180</v>
      </c>
      <c r="BT27" s="4" t="s">
        <v>180</v>
      </c>
      <c r="BU27" s="4" t="s">
        <v>181</v>
      </c>
      <c r="BV27" s="4" t="s">
        <v>180</v>
      </c>
      <c r="BW27" s="4" t="s">
        <v>167</v>
      </c>
      <c r="BX27" s="4" t="s">
        <v>167</v>
      </c>
      <c r="BY27" s="4" t="s">
        <v>178</v>
      </c>
      <c r="BZ27" s="4" t="s">
        <v>178</v>
      </c>
      <c r="CA27" s="4" t="s">
        <v>167</v>
      </c>
      <c r="CB27" s="4" t="s">
        <v>167</v>
      </c>
      <c r="CC27" s="4" t="s">
        <v>182</v>
      </c>
      <c r="CD27" s="4" t="s">
        <v>180</v>
      </c>
      <c r="CE27" s="4" t="s">
        <v>167</v>
      </c>
      <c r="CF27" s="4" t="s">
        <v>183</v>
      </c>
      <c r="CG27" s="4" t="s">
        <v>183</v>
      </c>
      <c r="CH27" s="4" t="s">
        <v>183</v>
      </c>
      <c r="CI27" s="4" t="s">
        <v>184</v>
      </c>
      <c r="CJ27" s="4" t="s">
        <v>184</v>
      </c>
      <c r="CK27" s="4" t="s">
        <v>183</v>
      </c>
      <c r="CL27" s="4" t="s">
        <v>185</v>
      </c>
      <c r="CM27" s="4" t="s">
        <v>184</v>
      </c>
      <c r="CN27" s="4" t="s">
        <v>184</v>
      </c>
      <c r="CO27" s="4" t="s">
        <v>186</v>
      </c>
      <c r="CP27" s="4" t="s">
        <v>186</v>
      </c>
      <c r="CQ27" s="4" t="s">
        <v>186</v>
      </c>
      <c r="CR27" s="4" t="s">
        <v>186</v>
      </c>
      <c r="CS27" s="4" t="s">
        <v>187</v>
      </c>
      <c r="CT27" s="4" t="s">
        <v>188</v>
      </c>
      <c r="CU27" s="4" t="s">
        <v>174</v>
      </c>
      <c r="CV27" s="4" t="s">
        <v>189</v>
      </c>
      <c r="CW27" s="4" t="s">
        <v>190</v>
      </c>
      <c r="CX27" s="4" t="s">
        <v>190</v>
      </c>
      <c r="CY27" s="4" t="s">
        <v>191</v>
      </c>
      <c r="CZ27" s="4" t="s">
        <v>189</v>
      </c>
      <c r="DA27" s="4" t="s">
        <v>167</v>
      </c>
      <c r="DB27" s="4" t="s">
        <v>184</v>
      </c>
      <c r="DC27" s="4" t="s">
        <v>167</v>
      </c>
      <c r="DD27" s="4" t="s">
        <v>192</v>
      </c>
      <c r="DE27" s="4" t="s">
        <v>167</v>
      </c>
      <c r="DF27" s="4" t="s">
        <v>174</v>
      </c>
      <c r="DG27" s="4" t="s">
        <v>182</v>
      </c>
      <c r="DH27" s="4" t="s">
        <v>193</v>
      </c>
      <c r="DI27" s="4" t="s">
        <v>193</v>
      </c>
      <c r="DJ27" s="4" t="s">
        <v>193</v>
      </c>
      <c r="DK27" s="4" t="s">
        <v>194</v>
      </c>
      <c r="DL27" s="4" t="s">
        <v>193</v>
      </c>
      <c r="DM27" s="4" t="s">
        <v>193</v>
      </c>
      <c r="DN27" s="4" t="s">
        <v>193</v>
      </c>
      <c r="DO27" s="4" t="s">
        <v>193</v>
      </c>
      <c r="DP27" s="4" t="s">
        <v>195</v>
      </c>
      <c r="DQ27" s="4" t="s">
        <v>193</v>
      </c>
      <c r="DR27" s="4" t="s">
        <v>195</v>
      </c>
      <c r="DS27" s="4" t="s">
        <v>196</v>
      </c>
      <c r="DT27" s="4" t="s">
        <v>197</v>
      </c>
      <c r="DU27" s="4" t="s">
        <v>198</v>
      </c>
      <c r="DV27" s="4" t="s">
        <v>199</v>
      </c>
      <c r="DW27" s="4" t="s">
        <v>199</v>
      </c>
      <c r="DX27" s="4" t="s">
        <v>185</v>
      </c>
      <c r="DY27" s="4" t="s">
        <v>199</v>
      </c>
      <c r="DZ27" s="4" t="s">
        <v>173</v>
      </c>
      <c r="EA27" s="4" t="s">
        <v>200</v>
      </c>
      <c r="EB27" s="4" t="s">
        <v>201</v>
      </c>
      <c r="EC27" s="4" t="s">
        <v>202</v>
      </c>
      <c r="ED27" s="4" t="s">
        <v>173</v>
      </c>
      <c r="EE27" s="4" t="s">
        <v>191</v>
      </c>
      <c r="EF27" s="4" t="s">
        <v>200</v>
      </c>
      <c r="EG27" s="4" t="s">
        <v>203</v>
      </c>
      <c r="EH27" s="4" t="s">
        <v>203</v>
      </c>
      <c r="EI27" s="4" t="s">
        <v>204</v>
      </c>
      <c r="EJ27" s="4" t="s">
        <v>204</v>
      </c>
      <c r="EK27" s="4" t="s">
        <v>205</v>
      </c>
      <c r="EL27" s="4" t="s">
        <v>200</v>
      </c>
      <c r="EM27" t="s">
        <v>206</v>
      </c>
    </row>
    <row r="28" spans="1:145" x14ac:dyDescent="0.3">
      <c r="B28" s="18" t="s">
        <v>207</v>
      </c>
      <c r="C28" s="4" t="s">
        <v>208</v>
      </c>
      <c r="D28" s="4" t="s">
        <v>209</v>
      </c>
      <c r="E28" s="4" t="s">
        <v>210</v>
      </c>
      <c r="F28" s="4" t="s">
        <v>210</v>
      </c>
      <c r="G28" s="4" t="s">
        <v>210</v>
      </c>
      <c r="H28" s="4" t="s">
        <v>210</v>
      </c>
      <c r="I28" s="4" t="s">
        <v>211</v>
      </c>
      <c r="J28" s="4" t="s">
        <v>211</v>
      </c>
      <c r="K28" s="4" t="s">
        <v>212</v>
      </c>
      <c r="L28" s="4" t="s">
        <v>212</v>
      </c>
      <c r="M28" s="4" t="s">
        <v>212</v>
      </c>
      <c r="N28" s="4" t="s">
        <v>212</v>
      </c>
      <c r="O28" s="4" t="s">
        <v>209</v>
      </c>
      <c r="P28" s="4" t="s">
        <v>213</v>
      </c>
      <c r="Q28" s="4" t="s">
        <v>209</v>
      </c>
      <c r="R28" s="4" t="s">
        <v>212</v>
      </c>
      <c r="S28" s="4" t="s">
        <v>214</v>
      </c>
      <c r="T28" s="4" t="s">
        <v>214</v>
      </c>
      <c r="U28" s="4" t="s">
        <v>215</v>
      </c>
      <c r="V28" s="4" t="s">
        <v>213</v>
      </c>
      <c r="W28" s="4" t="s">
        <v>216</v>
      </c>
      <c r="X28" s="4" t="s">
        <v>217</v>
      </c>
      <c r="Y28" s="4" t="s">
        <v>218</v>
      </c>
      <c r="Z28" s="4" t="s">
        <v>219</v>
      </c>
      <c r="AA28" s="4" t="s">
        <v>217</v>
      </c>
      <c r="AB28" s="4" t="s">
        <v>217</v>
      </c>
      <c r="AC28" s="4" t="s">
        <v>220</v>
      </c>
      <c r="AD28" s="4" t="s">
        <v>220</v>
      </c>
      <c r="AE28" s="4" t="s">
        <v>221</v>
      </c>
      <c r="AF28" s="4" t="s">
        <v>222</v>
      </c>
      <c r="AG28" s="4" t="s">
        <v>217</v>
      </c>
      <c r="AH28" s="4" t="s">
        <v>222</v>
      </c>
      <c r="AI28" s="4" t="s">
        <v>222</v>
      </c>
      <c r="AJ28" s="4" t="s">
        <v>222</v>
      </c>
      <c r="AK28" s="4" t="s">
        <v>217</v>
      </c>
      <c r="AL28" s="4" t="s">
        <v>217</v>
      </c>
      <c r="AM28" s="4" t="s">
        <v>223</v>
      </c>
      <c r="AN28" s="4" t="s">
        <v>217</v>
      </c>
      <c r="AO28" s="4" t="s">
        <v>219</v>
      </c>
      <c r="AP28" s="4" t="s">
        <v>224</v>
      </c>
      <c r="AQ28" s="4" t="s">
        <v>225</v>
      </c>
      <c r="AR28" s="4" t="s">
        <v>225</v>
      </c>
      <c r="AS28" s="4" t="s">
        <v>225</v>
      </c>
      <c r="AT28" s="4" t="s">
        <v>224</v>
      </c>
      <c r="AU28" s="4" t="s">
        <v>224</v>
      </c>
      <c r="AV28" s="4" t="s">
        <v>223</v>
      </c>
      <c r="AW28" s="4" t="s">
        <v>208</v>
      </c>
      <c r="AX28" s="4" t="s">
        <v>224</v>
      </c>
      <c r="AY28" s="4" t="s">
        <v>223</v>
      </c>
      <c r="AZ28" s="4" t="s">
        <v>226</v>
      </c>
      <c r="BA28" s="4" t="s">
        <v>217</v>
      </c>
      <c r="BB28" s="4" t="s">
        <v>223</v>
      </c>
      <c r="BC28" s="4" t="s">
        <v>217</v>
      </c>
      <c r="BD28" s="4" t="s">
        <v>217</v>
      </c>
      <c r="BE28" s="4" t="s">
        <v>227</v>
      </c>
      <c r="BF28" s="4" t="s">
        <v>227</v>
      </c>
      <c r="BG28" s="4" t="s">
        <v>217</v>
      </c>
      <c r="BH28" s="4" t="s">
        <v>217</v>
      </c>
      <c r="BI28" s="4" t="s">
        <v>228</v>
      </c>
      <c r="BJ28" s="4" t="s">
        <v>228</v>
      </c>
      <c r="BK28" s="4" t="s">
        <v>229</v>
      </c>
      <c r="BL28" s="4" t="s">
        <v>229</v>
      </c>
      <c r="BM28" s="4" t="s">
        <v>229</v>
      </c>
      <c r="BN28" s="4" t="s">
        <v>217</v>
      </c>
      <c r="BO28" s="4" t="s">
        <v>217</v>
      </c>
      <c r="BP28" s="4" t="s">
        <v>217</v>
      </c>
      <c r="BQ28" s="4" t="s">
        <v>229</v>
      </c>
      <c r="BR28" s="4" t="s">
        <v>217</v>
      </c>
      <c r="BS28" s="4" t="s">
        <v>230</v>
      </c>
      <c r="BT28" s="4" t="s">
        <v>230</v>
      </c>
      <c r="BU28" s="4" t="s">
        <v>231</v>
      </c>
      <c r="BV28" s="4" t="s">
        <v>230</v>
      </c>
      <c r="BW28" s="4" t="s">
        <v>217</v>
      </c>
      <c r="BX28" s="4" t="s">
        <v>217</v>
      </c>
      <c r="BY28" s="4" t="s">
        <v>228</v>
      </c>
      <c r="BZ28" s="4" t="s">
        <v>228</v>
      </c>
      <c r="CA28" s="4" t="s">
        <v>217</v>
      </c>
      <c r="CB28" s="4" t="s">
        <v>217</v>
      </c>
      <c r="CC28" s="4" t="s">
        <v>232</v>
      </c>
      <c r="CD28" s="4" t="s">
        <v>230</v>
      </c>
      <c r="CE28" s="4" t="s">
        <v>217</v>
      </c>
      <c r="CF28" s="4" t="s">
        <v>233</v>
      </c>
      <c r="CG28" s="4" t="s">
        <v>233</v>
      </c>
      <c r="CH28" s="4" t="s">
        <v>233</v>
      </c>
      <c r="CI28" s="4" t="s">
        <v>234</v>
      </c>
      <c r="CJ28" s="4" t="s">
        <v>234</v>
      </c>
      <c r="CK28" s="4" t="s">
        <v>233</v>
      </c>
      <c r="CL28" s="4" t="s">
        <v>235</v>
      </c>
      <c r="CM28" s="4" t="s">
        <v>234</v>
      </c>
      <c r="CN28" s="4" t="s">
        <v>234</v>
      </c>
      <c r="CO28" s="4" t="s">
        <v>236</v>
      </c>
      <c r="CP28" s="4" t="s">
        <v>236</v>
      </c>
      <c r="CQ28" s="4" t="s">
        <v>236</v>
      </c>
      <c r="CR28" s="4" t="s">
        <v>236</v>
      </c>
      <c r="CS28" s="4" t="s">
        <v>237</v>
      </c>
      <c r="CT28" s="4" t="s">
        <v>238</v>
      </c>
      <c r="CU28" s="4" t="s">
        <v>224</v>
      </c>
      <c r="CV28" s="4" t="s">
        <v>239</v>
      </c>
      <c r="CW28" s="4" t="s">
        <v>240</v>
      </c>
      <c r="CX28" s="4" t="s">
        <v>240</v>
      </c>
      <c r="CY28" s="4" t="s">
        <v>241</v>
      </c>
      <c r="CZ28" s="4" t="s">
        <v>239</v>
      </c>
      <c r="DA28" s="4" t="s">
        <v>217</v>
      </c>
      <c r="DB28" s="4" t="s">
        <v>234</v>
      </c>
      <c r="DC28" s="4" t="s">
        <v>217</v>
      </c>
      <c r="DD28" s="4" t="s">
        <v>242</v>
      </c>
      <c r="DE28" s="4" t="s">
        <v>217</v>
      </c>
      <c r="DF28" s="4" t="s">
        <v>224</v>
      </c>
      <c r="DG28" s="4" t="s">
        <v>232</v>
      </c>
      <c r="DH28" s="4" t="s">
        <v>243</v>
      </c>
      <c r="DI28" s="4" t="s">
        <v>243</v>
      </c>
      <c r="DJ28" s="4" t="s">
        <v>243</v>
      </c>
      <c r="DK28" s="4" t="s">
        <v>244</v>
      </c>
      <c r="DL28" s="4" t="s">
        <v>243</v>
      </c>
      <c r="DM28" s="4" t="s">
        <v>243</v>
      </c>
      <c r="DN28" s="4" t="s">
        <v>243</v>
      </c>
      <c r="DO28" s="4" t="s">
        <v>243</v>
      </c>
      <c r="DP28" s="4" t="s">
        <v>245</v>
      </c>
      <c r="DQ28" s="4" t="s">
        <v>243</v>
      </c>
      <c r="DR28" s="4" t="s">
        <v>245</v>
      </c>
      <c r="DS28" s="4" t="s">
        <v>246</v>
      </c>
      <c r="DT28" s="4" t="s">
        <v>247</v>
      </c>
      <c r="DU28" s="4" t="s">
        <v>248</v>
      </c>
      <c r="DV28" s="4" t="s">
        <v>249</v>
      </c>
      <c r="DW28" s="4" t="s">
        <v>249</v>
      </c>
      <c r="DX28" s="4" t="s">
        <v>235</v>
      </c>
      <c r="DY28" s="4" t="s">
        <v>249</v>
      </c>
      <c r="DZ28" s="4" t="s">
        <v>223</v>
      </c>
      <c r="EA28" s="4" t="s">
        <v>250</v>
      </c>
      <c r="EB28" s="4" t="s">
        <v>251</v>
      </c>
      <c r="EC28" s="4" t="s">
        <v>252</v>
      </c>
      <c r="ED28" s="4" t="s">
        <v>223</v>
      </c>
      <c r="EE28" s="4" t="s">
        <v>241</v>
      </c>
      <c r="EF28" s="4" t="s">
        <v>250</v>
      </c>
      <c r="EG28" s="4" t="s">
        <v>253</v>
      </c>
      <c r="EH28" s="4" t="s">
        <v>253</v>
      </c>
      <c r="EI28" s="4" t="s">
        <v>254</v>
      </c>
      <c r="EJ28" s="4" t="s">
        <v>254</v>
      </c>
      <c r="EK28" s="4" t="s">
        <v>255</v>
      </c>
      <c r="EL28" s="4" t="s">
        <v>250</v>
      </c>
      <c r="EM28" t="s">
        <v>256</v>
      </c>
    </row>
    <row r="29" spans="1:145" x14ac:dyDescent="0.3">
      <c r="B29" s="18" t="s">
        <v>257</v>
      </c>
      <c r="C29" s="4" t="s">
        <v>258</v>
      </c>
      <c r="D29" s="4" t="s">
        <v>259</v>
      </c>
      <c r="E29" s="4" t="s">
        <v>198</v>
      </c>
      <c r="F29" s="4" t="s">
        <v>198</v>
      </c>
      <c r="G29" s="4" t="s">
        <v>198</v>
      </c>
      <c r="H29" s="4" t="s">
        <v>198</v>
      </c>
      <c r="I29" s="4" t="s">
        <v>260</v>
      </c>
      <c r="J29" s="4" t="s">
        <v>260</v>
      </c>
      <c r="K29" s="4" t="s">
        <v>198</v>
      </c>
      <c r="L29" s="4" t="s">
        <v>261</v>
      </c>
      <c r="M29" s="4" t="s">
        <v>198</v>
      </c>
      <c r="N29" s="4" t="s">
        <v>198</v>
      </c>
      <c r="O29" s="4" t="s">
        <v>260</v>
      </c>
      <c r="P29" s="4" t="s">
        <v>262</v>
      </c>
      <c r="Q29" s="4" t="s">
        <v>260</v>
      </c>
      <c r="R29" s="4" t="s">
        <v>262</v>
      </c>
      <c r="S29" s="4" t="s">
        <v>262</v>
      </c>
      <c r="T29" s="4" t="s">
        <v>262</v>
      </c>
      <c r="U29" s="4" t="s">
        <v>260</v>
      </c>
      <c r="V29" s="4" t="s">
        <v>262</v>
      </c>
      <c r="W29" s="4" t="s">
        <v>159</v>
      </c>
      <c r="X29" s="4" t="s">
        <v>260</v>
      </c>
      <c r="Y29" s="4" t="s">
        <v>175</v>
      </c>
      <c r="Z29" s="4" t="s">
        <v>175</v>
      </c>
      <c r="AA29" s="4" t="s">
        <v>260</v>
      </c>
      <c r="AB29" s="4" t="s">
        <v>260</v>
      </c>
      <c r="AC29" s="4" t="s">
        <v>175</v>
      </c>
      <c r="AD29" s="4" t="s">
        <v>175</v>
      </c>
      <c r="AE29" s="4" t="s">
        <v>175</v>
      </c>
      <c r="AF29" s="4" t="s">
        <v>263</v>
      </c>
      <c r="AG29" s="4" t="s">
        <v>260</v>
      </c>
      <c r="AH29" s="4" t="s">
        <v>263</v>
      </c>
      <c r="AI29" s="4" t="s">
        <v>263</v>
      </c>
      <c r="AJ29" s="4" t="s">
        <v>263</v>
      </c>
      <c r="AK29" s="4" t="s">
        <v>260</v>
      </c>
      <c r="AL29" s="4" t="s">
        <v>260</v>
      </c>
      <c r="AM29" s="4" t="s">
        <v>259</v>
      </c>
      <c r="AN29" s="4" t="s">
        <v>260</v>
      </c>
      <c r="AO29" s="4" t="s">
        <v>264</v>
      </c>
      <c r="AP29" s="4" t="s">
        <v>265</v>
      </c>
      <c r="AQ29" s="4" t="s">
        <v>265</v>
      </c>
      <c r="AR29" s="4" t="s">
        <v>266</v>
      </c>
      <c r="AS29" s="4" t="s">
        <v>266</v>
      </c>
      <c r="AT29" s="4" t="s">
        <v>266</v>
      </c>
      <c r="AU29" s="4" t="s">
        <v>266</v>
      </c>
      <c r="AV29" s="4" t="s">
        <v>259</v>
      </c>
      <c r="AW29" s="4" t="s">
        <v>267</v>
      </c>
      <c r="AX29" s="4" t="s">
        <v>268</v>
      </c>
      <c r="AY29" s="4" t="s">
        <v>259</v>
      </c>
      <c r="AZ29" s="4" t="s">
        <v>179</v>
      </c>
      <c r="BA29" s="4" t="s">
        <v>267</v>
      </c>
      <c r="BB29" s="4" t="s">
        <v>259</v>
      </c>
      <c r="BC29" s="4" t="s">
        <v>269</v>
      </c>
      <c r="BD29" s="4" t="s">
        <v>269</v>
      </c>
      <c r="BE29" s="4" t="s">
        <v>270</v>
      </c>
      <c r="BF29" s="4" t="s">
        <v>270</v>
      </c>
      <c r="BG29" s="4" t="s">
        <v>269</v>
      </c>
      <c r="BH29" s="4" t="s">
        <v>269</v>
      </c>
      <c r="BI29" s="4" t="s">
        <v>259</v>
      </c>
      <c r="BJ29" s="4" t="s">
        <v>271</v>
      </c>
      <c r="BK29" s="4" t="s">
        <v>271</v>
      </c>
      <c r="BL29" s="4" t="s">
        <v>272</v>
      </c>
      <c r="BM29" s="4" t="s">
        <v>272</v>
      </c>
      <c r="BN29" s="4" t="s">
        <v>273</v>
      </c>
      <c r="BO29" s="4" t="s">
        <v>273</v>
      </c>
      <c r="BP29" s="4" t="s">
        <v>273</v>
      </c>
      <c r="BQ29" s="4" t="s">
        <v>272</v>
      </c>
      <c r="BR29" s="4" t="s">
        <v>274</v>
      </c>
      <c r="BS29" s="4" t="s">
        <v>272</v>
      </c>
      <c r="BT29" s="4" t="s">
        <v>272</v>
      </c>
      <c r="BU29" s="4" t="s">
        <v>272</v>
      </c>
      <c r="BV29" s="4" t="s">
        <v>272</v>
      </c>
      <c r="BW29" s="4" t="s">
        <v>267</v>
      </c>
      <c r="BX29" s="4" t="s">
        <v>267</v>
      </c>
      <c r="BY29" s="4" t="s">
        <v>259</v>
      </c>
      <c r="BZ29" s="4" t="s">
        <v>259</v>
      </c>
      <c r="CA29" s="4" t="s">
        <v>275</v>
      </c>
      <c r="CB29" s="4" t="s">
        <v>275</v>
      </c>
      <c r="CC29" s="4" t="s">
        <v>188</v>
      </c>
      <c r="CD29" s="4" t="s">
        <v>189</v>
      </c>
      <c r="CE29" s="4" t="s">
        <v>276</v>
      </c>
      <c r="CF29" s="4" t="s">
        <v>189</v>
      </c>
      <c r="CG29" s="4" t="s">
        <v>189</v>
      </c>
      <c r="CH29" s="4" t="s">
        <v>189</v>
      </c>
      <c r="CI29" s="4" t="s">
        <v>267</v>
      </c>
      <c r="CJ29" s="4" t="s">
        <v>267</v>
      </c>
      <c r="CK29" s="4" t="s">
        <v>190</v>
      </c>
      <c r="CL29" s="4" t="s">
        <v>259</v>
      </c>
      <c r="CM29" s="4" t="s">
        <v>267</v>
      </c>
      <c r="CN29" s="4" t="s">
        <v>267</v>
      </c>
      <c r="CO29" s="4" t="s">
        <v>277</v>
      </c>
      <c r="CP29" s="4" t="s">
        <v>277</v>
      </c>
      <c r="CQ29" s="4" t="s">
        <v>182</v>
      </c>
      <c r="CR29" s="4" t="s">
        <v>277</v>
      </c>
      <c r="CS29" s="4" t="s">
        <v>259</v>
      </c>
      <c r="CT29" s="4" t="s">
        <v>182</v>
      </c>
      <c r="CU29" s="4" t="s">
        <v>182</v>
      </c>
      <c r="CV29" s="4" t="s">
        <v>182</v>
      </c>
      <c r="CW29" s="4" t="s">
        <v>182</v>
      </c>
      <c r="CX29" s="4" t="s">
        <v>182</v>
      </c>
      <c r="CY29" s="4" t="s">
        <v>278</v>
      </c>
      <c r="CZ29" s="4" t="s">
        <v>278</v>
      </c>
      <c r="DA29" s="4" t="s">
        <v>276</v>
      </c>
      <c r="DB29" s="4" t="s">
        <v>269</v>
      </c>
      <c r="DC29" s="4" t="s">
        <v>279</v>
      </c>
      <c r="DD29" s="4" t="s">
        <v>278</v>
      </c>
      <c r="DE29" s="4" t="s">
        <v>260</v>
      </c>
      <c r="DF29" s="4" t="s">
        <v>260</v>
      </c>
      <c r="DG29" s="4" t="s">
        <v>172</v>
      </c>
      <c r="DH29" s="4" t="s">
        <v>172</v>
      </c>
      <c r="DI29" s="4" t="s">
        <v>172</v>
      </c>
      <c r="DJ29" s="4" t="s">
        <v>172</v>
      </c>
      <c r="DK29" s="4" t="s">
        <v>172</v>
      </c>
      <c r="DL29" s="4" t="s">
        <v>158</v>
      </c>
      <c r="DM29" s="4" t="s">
        <v>172</v>
      </c>
      <c r="DN29" s="4" t="s">
        <v>158</v>
      </c>
      <c r="DO29" s="4" t="s">
        <v>172</v>
      </c>
      <c r="DP29" s="4" t="s">
        <v>280</v>
      </c>
      <c r="DQ29" s="4" t="s">
        <v>204</v>
      </c>
      <c r="DR29" s="4" t="s">
        <v>269</v>
      </c>
      <c r="DS29" s="4" t="s">
        <v>202</v>
      </c>
      <c r="DT29" s="4" t="s">
        <v>281</v>
      </c>
      <c r="DU29" s="4" t="s">
        <v>204</v>
      </c>
      <c r="DV29" s="4" t="s">
        <v>204</v>
      </c>
      <c r="DW29" s="4" t="s">
        <v>204</v>
      </c>
      <c r="DX29" s="4" t="s">
        <v>259</v>
      </c>
      <c r="DY29" s="4" t="s">
        <v>204</v>
      </c>
      <c r="DZ29" s="4" t="s">
        <v>204</v>
      </c>
      <c r="EA29" s="4" t="s">
        <v>259</v>
      </c>
      <c r="EB29" s="4" t="s">
        <v>282</v>
      </c>
      <c r="EC29" s="4" t="s">
        <v>276</v>
      </c>
      <c r="ED29" s="4" t="s">
        <v>174</v>
      </c>
      <c r="EE29" s="4" t="s">
        <v>174</v>
      </c>
      <c r="EF29" s="4" t="s">
        <v>259</v>
      </c>
      <c r="EG29" s="4" t="s">
        <v>283</v>
      </c>
      <c r="EH29" s="4" t="s">
        <v>283</v>
      </c>
      <c r="EI29" s="4" t="s">
        <v>283</v>
      </c>
      <c r="EJ29" s="4" t="s">
        <v>283</v>
      </c>
      <c r="EK29" s="4" t="s">
        <v>283</v>
      </c>
      <c r="EL29" s="4" t="s">
        <v>259</v>
      </c>
      <c r="EM29" t="s">
        <v>284</v>
      </c>
    </row>
    <row r="30" spans="1:145" x14ac:dyDescent="0.3">
      <c r="B30" s="18" t="s">
        <v>207</v>
      </c>
      <c r="C30" s="4" t="s">
        <v>285</v>
      </c>
      <c r="D30" s="4" t="s">
        <v>286</v>
      </c>
      <c r="E30" s="4" t="s">
        <v>248</v>
      </c>
      <c r="F30" s="4" t="s">
        <v>248</v>
      </c>
      <c r="G30" s="4" t="s">
        <v>248</v>
      </c>
      <c r="H30" s="4" t="s">
        <v>248</v>
      </c>
      <c r="I30" s="4" t="s">
        <v>287</v>
      </c>
      <c r="J30" s="4" t="s">
        <v>287</v>
      </c>
      <c r="K30" s="4" t="s">
        <v>248</v>
      </c>
      <c r="L30" s="4" t="s">
        <v>288</v>
      </c>
      <c r="M30" s="4" t="s">
        <v>248</v>
      </c>
      <c r="N30" s="4" t="s">
        <v>248</v>
      </c>
      <c r="O30" s="4" t="s">
        <v>287</v>
      </c>
      <c r="P30" s="4" t="s">
        <v>289</v>
      </c>
      <c r="Q30" s="4" t="s">
        <v>287</v>
      </c>
      <c r="R30" s="4" t="s">
        <v>289</v>
      </c>
      <c r="S30" s="4" t="s">
        <v>289</v>
      </c>
      <c r="T30" s="4" t="s">
        <v>289</v>
      </c>
      <c r="U30" s="4" t="s">
        <v>287</v>
      </c>
      <c r="V30" s="4" t="s">
        <v>289</v>
      </c>
      <c r="W30" s="4" t="s">
        <v>209</v>
      </c>
      <c r="X30" s="4" t="s">
        <v>287</v>
      </c>
      <c r="Y30" s="4" t="s">
        <v>225</v>
      </c>
      <c r="Z30" s="4" t="s">
        <v>225</v>
      </c>
      <c r="AA30" s="4" t="s">
        <v>287</v>
      </c>
      <c r="AB30" s="4" t="s">
        <v>287</v>
      </c>
      <c r="AC30" s="4" t="s">
        <v>225</v>
      </c>
      <c r="AD30" s="4" t="s">
        <v>225</v>
      </c>
      <c r="AE30" s="4" t="s">
        <v>225</v>
      </c>
      <c r="AF30" s="4" t="s">
        <v>290</v>
      </c>
      <c r="AG30" s="4" t="s">
        <v>287</v>
      </c>
      <c r="AH30" s="4" t="s">
        <v>290</v>
      </c>
      <c r="AI30" s="4" t="s">
        <v>290</v>
      </c>
      <c r="AJ30" s="4" t="s">
        <v>290</v>
      </c>
      <c r="AK30" s="4" t="s">
        <v>287</v>
      </c>
      <c r="AL30" s="4" t="s">
        <v>287</v>
      </c>
      <c r="AM30" s="4" t="s">
        <v>286</v>
      </c>
      <c r="AN30" s="4" t="s">
        <v>287</v>
      </c>
      <c r="AO30" s="4" t="s">
        <v>291</v>
      </c>
      <c r="AP30" s="4" t="s">
        <v>292</v>
      </c>
      <c r="AQ30" s="4" t="s">
        <v>292</v>
      </c>
      <c r="AR30" s="4" t="s">
        <v>293</v>
      </c>
      <c r="AS30" s="4" t="s">
        <v>293</v>
      </c>
      <c r="AT30" s="4" t="s">
        <v>293</v>
      </c>
      <c r="AU30" s="4" t="s">
        <v>293</v>
      </c>
      <c r="AV30" s="4" t="s">
        <v>286</v>
      </c>
      <c r="AW30" s="4" t="s">
        <v>294</v>
      </c>
      <c r="AX30" s="4" t="s">
        <v>295</v>
      </c>
      <c r="AY30" s="4" t="s">
        <v>286</v>
      </c>
      <c r="AZ30" s="4" t="s">
        <v>229</v>
      </c>
      <c r="BA30" s="4" t="s">
        <v>294</v>
      </c>
      <c r="BB30" s="4" t="s">
        <v>286</v>
      </c>
      <c r="BC30" s="4" t="s">
        <v>296</v>
      </c>
      <c r="BD30" s="4" t="s">
        <v>296</v>
      </c>
      <c r="BE30" s="4" t="s">
        <v>297</v>
      </c>
      <c r="BF30" s="4" t="s">
        <v>297</v>
      </c>
      <c r="BG30" s="4" t="s">
        <v>296</v>
      </c>
      <c r="BH30" s="4" t="s">
        <v>296</v>
      </c>
      <c r="BI30" s="4" t="s">
        <v>286</v>
      </c>
      <c r="BJ30" s="4" t="s">
        <v>298</v>
      </c>
      <c r="BK30" s="4" t="s">
        <v>298</v>
      </c>
      <c r="BL30" s="4" t="s">
        <v>299</v>
      </c>
      <c r="BM30" s="4" t="s">
        <v>299</v>
      </c>
      <c r="BN30" s="4" t="s">
        <v>300</v>
      </c>
      <c r="BO30" s="4" t="s">
        <v>300</v>
      </c>
      <c r="BP30" s="4" t="s">
        <v>300</v>
      </c>
      <c r="BQ30" s="4" t="s">
        <v>299</v>
      </c>
      <c r="BR30" s="4" t="s">
        <v>301</v>
      </c>
      <c r="BS30" s="4" t="s">
        <v>299</v>
      </c>
      <c r="BT30" s="4" t="s">
        <v>299</v>
      </c>
      <c r="BU30" s="4" t="s">
        <v>299</v>
      </c>
      <c r="BV30" s="4" t="s">
        <v>299</v>
      </c>
      <c r="BW30" s="4" t="s">
        <v>294</v>
      </c>
      <c r="BX30" s="4" t="s">
        <v>294</v>
      </c>
      <c r="BY30" s="4" t="s">
        <v>286</v>
      </c>
      <c r="BZ30" s="4" t="s">
        <v>286</v>
      </c>
      <c r="CA30" s="4" t="s">
        <v>302</v>
      </c>
      <c r="CB30" s="4" t="s">
        <v>302</v>
      </c>
      <c r="CC30" s="4" t="s">
        <v>238</v>
      </c>
      <c r="CD30" s="4" t="s">
        <v>239</v>
      </c>
      <c r="CE30" s="4" t="s">
        <v>303</v>
      </c>
      <c r="CF30" s="4" t="s">
        <v>239</v>
      </c>
      <c r="CG30" s="4" t="s">
        <v>239</v>
      </c>
      <c r="CH30" s="4" t="s">
        <v>239</v>
      </c>
      <c r="CI30" s="4" t="s">
        <v>294</v>
      </c>
      <c r="CJ30" s="4" t="s">
        <v>294</v>
      </c>
      <c r="CK30" s="4" t="s">
        <v>240</v>
      </c>
      <c r="CL30" s="4" t="s">
        <v>286</v>
      </c>
      <c r="CM30" s="4" t="s">
        <v>294</v>
      </c>
      <c r="CN30" s="4" t="s">
        <v>294</v>
      </c>
      <c r="CO30" s="4" t="s">
        <v>304</v>
      </c>
      <c r="CP30" s="4" t="s">
        <v>304</v>
      </c>
      <c r="CQ30" s="4" t="s">
        <v>232</v>
      </c>
      <c r="CR30" s="4" t="s">
        <v>304</v>
      </c>
      <c r="CS30" s="4" t="s">
        <v>286</v>
      </c>
      <c r="CT30" s="4" t="s">
        <v>232</v>
      </c>
      <c r="CU30" s="4" t="s">
        <v>232</v>
      </c>
      <c r="CV30" s="4" t="s">
        <v>232</v>
      </c>
      <c r="CW30" s="4" t="s">
        <v>232</v>
      </c>
      <c r="CX30" s="4" t="s">
        <v>232</v>
      </c>
      <c r="CY30" s="4" t="s">
        <v>305</v>
      </c>
      <c r="CZ30" s="4" t="s">
        <v>305</v>
      </c>
      <c r="DA30" s="4" t="s">
        <v>303</v>
      </c>
      <c r="DB30" s="4" t="s">
        <v>296</v>
      </c>
      <c r="DC30" s="4" t="s">
        <v>306</v>
      </c>
      <c r="DD30" s="4" t="s">
        <v>305</v>
      </c>
      <c r="DE30" s="4" t="s">
        <v>287</v>
      </c>
      <c r="DF30" s="4" t="s">
        <v>287</v>
      </c>
      <c r="DG30" s="4" t="s">
        <v>222</v>
      </c>
      <c r="DH30" s="4" t="s">
        <v>222</v>
      </c>
      <c r="DI30" s="4" t="s">
        <v>222</v>
      </c>
      <c r="DJ30" s="4" t="s">
        <v>222</v>
      </c>
      <c r="DK30" s="4" t="s">
        <v>222</v>
      </c>
      <c r="DL30" s="4" t="s">
        <v>208</v>
      </c>
      <c r="DM30" s="4" t="s">
        <v>222</v>
      </c>
      <c r="DN30" s="4" t="s">
        <v>208</v>
      </c>
      <c r="DO30" s="4" t="s">
        <v>222</v>
      </c>
      <c r="DP30" s="4" t="s">
        <v>307</v>
      </c>
      <c r="DQ30" s="4" t="s">
        <v>254</v>
      </c>
      <c r="DR30" s="4" t="s">
        <v>296</v>
      </c>
      <c r="DS30" s="4" t="s">
        <v>252</v>
      </c>
      <c r="DT30" s="4" t="s">
        <v>308</v>
      </c>
      <c r="DU30" s="4" t="s">
        <v>254</v>
      </c>
      <c r="DV30" s="4" t="s">
        <v>254</v>
      </c>
      <c r="DW30" s="4" t="s">
        <v>254</v>
      </c>
      <c r="DX30" s="4" t="s">
        <v>286</v>
      </c>
      <c r="DY30" s="4" t="s">
        <v>254</v>
      </c>
      <c r="DZ30" s="4" t="s">
        <v>254</v>
      </c>
      <c r="EA30" s="4" t="s">
        <v>286</v>
      </c>
      <c r="EB30" s="4" t="s">
        <v>309</v>
      </c>
      <c r="EC30" s="4" t="s">
        <v>303</v>
      </c>
      <c r="ED30" s="4" t="s">
        <v>224</v>
      </c>
      <c r="EE30" s="4" t="s">
        <v>224</v>
      </c>
      <c r="EF30" s="4" t="s">
        <v>286</v>
      </c>
      <c r="EG30" s="4" t="s">
        <v>310</v>
      </c>
      <c r="EH30" s="4" t="s">
        <v>310</v>
      </c>
      <c r="EI30" s="4" t="s">
        <v>310</v>
      </c>
      <c r="EJ30" s="4" t="s">
        <v>310</v>
      </c>
      <c r="EK30" s="4" t="s">
        <v>310</v>
      </c>
      <c r="EL30" s="4" t="s">
        <v>286</v>
      </c>
      <c r="EM30" t="s">
        <v>311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5">
      <formula>EN12&lt;$EN$25</formula>
    </cfRule>
  </conditionalFormatting>
  <conditionalFormatting sqref="EO12:EO24">
    <cfRule type="expression" dxfId="4" priority="4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6" sqref="EN6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312</v>
      </c>
      <c r="EN11" s="6" t="s">
        <v>313</v>
      </c>
    </row>
    <row r="12" spans="1:144" x14ac:dyDescent="0.3">
      <c r="A12" s="17">
        <v>10</v>
      </c>
      <c r="B12" s="17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0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0</v>
      </c>
      <c r="I12" s="10">
        <f>IF(預測IC!I12&gt;預測IC!I$25,1,0)</f>
        <v>0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1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1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0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0</v>
      </c>
      <c r="AB12" s="10">
        <f>IF(預測IC!AB12&gt;預測IC!AB$25,1,0)</f>
        <v>0</v>
      </c>
      <c r="AC12" s="10">
        <f>IF(預測IC!AC12&gt;預測IC!AC$25,1,0)</f>
        <v>1</v>
      </c>
      <c r="AD12" s="10">
        <f>IF(預測IC!AD12&gt;預測IC!AD$25,1,0)</f>
        <v>1</v>
      </c>
      <c r="AE12" s="10">
        <f>IF(預測IC!AE12&gt;預測IC!AE$25,1,0)</f>
        <v>1</v>
      </c>
      <c r="AF12" s="10">
        <f>IF(預測IC!AF12&gt;預測IC!AF$25,1,0)</f>
        <v>0</v>
      </c>
      <c r="AG12" s="10">
        <f>IF(預測IC!AG12&gt;預測IC!AG$25,1,0)</f>
        <v>1</v>
      </c>
      <c r="AH12" s="10">
        <f>IF(預測IC!AH12&gt;預測IC!AH$25,1,0)</f>
        <v>0</v>
      </c>
      <c r="AI12" s="10">
        <f>IF(預測IC!AI12&gt;預測IC!AI$25,1,0)</f>
        <v>0</v>
      </c>
      <c r="AJ12" s="10">
        <f>IF(預測IC!AJ12&gt;預測IC!AJ$25,1,0)</f>
        <v>0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0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1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0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1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1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0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1</v>
      </c>
      <c r="CL12" s="10">
        <f>IF(預測IC!CL12&gt;預測IC!CL$25,1,0)</f>
        <v>0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0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0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0</v>
      </c>
      <c r="DK12" s="10">
        <f>IF(預測IC!DK12&gt;預測IC!DK$25,1,0)</f>
        <v>0</v>
      </c>
      <c r="DL12" s="10">
        <f>IF(預測IC!DL12&gt;預測IC!DL$25,1,0)</f>
        <v>1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0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1</v>
      </c>
      <c r="EA12" s="10">
        <f>IF(預測IC!EA12&gt;預測IC!EA$25,1,0)</f>
        <v>1</v>
      </c>
      <c r="EB12" s="10">
        <f>IF(預測IC!EB12&gt;預測IC!EB$25,1,0)</f>
        <v>1</v>
      </c>
      <c r="EC12" s="10">
        <f>IF(預測IC!EC12&gt;預測IC!EC$25,1,0)</f>
        <v>0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0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68</v>
      </c>
      <c r="EN12" s="19">
        <f t="shared" ref="EN12:EN24" si="12">EM12/140</f>
        <v>0.48571428571428571</v>
      </c>
    </row>
    <row r="13" spans="1:144" x14ac:dyDescent="0.3">
      <c r="A13" s="17">
        <v>20</v>
      </c>
      <c r="B13" s="17">
        <f t="shared" si="10"/>
        <v>53</v>
      </c>
      <c r="C13" s="10">
        <f>IF(預測IC!C13&gt;預測IC!C$25,1,0)</f>
        <v>0</v>
      </c>
      <c r="D13" s="10">
        <f>IF(預測IC!D13&gt;預測IC!D$25,1,0)</f>
        <v>1</v>
      </c>
      <c r="E13" s="10">
        <f>IF(預測IC!E13&gt;預測IC!E$25,1,0)</f>
        <v>0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0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0</v>
      </c>
      <c r="S13" s="10">
        <f>IF(預測IC!S13&gt;預測IC!S$25,1,0)</f>
        <v>1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0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0</v>
      </c>
      <c r="AB13" s="10">
        <f>IF(預測IC!AB13&gt;預測IC!AB$25,1,0)</f>
        <v>0</v>
      </c>
      <c r="AC13" s="10">
        <f>IF(預測IC!AC13&gt;預測IC!AC$25,1,0)</f>
        <v>1</v>
      </c>
      <c r="AD13" s="10">
        <f>IF(預測IC!AD13&gt;預測IC!AD$25,1,0)</f>
        <v>1</v>
      </c>
      <c r="AE13" s="10">
        <f>IF(預測IC!AE13&gt;預測IC!AE$25,1,0)</f>
        <v>1</v>
      </c>
      <c r="AF13" s="10">
        <f>IF(預測IC!AF13&gt;預測IC!AF$25,1,0)</f>
        <v>0</v>
      </c>
      <c r="AG13" s="10">
        <f>IF(預測IC!AG13&gt;預測IC!AG$25,1,0)</f>
        <v>1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1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0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0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1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1</v>
      </c>
      <c r="CL13" s="10">
        <f>IF(預測IC!CL13&gt;預測IC!CL$25,1,0)</f>
        <v>0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1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0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0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1</v>
      </c>
      <c r="EB13" s="10">
        <f>IF(預測IC!EB13&gt;預測IC!EB$25,1,0)</f>
        <v>1</v>
      </c>
      <c r="EC13" s="10">
        <f>IF(預測IC!EC13&gt;預測IC!EC$25,1,0)</f>
        <v>0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0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73</v>
      </c>
      <c r="EN13" s="19">
        <f t="shared" si="12"/>
        <v>0.52142857142857146</v>
      </c>
    </row>
    <row r="14" spans="1:144" x14ac:dyDescent="0.3">
      <c r="A14" s="17">
        <v>50</v>
      </c>
      <c r="B14" s="17">
        <f t="shared" si="10"/>
        <v>21</v>
      </c>
      <c r="C14" s="10">
        <f>IF(預測IC!C14&gt;預測IC!C$25,1,0)</f>
        <v>0</v>
      </c>
      <c r="D14" s="10">
        <f>IF(預測IC!D14&gt;預測IC!D$25,1,0)</f>
        <v>1</v>
      </c>
      <c r="E14" s="10">
        <f>IF(預測IC!E14&gt;預測IC!E$25,1,0)</f>
        <v>0</v>
      </c>
      <c r="F14" s="10">
        <f>IF(預測IC!F14&gt;預測IC!F$25,1,0)</f>
        <v>1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0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0</v>
      </c>
      <c r="Q14" s="10">
        <f>IF(預測IC!Q14&gt;預測IC!Q$25,1,0)</f>
        <v>1</v>
      </c>
      <c r="R14" s="10">
        <f>IF(預測IC!R14&gt;預測IC!R$25,1,0)</f>
        <v>1</v>
      </c>
      <c r="S14" s="10">
        <f>IF(預測IC!S14&gt;預測IC!S$25,1,0)</f>
        <v>1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0</v>
      </c>
      <c r="Y14" s="10">
        <f>IF(預測IC!Y14&gt;預測IC!Y$25,1,0)</f>
        <v>1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1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0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0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1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1</v>
      </c>
      <c r="AT14" s="10">
        <f>IF(預測IC!AT14&gt;預測IC!AT$25,1,0)</f>
        <v>1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1</v>
      </c>
      <c r="AZ14" s="10">
        <f>IF(預測IC!AZ14&gt;預測IC!AZ$25,1,0)</f>
        <v>0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1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1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0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0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0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1</v>
      </c>
      <c r="CL14" s="10">
        <f>IF(預測IC!CL14&gt;預測IC!CL$25,1,0)</f>
        <v>0</v>
      </c>
      <c r="CM14" s="10">
        <f>IF(預測IC!CM14&gt;預測IC!CM$25,1,0)</f>
        <v>0</v>
      </c>
      <c r="CN14" s="10">
        <f>IF(預測IC!CN14&gt;預測IC!CN$25,1,0)</f>
        <v>1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0</v>
      </c>
      <c r="CU14" s="10">
        <f>IF(預測IC!CU14&gt;預測IC!CU$25,1,0)</f>
        <v>1</v>
      </c>
      <c r="CV14" s="10">
        <f>IF(預測IC!CV14&gt;預測IC!CV$25,1,0)</f>
        <v>0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0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1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1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0</v>
      </c>
      <c r="DX14" s="10">
        <f>IF(預測IC!DX14&gt;預測IC!DX$25,1,0)</f>
        <v>1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1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0</v>
      </c>
      <c r="EG14" s="10">
        <f>IF(預測IC!EG14&gt;預測IC!EG$25,1,0)</f>
        <v>0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1</v>
      </c>
      <c r="EL14" s="10">
        <f>IF(預測IC!EL14&gt;預測IC!EL$25,1,0)</f>
        <v>0</v>
      </c>
      <c r="EM14" s="6">
        <f t="shared" si="11"/>
        <v>72</v>
      </c>
      <c r="EN14" s="19">
        <f t="shared" si="12"/>
        <v>0.51428571428571423</v>
      </c>
    </row>
    <row r="15" spans="1:144" x14ac:dyDescent="0.3">
      <c r="A15" s="17">
        <v>110</v>
      </c>
      <c r="B15" s="17">
        <f t="shared" si="10"/>
        <v>10</v>
      </c>
      <c r="C15" s="10">
        <f>IF(預測IC!C15&gt;預測IC!C$25,1,0)</f>
        <v>0</v>
      </c>
      <c r="D15" s="10">
        <f>IF(預測IC!D15&gt;預測IC!D$25,1,0)</f>
        <v>1</v>
      </c>
      <c r="E15" s="10">
        <f>IF(預測IC!E15&gt;預測IC!E$25,1,0)</f>
        <v>0</v>
      </c>
      <c r="F15" s="10">
        <f>IF(預測IC!F15&gt;預測IC!F$25,1,0)</f>
        <v>1</v>
      </c>
      <c r="G15" s="10">
        <f>IF(預測IC!G15&gt;預測IC!G$25,1,0)</f>
        <v>0</v>
      </c>
      <c r="H15" s="10">
        <f>IF(預測IC!H15&gt;預測IC!H$25,1,0)</f>
        <v>0</v>
      </c>
      <c r="I15" s="10">
        <f>IF(預測IC!I15&gt;預測IC!I$25,1,0)</f>
        <v>0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1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1</v>
      </c>
      <c r="R15" s="10">
        <f>IF(預測IC!R15&gt;預測IC!R$25,1,0)</f>
        <v>1</v>
      </c>
      <c r="S15" s="10">
        <f>IF(預測IC!S15&gt;預測IC!S$25,1,0)</f>
        <v>1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1</v>
      </c>
      <c r="X15" s="10">
        <f>IF(預測IC!X15&gt;預測IC!X$25,1,0)</f>
        <v>0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0</v>
      </c>
      <c r="AC15" s="10">
        <f>IF(預測IC!AC15&gt;預測IC!AC$25,1,0)</f>
        <v>0</v>
      </c>
      <c r="AD15" s="10">
        <f>IF(預測IC!AD15&gt;預測IC!AD$25,1,0)</f>
        <v>0</v>
      </c>
      <c r="AE15" s="10">
        <f>IF(預測IC!AE15&gt;預測IC!AE$25,1,0)</f>
        <v>1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1</v>
      </c>
      <c r="AI15" s="10">
        <f>IF(預測IC!AI15&gt;預測IC!AI$25,1,0)</f>
        <v>0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0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1</v>
      </c>
      <c r="AQ15" s="10">
        <f>IF(預測IC!AQ15&gt;預測IC!AQ$25,1,0)</f>
        <v>1</v>
      </c>
      <c r="AR15" s="10">
        <f>IF(預測IC!AR15&gt;預測IC!AR$25,1,0)</f>
        <v>0</v>
      </c>
      <c r="AS15" s="10">
        <f>IF(預測IC!AS15&gt;預測IC!AS$25,1,0)</f>
        <v>1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0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0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0</v>
      </c>
      <c r="BF15" s="10">
        <f>IF(預測IC!BF15&gt;預測IC!BF$25,1,0)</f>
        <v>1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1</v>
      </c>
      <c r="BM15" s="10">
        <f>IF(預測IC!BM15&gt;預測IC!BM$25,1,0)</f>
        <v>1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0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0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0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1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0</v>
      </c>
      <c r="CW15" s="10">
        <f>IF(預測IC!CW15&gt;預測IC!CW$25,1,0)</f>
        <v>1</v>
      </c>
      <c r="CX15" s="10">
        <f>IF(預測IC!CX15&gt;預測IC!CX$25,1,0)</f>
        <v>0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1</v>
      </c>
      <c r="DH15" s="10">
        <f>IF(預測IC!DH15&gt;預測IC!DH$25,1,0)</f>
        <v>0</v>
      </c>
      <c r="DI15" s="10">
        <f>IF(預測IC!DI15&gt;預測IC!DI$25,1,0)</f>
        <v>0</v>
      </c>
      <c r="DJ15" s="10">
        <f>IF(預測IC!DJ15&gt;預測IC!DJ$25,1,0)</f>
        <v>0</v>
      </c>
      <c r="DK15" s="10">
        <f>IF(預測IC!DK15&gt;預測IC!DK$25,1,0)</f>
        <v>0</v>
      </c>
      <c r="DL15" s="10">
        <f>IF(預測IC!DL15&gt;預測IC!DL$25,1,0)</f>
        <v>1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0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0</v>
      </c>
      <c r="DZ15" s="10">
        <f>IF(預測IC!DZ15&gt;預測IC!DZ$25,1,0)</f>
        <v>0</v>
      </c>
      <c r="EA15" s="10">
        <f>IF(預測IC!EA15&gt;預測IC!EA$25,1,0)</f>
        <v>1</v>
      </c>
      <c r="EB15" s="10">
        <f>IF(預測IC!EB15&gt;預測IC!EB$25,1,0)</f>
        <v>1</v>
      </c>
      <c r="EC15" s="10">
        <f>IF(預測IC!EC15&gt;預測IC!EC$25,1,0)</f>
        <v>0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0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1</v>
      </c>
      <c r="EL15" s="10">
        <f>IF(預測IC!EL15&gt;預測IC!EL$25,1,0)</f>
        <v>1</v>
      </c>
      <c r="EM15" s="6">
        <f t="shared" si="11"/>
        <v>72</v>
      </c>
      <c r="EN15" s="19">
        <f t="shared" si="12"/>
        <v>0.51428571428571423</v>
      </c>
    </row>
    <row r="16" spans="1:144" x14ac:dyDescent="0.3">
      <c r="A16" s="17">
        <v>120</v>
      </c>
      <c r="B16" s="17">
        <f t="shared" si="10"/>
        <v>9</v>
      </c>
      <c r="C16" s="10">
        <f>IF(預測IC!C16&gt;預測IC!C$25,1,0)</f>
        <v>0</v>
      </c>
      <c r="D16" s="10">
        <f>IF(預測IC!D16&gt;預測IC!D$25,1,0)</f>
        <v>1</v>
      </c>
      <c r="E16" s="10">
        <f>IF(預測IC!E16&gt;預測IC!E$25,1,0)</f>
        <v>0</v>
      </c>
      <c r="F16" s="10">
        <f>IF(預測IC!F16&gt;預測IC!F$25,1,0)</f>
        <v>1</v>
      </c>
      <c r="G16" s="10">
        <f>IF(預測IC!G16&gt;預測IC!G$25,1,0)</f>
        <v>0</v>
      </c>
      <c r="H16" s="10">
        <f>IF(預測IC!H16&gt;預測IC!H$25,1,0)</f>
        <v>0</v>
      </c>
      <c r="I16" s="10">
        <f>IF(預測IC!I16&gt;預測IC!I$25,1,0)</f>
        <v>0</v>
      </c>
      <c r="J16" s="10">
        <f>IF(預測IC!J16&gt;預測IC!J$25,1,0)</f>
        <v>1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1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1</v>
      </c>
      <c r="R16" s="10">
        <f>IF(預測IC!R16&gt;預測IC!R$25,1,0)</f>
        <v>1</v>
      </c>
      <c r="S16" s="10">
        <f>IF(預測IC!S16&gt;預測IC!S$25,1,0)</f>
        <v>1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1</v>
      </c>
      <c r="X16" s="10">
        <f>IF(預測IC!X16&gt;預測IC!X$25,1,0)</f>
        <v>0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0</v>
      </c>
      <c r="AB16" s="10">
        <f>IF(預測IC!AB16&gt;預測IC!AB$25,1,0)</f>
        <v>0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1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0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0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1</v>
      </c>
      <c r="AQ16" s="10">
        <f>IF(預測IC!AQ16&gt;預測IC!AQ$25,1,0)</f>
        <v>1</v>
      </c>
      <c r="AR16" s="10">
        <f>IF(預測IC!AR16&gt;預測IC!AR$25,1,0)</f>
        <v>0</v>
      </c>
      <c r="AS16" s="10">
        <f>IF(預測IC!AS16&gt;預測IC!AS$25,1,0)</f>
        <v>1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0</v>
      </c>
      <c r="BF16" s="10">
        <f>IF(預測IC!BF16&gt;預測IC!BF$25,1,0)</f>
        <v>1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1</v>
      </c>
      <c r="BM16" s="10">
        <f>IF(預測IC!BM16&gt;預測IC!BM$25,1,0)</f>
        <v>1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0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1</v>
      </c>
      <c r="BV16" s="10">
        <f>IF(預測IC!BV16&gt;預測IC!BV$25,1,0)</f>
        <v>0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0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0</v>
      </c>
      <c r="CI16" s="10">
        <f>IF(預測IC!CI16&gt;預測IC!CI$25,1,0)</f>
        <v>0</v>
      </c>
      <c r="CJ16" s="10">
        <f>IF(預測IC!CJ16&gt;預測IC!CJ$25,1,0)</f>
        <v>1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1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1</v>
      </c>
      <c r="CV16" s="10">
        <f>IF(預測IC!CV16&gt;預測IC!CV$25,1,0)</f>
        <v>0</v>
      </c>
      <c r="CW16" s="10">
        <f>IF(預測IC!CW16&gt;預測IC!CW$25,1,0)</f>
        <v>1</v>
      </c>
      <c r="CX16" s="10">
        <f>IF(預測IC!CX16&gt;預測IC!CX$25,1,0)</f>
        <v>0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1</v>
      </c>
      <c r="DH16" s="10">
        <f>IF(預測IC!DH16&gt;預測IC!DH$25,1,0)</f>
        <v>0</v>
      </c>
      <c r="DI16" s="10">
        <f>IF(預測IC!DI16&gt;預測IC!DI$25,1,0)</f>
        <v>0</v>
      </c>
      <c r="DJ16" s="10">
        <f>IF(預測IC!DJ16&gt;預測IC!DJ$25,1,0)</f>
        <v>0</v>
      </c>
      <c r="DK16" s="10">
        <f>IF(預測IC!DK16&gt;預測IC!DK$25,1,0)</f>
        <v>0</v>
      </c>
      <c r="DL16" s="10">
        <f>IF(預測IC!DL16&gt;預測IC!DL$25,1,0)</f>
        <v>0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0</v>
      </c>
      <c r="DT16" s="10">
        <f>IF(預測IC!DT16&gt;預測IC!DT$25,1,0)</f>
        <v>1</v>
      </c>
      <c r="DU16" s="10">
        <f>IF(預測IC!DU16&gt;預測IC!DU$25,1,0)</f>
        <v>0</v>
      </c>
      <c r="DV16" s="10">
        <f>IF(預測IC!DV16&gt;預測IC!DV$25,1,0)</f>
        <v>0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0</v>
      </c>
      <c r="DZ16" s="10">
        <f>IF(預測IC!DZ16&gt;預測IC!DZ$25,1,0)</f>
        <v>0</v>
      </c>
      <c r="EA16" s="10">
        <f>IF(預測IC!EA16&gt;預測IC!EA$25,1,0)</f>
        <v>1</v>
      </c>
      <c r="EB16" s="10">
        <f>IF(預測IC!EB16&gt;預測IC!EB$25,1,0)</f>
        <v>1</v>
      </c>
      <c r="EC16" s="10">
        <f>IF(預測IC!EC16&gt;預測IC!EC$25,1,0)</f>
        <v>0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0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1</v>
      </c>
      <c r="EL16" s="10">
        <f>IF(預測IC!EL16&gt;預測IC!EL$25,1,0)</f>
        <v>0</v>
      </c>
      <c r="EM16" s="6">
        <f t="shared" si="11"/>
        <v>76</v>
      </c>
      <c r="EN16" s="19">
        <f t="shared" si="12"/>
        <v>0.54285714285714282</v>
      </c>
    </row>
    <row r="17" spans="1:144" x14ac:dyDescent="0.3">
      <c r="A17" s="17">
        <v>130</v>
      </c>
      <c r="B17" s="17">
        <f t="shared" si="10"/>
        <v>8</v>
      </c>
      <c r="C17" s="10">
        <f>IF(預測IC!C17&gt;預測IC!C$25,1,0)</f>
        <v>0</v>
      </c>
      <c r="D17" s="10">
        <f>IF(預測IC!D17&gt;預測IC!D$25,1,0)</f>
        <v>1</v>
      </c>
      <c r="E17" s="10">
        <f>IF(預測IC!E17&gt;預測IC!E$25,1,0)</f>
        <v>0</v>
      </c>
      <c r="F17" s="10">
        <f>IF(預測IC!F17&gt;預測IC!F$25,1,0)</f>
        <v>1</v>
      </c>
      <c r="G17" s="10">
        <f>IF(預測IC!G17&gt;預測IC!G$25,1,0)</f>
        <v>0</v>
      </c>
      <c r="H17" s="10">
        <f>IF(預測IC!H17&gt;預測IC!H$25,1,0)</f>
        <v>0</v>
      </c>
      <c r="I17" s="10">
        <f>IF(預測IC!I17&gt;預測IC!I$25,1,0)</f>
        <v>0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1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0</v>
      </c>
      <c r="Q17" s="10">
        <f>IF(預測IC!Q17&gt;預測IC!Q$25,1,0)</f>
        <v>1</v>
      </c>
      <c r="R17" s="10">
        <f>IF(預測IC!R17&gt;預測IC!R$25,1,0)</f>
        <v>1</v>
      </c>
      <c r="S17" s="10">
        <f>IF(預測IC!S17&gt;預測IC!S$25,1,0)</f>
        <v>1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1</v>
      </c>
      <c r="X17" s="10">
        <f>IF(預測IC!X17&gt;預測IC!X$25,1,0)</f>
        <v>0</v>
      </c>
      <c r="Y17" s="10">
        <f>IF(預測IC!Y17&gt;預測IC!Y$25,1,0)</f>
        <v>1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0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1</v>
      </c>
      <c r="AF17" s="10">
        <f>IF(預測IC!AF17&gt;預測IC!AF$25,1,0)</f>
        <v>0</v>
      </c>
      <c r="AG17" s="10">
        <f>IF(預測IC!AG17&gt;預測IC!AG$25,1,0)</f>
        <v>1</v>
      </c>
      <c r="AH17" s="10">
        <f>IF(預測IC!AH17&gt;預測IC!AH$25,1,0)</f>
        <v>1</v>
      </c>
      <c r="AI17" s="10">
        <f>IF(預測IC!AI17&gt;預測IC!AI$25,1,0)</f>
        <v>0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0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1</v>
      </c>
      <c r="AQ17" s="10">
        <f>IF(預測IC!AQ17&gt;預測IC!AQ$25,1,0)</f>
        <v>1</v>
      </c>
      <c r="AR17" s="10">
        <f>IF(預測IC!AR17&gt;預測IC!AR$25,1,0)</f>
        <v>0</v>
      </c>
      <c r="AS17" s="10">
        <f>IF(預測IC!AS17&gt;預測IC!AS$25,1,0)</f>
        <v>1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1</v>
      </c>
      <c r="BE17" s="10">
        <f>IF(預測IC!BE17&gt;預測IC!BE$25,1,0)</f>
        <v>0</v>
      </c>
      <c r="BF17" s="10">
        <f>IF(預測IC!BF17&gt;預測IC!BF$25,1,0)</f>
        <v>1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0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1</v>
      </c>
      <c r="BV17" s="10">
        <f>IF(預測IC!BV17&gt;預測IC!BV$25,1,0)</f>
        <v>0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0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0</v>
      </c>
      <c r="CI17" s="10">
        <f>IF(預測IC!CI17&gt;預測IC!CI$25,1,0)</f>
        <v>0</v>
      </c>
      <c r="CJ17" s="10">
        <f>IF(預測IC!CJ17&gt;預測IC!CJ$25,1,0)</f>
        <v>1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0</v>
      </c>
      <c r="CN17" s="10">
        <f>IF(預測IC!CN17&gt;預測IC!CN$25,1,0)</f>
        <v>1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1</v>
      </c>
      <c r="CV17" s="10">
        <f>IF(預測IC!CV17&gt;預測IC!CV$25,1,0)</f>
        <v>0</v>
      </c>
      <c r="CW17" s="10">
        <f>IF(預測IC!CW17&gt;預測IC!CW$25,1,0)</f>
        <v>1</v>
      </c>
      <c r="CX17" s="10">
        <f>IF(預測IC!CX17&gt;預測IC!CX$25,1,0)</f>
        <v>0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1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1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0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1</v>
      </c>
      <c r="DU17" s="10">
        <f>IF(預測IC!DU17&gt;預測IC!DU$25,1,0)</f>
        <v>0</v>
      </c>
      <c r="DV17" s="10">
        <f>IF(預測IC!DV17&gt;預測IC!DV$25,1,0)</f>
        <v>0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0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1</v>
      </c>
      <c r="EC17" s="10">
        <f>IF(預測IC!EC17&gt;預測IC!EC$25,1,0)</f>
        <v>0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0</v>
      </c>
      <c r="EG17" s="10">
        <f>IF(預測IC!EG17&gt;預測IC!EG$25,1,0)</f>
        <v>0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1</v>
      </c>
      <c r="EL17" s="10">
        <f>IF(預測IC!EL17&gt;預測IC!EL$25,1,0)</f>
        <v>0</v>
      </c>
      <c r="EM17" s="6">
        <f t="shared" si="11"/>
        <v>73</v>
      </c>
      <c r="EN17" s="19">
        <f t="shared" si="12"/>
        <v>0.52142857142857146</v>
      </c>
    </row>
    <row r="18" spans="1:144" x14ac:dyDescent="0.3">
      <c r="A18" s="17">
        <v>150</v>
      </c>
      <c r="B18" s="17">
        <f t="shared" si="10"/>
        <v>7</v>
      </c>
      <c r="C18" s="10">
        <f>IF(預測IC!C18&gt;預測IC!C$25,1,0)</f>
        <v>0</v>
      </c>
      <c r="D18" s="10">
        <f>IF(預測IC!D18&gt;預測IC!D$25,1,0)</f>
        <v>1</v>
      </c>
      <c r="E18" s="10">
        <f>IF(預測IC!E18&gt;預測IC!E$25,1,0)</f>
        <v>0</v>
      </c>
      <c r="F18" s="10">
        <f>IF(預測IC!F18&gt;預測IC!F$25,1,0)</f>
        <v>1</v>
      </c>
      <c r="G18" s="10">
        <f>IF(預測IC!G18&gt;預測IC!G$25,1,0)</f>
        <v>0</v>
      </c>
      <c r="H18" s="10">
        <f>IF(預測IC!H18&gt;預測IC!H$25,1,0)</f>
        <v>0</v>
      </c>
      <c r="I18" s="10">
        <f>IF(預測IC!I18&gt;預測IC!I$25,1,0)</f>
        <v>0</v>
      </c>
      <c r="J18" s="10">
        <f>IF(預測IC!J18&gt;預測IC!J$25,1,0)</f>
        <v>1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1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0</v>
      </c>
      <c r="Q18" s="10">
        <f>IF(預測IC!Q18&gt;預測IC!Q$25,1,0)</f>
        <v>1</v>
      </c>
      <c r="R18" s="10">
        <f>IF(預測IC!R18&gt;預測IC!R$25,1,0)</f>
        <v>1</v>
      </c>
      <c r="S18" s="10">
        <f>IF(預測IC!S18&gt;預測IC!S$25,1,0)</f>
        <v>1</v>
      </c>
      <c r="T18" s="10">
        <f>IF(預測IC!T18&gt;預測IC!T$25,1,0)</f>
        <v>1</v>
      </c>
      <c r="U18" s="10">
        <f>IF(預測IC!U18&gt;預測IC!U$25,1,0)</f>
        <v>1</v>
      </c>
      <c r="V18" s="10">
        <f>IF(預測IC!V18&gt;預測IC!V$25,1,0)</f>
        <v>0</v>
      </c>
      <c r="W18" s="10">
        <f>IF(預測IC!W18&gt;預測IC!W$25,1,0)</f>
        <v>1</v>
      </c>
      <c r="X18" s="10">
        <f>IF(預測IC!X18&gt;預測IC!X$25,1,0)</f>
        <v>0</v>
      </c>
      <c r="Y18" s="10">
        <f>IF(預測IC!Y18&gt;預測IC!Y$25,1,0)</f>
        <v>1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0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1</v>
      </c>
      <c r="AF18" s="10">
        <f>IF(預測IC!AF18&gt;預測IC!AF$25,1,0)</f>
        <v>0</v>
      </c>
      <c r="AG18" s="10">
        <f>IF(預測IC!AG18&gt;預測IC!AG$25,1,0)</f>
        <v>1</v>
      </c>
      <c r="AH18" s="10">
        <f>IF(預測IC!AH18&gt;預測IC!AH$25,1,0)</f>
        <v>1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0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1</v>
      </c>
      <c r="AQ18" s="10">
        <f>IF(預測IC!AQ18&gt;預測IC!AQ$25,1,0)</f>
        <v>0</v>
      </c>
      <c r="AR18" s="10">
        <f>IF(預測IC!AR18&gt;預測IC!AR$25,1,0)</f>
        <v>0</v>
      </c>
      <c r="AS18" s="10">
        <f>IF(預測IC!AS18&gt;預測IC!AS$25,1,0)</f>
        <v>1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0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1</v>
      </c>
      <c r="BE18" s="10">
        <f>IF(預測IC!BE18&gt;預測IC!BE$25,1,0)</f>
        <v>0</v>
      </c>
      <c r="BF18" s="10">
        <f>IF(預測IC!BF18&gt;預測IC!BF$25,1,0)</f>
        <v>1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1</v>
      </c>
      <c r="BM18" s="10">
        <f>IF(預測IC!BM18&gt;預測IC!BM$25,1,0)</f>
        <v>1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0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1</v>
      </c>
      <c r="BV18" s="10">
        <f>IF(預測IC!BV18&gt;預測IC!BV$25,1,0)</f>
        <v>0</v>
      </c>
      <c r="BW18" s="10">
        <f>IF(預測IC!BW18&gt;預測IC!BW$25,1,0)</f>
        <v>0</v>
      </c>
      <c r="BX18" s="10">
        <f>IF(預測IC!BX18&gt;預測IC!BX$25,1,0)</f>
        <v>0</v>
      </c>
      <c r="BY18" s="10">
        <f>IF(預測IC!BY18&gt;預測IC!BY$25,1,0)</f>
        <v>1</v>
      </c>
      <c r="BZ18" s="10">
        <f>IF(預測IC!BZ18&gt;預測IC!BZ$25,1,0)</f>
        <v>0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0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0</v>
      </c>
      <c r="CI18" s="10">
        <f>IF(預測IC!CI18&gt;預測IC!CI$25,1,0)</f>
        <v>0</v>
      </c>
      <c r="CJ18" s="10">
        <f>IF(預測IC!CJ18&gt;預測IC!CJ$25,1,0)</f>
        <v>1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1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1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0</v>
      </c>
      <c r="CW18" s="10">
        <f>IF(預測IC!CW18&gt;預測IC!CW$25,1,0)</f>
        <v>1</v>
      </c>
      <c r="CX18" s="10">
        <f>IF(預測IC!CX18&gt;預測IC!CX$25,1,0)</f>
        <v>0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1</v>
      </c>
      <c r="DH18" s="10">
        <f>IF(預測IC!DH18&gt;預測IC!DH$25,1,0)</f>
        <v>1</v>
      </c>
      <c r="DI18" s="10">
        <f>IF(預測IC!DI18&gt;預測IC!DI$25,1,0)</f>
        <v>0</v>
      </c>
      <c r="DJ18" s="10">
        <f>IF(預測IC!DJ18&gt;預測IC!DJ$25,1,0)</f>
        <v>0</v>
      </c>
      <c r="DK18" s="10">
        <f>IF(預測IC!DK18&gt;預測IC!DK$25,1,0)</f>
        <v>0</v>
      </c>
      <c r="DL18" s="10">
        <f>IF(預測IC!DL18&gt;預測IC!DL$25,1,0)</f>
        <v>0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1</v>
      </c>
      <c r="DT18" s="10">
        <f>IF(預測IC!DT18&gt;預測IC!DT$25,1,0)</f>
        <v>1</v>
      </c>
      <c r="DU18" s="10">
        <f>IF(預測IC!DU18&gt;預測IC!DU$25,1,0)</f>
        <v>0</v>
      </c>
      <c r="DV18" s="10">
        <f>IF(預測IC!DV18&gt;預測IC!DV$25,1,0)</f>
        <v>0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0</v>
      </c>
      <c r="DZ18" s="10">
        <f>IF(預測IC!DZ18&gt;預測IC!DZ$25,1,0)</f>
        <v>0</v>
      </c>
      <c r="EA18" s="10">
        <f>IF(預測IC!EA18&gt;預測IC!EA$25,1,0)</f>
        <v>1</v>
      </c>
      <c r="EB18" s="10">
        <f>IF(預測IC!EB18&gt;預測IC!EB$25,1,0)</f>
        <v>1</v>
      </c>
      <c r="EC18" s="10">
        <f>IF(預測IC!EC18&gt;預測IC!EC$25,1,0)</f>
        <v>0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0</v>
      </c>
      <c r="EG18" s="10">
        <f>IF(預測IC!EG18&gt;預測IC!EG$25,1,0)</f>
        <v>0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1</v>
      </c>
      <c r="EL18" s="10">
        <f>IF(預測IC!EL18&gt;預測IC!EL$25,1,0)</f>
        <v>0</v>
      </c>
      <c r="EM18" s="6">
        <f t="shared" si="11"/>
        <v>77</v>
      </c>
      <c r="EN18" s="19">
        <f t="shared" si="12"/>
        <v>0.55000000000000004</v>
      </c>
    </row>
    <row r="19" spans="1:144" x14ac:dyDescent="0.3">
      <c r="A19" s="17">
        <v>180</v>
      </c>
      <c r="B19" s="17">
        <f t="shared" si="10"/>
        <v>6</v>
      </c>
      <c r="C19" s="10">
        <f>IF(預測IC!C19&gt;預測IC!C$25,1,0)</f>
        <v>0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1</v>
      </c>
      <c r="G19" s="10">
        <f>IF(預測IC!G19&gt;預測IC!G$25,1,0)</f>
        <v>0</v>
      </c>
      <c r="H19" s="10">
        <f>IF(預測IC!H19&gt;預測IC!H$25,1,0)</f>
        <v>1</v>
      </c>
      <c r="I19" s="10">
        <f>IF(預測IC!I19&gt;預測IC!I$25,1,0)</f>
        <v>0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1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1</v>
      </c>
      <c r="S19" s="10">
        <f>IF(預測IC!S19&gt;預測IC!S$25,1,0)</f>
        <v>1</v>
      </c>
      <c r="T19" s="10">
        <f>IF(預測IC!T19&gt;預測IC!T$25,1,0)</f>
        <v>1</v>
      </c>
      <c r="U19" s="10">
        <f>IF(預測IC!U19&gt;預測IC!U$25,1,0)</f>
        <v>1</v>
      </c>
      <c r="V19" s="10">
        <f>IF(預測IC!V19&gt;預測IC!V$25,1,0)</f>
        <v>0</v>
      </c>
      <c r="W19" s="10">
        <f>IF(預測IC!W19&gt;預測IC!W$25,1,0)</f>
        <v>1</v>
      </c>
      <c r="X19" s="10">
        <f>IF(預測IC!X19&gt;預測IC!X$25,1,0)</f>
        <v>0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0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1</v>
      </c>
      <c r="AF19" s="10">
        <f>IF(預測IC!AF19&gt;預測IC!AF$25,1,0)</f>
        <v>0</v>
      </c>
      <c r="AG19" s="10">
        <f>IF(預測IC!AG19&gt;預測IC!AG$25,1,0)</f>
        <v>1</v>
      </c>
      <c r="AH19" s="10">
        <f>IF(預測IC!AH19&gt;預測IC!AH$25,1,0)</f>
        <v>1</v>
      </c>
      <c r="AI19" s="10">
        <f>IF(預測IC!AI19&gt;預測IC!AI$25,1,0)</f>
        <v>1</v>
      </c>
      <c r="AJ19" s="10">
        <f>IF(預測IC!AJ19&gt;預測IC!AJ$25,1,0)</f>
        <v>1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1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1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0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1</v>
      </c>
      <c r="BE19" s="10">
        <f>IF(預測IC!BE19&gt;預測IC!BE$25,1,0)</f>
        <v>0</v>
      </c>
      <c r="BF19" s="10">
        <f>IF(預測IC!BF19&gt;預測IC!BF$25,1,0)</f>
        <v>1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1</v>
      </c>
      <c r="BM19" s="10">
        <f>IF(預測IC!BM19&gt;預測IC!BM$25,1,0)</f>
        <v>1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0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1</v>
      </c>
      <c r="BV19" s="10">
        <f>IF(預測IC!BV19&gt;預測IC!BV$25,1,0)</f>
        <v>1</v>
      </c>
      <c r="BW19" s="10">
        <f>IF(預測IC!BW19&gt;預測IC!BW$25,1,0)</f>
        <v>0</v>
      </c>
      <c r="BX19" s="10">
        <f>IF(預測IC!BX19&gt;預測IC!BX$25,1,0)</f>
        <v>0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1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0</v>
      </c>
      <c r="CE19" s="10">
        <f>IF(預測IC!CE19&gt;預測IC!CE$25,1,0)</f>
        <v>0</v>
      </c>
      <c r="CF19" s="10">
        <f>IF(預測IC!CF19&gt;預測IC!CF$25,1,0)</f>
        <v>0</v>
      </c>
      <c r="CG19" s="10">
        <f>IF(預測IC!CG19&gt;預測IC!CG$25,1,0)</f>
        <v>0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1</v>
      </c>
      <c r="CK19" s="10">
        <f>IF(預測IC!CK19&gt;預測IC!CK$25,1,0)</f>
        <v>1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1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0</v>
      </c>
      <c r="CS19" s="10">
        <f>IF(預測IC!CS19&gt;預測IC!CS$25,1,0)</f>
        <v>1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0</v>
      </c>
      <c r="CW19" s="10">
        <f>IF(預測IC!CW19&gt;預測IC!CW$25,1,0)</f>
        <v>1</v>
      </c>
      <c r="CX19" s="10">
        <f>IF(預測IC!CX19&gt;預測IC!CX$25,1,0)</f>
        <v>0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1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1</v>
      </c>
      <c r="DH19" s="10">
        <f>IF(預測IC!DH19&gt;預測IC!DH$25,1,0)</f>
        <v>0</v>
      </c>
      <c r="DI19" s="10">
        <f>IF(預測IC!DI19&gt;預測IC!DI$25,1,0)</f>
        <v>0</v>
      </c>
      <c r="DJ19" s="10">
        <f>IF(預測IC!DJ19&gt;預測IC!DJ$25,1,0)</f>
        <v>0</v>
      </c>
      <c r="DK19" s="10">
        <f>IF(預測IC!DK19&gt;預測IC!DK$25,1,0)</f>
        <v>0</v>
      </c>
      <c r="DL19" s="10">
        <f>IF(預測IC!DL19&gt;預測IC!DL$25,1,0)</f>
        <v>0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1</v>
      </c>
      <c r="DT19" s="10">
        <f>IF(預測IC!DT19&gt;預測IC!DT$25,1,0)</f>
        <v>1</v>
      </c>
      <c r="DU19" s="10">
        <f>IF(預測IC!DU19&gt;預測IC!DU$25,1,0)</f>
        <v>0</v>
      </c>
      <c r="DV19" s="10">
        <f>IF(預測IC!DV19&gt;預測IC!DV$25,1,0)</f>
        <v>0</v>
      </c>
      <c r="DW19" s="10">
        <f>IF(預測IC!DW19&gt;預測IC!DW$25,1,0)</f>
        <v>0</v>
      </c>
      <c r="DX19" s="10">
        <f>IF(預測IC!DX19&gt;預測IC!DX$25,1,0)</f>
        <v>1</v>
      </c>
      <c r="DY19" s="10">
        <f>IF(預測IC!DY19&gt;預測IC!DY$25,1,0)</f>
        <v>0</v>
      </c>
      <c r="DZ19" s="10">
        <f>IF(預測IC!DZ19&gt;預測IC!DZ$25,1,0)</f>
        <v>0</v>
      </c>
      <c r="EA19" s="10">
        <f>IF(預測IC!EA19&gt;預測IC!EA$25,1,0)</f>
        <v>1</v>
      </c>
      <c r="EB19" s="10">
        <f>IF(預測IC!EB19&gt;預測IC!EB$25,1,0)</f>
        <v>1</v>
      </c>
      <c r="EC19" s="10">
        <f>IF(預測IC!EC19&gt;預測IC!EC$25,1,0)</f>
        <v>0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0</v>
      </c>
      <c r="EG19" s="10">
        <f>IF(預測IC!EG19&gt;預測IC!EG$25,1,0)</f>
        <v>0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1</v>
      </c>
      <c r="EL19" s="10">
        <f>IF(預測IC!EL19&gt;預測IC!EL$25,1,0)</f>
        <v>0</v>
      </c>
      <c r="EM19" s="6">
        <f t="shared" si="11"/>
        <v>80</v>
      </c>
      <c r="EN19" s="19">
        <f t="shared" si="12"/>
        <v>0.5714285714285714</v>
      </c>
    </row>
    <row r="20" spans="1:144" x14ac:dyDescent="0.3">
      <c r="A20" s="17">
        <v>200</v>
      </c>
      <c r="B20" s="17">
        <f t="shared" si="10"/>
        <v>5</v>
      </c>
      <c r="C20" s="10">
        <f>IF(預測IC!C20&gt;預測IC!C$25,1,0)</f>
        <v>0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0</v>
      </c>
      <c r="H20" s="10">
        <f>IF(預測IC!H20&gt;預測IC!H$25,1,0)</f>
        <v>0</v>
      </c>
      <c r="I20" s="10">
        <f>IF(預測IC!I20&gt;預測IC!I$25,1,0)</f>
        <v>0</v>
      </c>
      <c r="J20" s="10">
        <f>IF(預測IC!J20&gt;預測IC!J$25,1,0)</f>
        <v>1</v>
      </c>
      <c r="K20" s="10">
        <f>IF(預測IC!K20&gt;預測IC!K$25,1,0)</f>
        <v>1</v>
      </c>
      <c r="L20" s="10">
        <f>IF(預測IC!L20&gt;預測IC!L$25,1,0)</f>
        <v>0</v>
      </c>
      <c r="M20" s="10">
        <f>IF(預測IC!M20&gt;預測IC!M$25,1,0)</f>
        <v>1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1</v>
      </c>
      <c r="R20" s="10">
        <f>IF(預測IC!R20&gt;預測IC!R$25,1,0)</f>
        <v>1</v>
      </c>
      <c r="S20" s="10">
        <f>IF(預測IC!S20&gt;預測IC!S$25,1,0)</f>
        <v>1</v>
      </c>
      <c r="T20" s="10">
        <f>IF(預測IC!T20&gt;預測IC!T$25,1,0)</f>
        <v>1</v>
      </c>
      <c r="U20" s="10">
        <f>IF(預測IC!U20&gt;預測IC!U$25,1,0)</f>
        <v>1</v>
      </c>
      <c r="V20" s="10">
        <f>IF(預測IC!V20&gt;預測IC!V$25,1,0)</f>
        <v>0</v>
      </c>
      <c r="W20" s="10">
        <f>IF(預測IC!W20&gt;預測IC!W$25,1,0)</f>
        <v>1</v>
      </c>
      <c r="X20" s="10">
        <f>IF(預測IC!X20&gt;預測IC!X$25,1,0)</f>
        <v>0</v>
      </c>
      <c r="Y20" s="10">
        <f>IF(預測IC!Y20&gt;預測IC!Y$25,1,0)</f>
        <v>1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0</v>
      </c>
      <c r="AC20" s="10">
        <f>IF(預測IC!AC20&gt;預測IC!AC$25,1,0)</f>
        <v>1</v>
      </c>
      <c r="AD20" s="10">
        <f>IF(預測IC!AD20&gt;預測IC!AD$25,1,0)</f>
        <v>1</v>
      </c>
      <c r="AE20" s="10">
        <f>IF(預測IC!AE20&gt;預測IC!AE$25,1,0)</f>
        <v>1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1</v>
      </c>
      <c r="AI20" s="10">
        <f>IF(預測IC!AI20&gt;預測IC!AI$25,1,0)</f>
        <v>1</v>
      </c>
      <c r="AJ20" s="10">
        <f>IF(預測IC!AJ20&gt;預測IC!AJ$25,1,0)</f>
        <v>1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1</v>
      </c>
      <c r="AQ20" s="10">
        <f>IF(預測IC!AQ20&gt;預測IC!AQ$25,1,0)</f>
        <v>1</v>
      </c>
      <c r="AR20" s="10">
        <f>IF(預測IC!AR20&gt;預測IC!AR$25,1,0)</f>
        <v>0</v>
      </c>
      <c r="AS20" s="10">
        <f>IF(預測IC!AS20&gt;預測IC!AS$25,1,0)</f>
        <v>1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0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1</v>
      </c>
      <c r="BE20" s="10">
        <f>IF(預測IC!BE20&gt;預測IC!BE$25,1,0)</f>
        <v>0</v>
      </c>
      <c r="BF20" s="10">
        <f>IF(預測IC!BF20&gt;預測IC!BF$25,1,0)</f>
        <v>1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1</v>
      </c>
      <c r="BM20" s="10">
        <f>IF(預測IC!BM20&gt;預測IC!BM$25,1,0)</f>
        <v>1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0</v>
      </c>
      <c r="BR20" s="10">
        <f>IF(預測IC!BR20&gt;預測IC!BR$25,1,0)</f>
        <v>1</v>
      </c>
      <c r="BS20" s="10">
        <f>IF(預測IC!BS20&gt;預測IC!BS$25,1,0)</f>
        <v>1</v>
      </c>
      <c r="BT20" s="10">
        <f>IF(預測IC!BT20&gt;預測IC!BT$25,1,0)</f>
        <v>0</v>
      </c>
      <c r="BU20" s="10">
        <f>IF(預測IC!BU20&gt;預測IC!BU$25,1,0)</f>
        <v>1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0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1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0</v>
      </c>
      <c r="CF20" s="10">
        <f>IF(預測IC!CF20&gt;預測IC!CF$25,1,0)</f>
        <v>0</v>
      </c>
      <c r="CG20" s="10">
        <f>IF(預測IC!CG20&gt;預測IC!CG$25,1,0)</f>
        <v>0</v>
      </c>
      <c r="CH20" s="10">
        <f>IF(預測IC!CH20&gt;預測IC!CH$25,1,0)</f>
        <v>1</v>
      </c>
      <c r="CI20" s="10">
        <f>IF(預測IC!CI20&gt;預測IC!CI$25,1,0)</f>
        <v>0</v>
      </c>
      <c r="CJ20" s="10">
        <f>IF(預測IC!CJ20&gt;預測IC!CJ$25,1,0)</f>
        <v>1</v>
      </c>
      <c r="CK20" s="10">
        <f>IF(預測IC!CK20&gt;預測IC!CK$25,1,0)</f>
        <v>1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1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0</v>
      </c>
      <c r="CS20" s="10">
        <f>IF(預測IC!CS20&gt;預測IC!CS$25,1,0)</f>
        <v>1</v>
      </c>
      <c r="CT20" s="10">
        <f>IF(預測IC!CT20&gt;預測IC!CT$25,1,0)</f>
        <v>0</v>
      </c>
      <c r="CU20" s="10">
        <f>IF(預測IC!CU20&gt;預測IC!CU$25,1,0)</f>
        <v>1</v>
      </c>
      <c r="CV20" s="10">
        <f>IF(預測IC!CV20&gt;預測IC!CV$25,1,0)</f>
        <v>0</v>
      </c>
      <c r="CW20" s="10">
        <f>IF(預測IC!CW20&gt;預測IC!CW$25,1,0)</f>
        <v>1</v>
      </c>
      <c r="CX20" s="10">
        <f>IF(預測IC!CX20&gt;預測IC!CX$25,1,0)</f>
        <v>0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1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1</v>
      </c>
      <c r="DH20" s="10">
        <f>IF(預測IC!DH20&gt;預測IC!DH$25,1,0)</f>
        <v>0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0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0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1</v>
      </c>
      <c r="DT20" s="10">
        <f>IF(預測IC!DT20&gt;預測IC!DT$25,1,0)</f>
        <v>1</v>
      </c>
      <c r="DU20" s="10">
        <f>IF(預測IC!DU20&gt;預測IC!DU$25,1,0)</f>
        <v>0</v>
      </c>
      <c r="DV20" s="10">
        <f>IF(預測IC!DV20&gt;預測IC!DV$25,1,0)</f>
        <v>0</v>
      </c>
      <c r="DW20" s="10">
        <f>IF(預測IC!DW20&gt;預測IC!DW$25,1,0)</f>
        <v>0</v>
      </c>
      <c r="DX20" s="10">
        <f>IF(預測IC!DX20&gt;預測IC!DX$25,1,0)</f>
        <v>1</v>
      </c>
      <c r="DY20" s="10">
        <f>IF(預測IC!DY20&gt;預測IC!DY$25,1,0)</f>
        <v>0</v>
      </c>
      <c r="DZ20" s="10">
        <f>IF(預測IC!DZ20&gt;預測IC!DZ$25,1,0)</f>
        <v>0</v>
      </c>
      <c r="EA20" s="10">
        <f>IF(預測IC!EA20&gt;預測IC!EA$25,1,0)</f>
        <v>1</v>
      </c>
      <c r="EB20" s="10">
        <f>IF(預測IC!EB20&gt;預測IC!EB$25,1,0)</f>
        <v>1</v>
      </c>
      <c r="EC20" s="10">
        <f>IF(預測IC!EC20&gt;預測IC!EC$25,1,0)</f>
        <v>0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0</v>
      </c>
      <c r="EG20" s="10">
        <f>IF(預測IC!EG20&gt;預測IC!EG$25,1,0)</f>
        <v>0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1</v>
      </c>
      <c r="EL20" s="10">
        <f>IF(預測IC!EL20&gt;預測IC!EL$25,1,0)</f>
        <v>1</v>
      </c>
      <c r="EM20" s="6">
        <f t="shared" si="11"/>
        <v>81</v>
      </c>
      <c r="EN20" s="19">
        <f t="shared" si="12"/>
        <v>0.57857142857142863</v>
      </c>
    </row>
    <row r="21" spans="1:144" x14ac:dyDescent="0.3">
      <c r="A21" s="17">
        <v>256</v>
      </c>
      <c r="B21" s="17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0</v>
      </c>
      <c r="F21" s="10">
        <f>IF(預測IC!F21&gt;預測IC!F$25,1,0)</f>
        <v>1</v>
      </c>
      <c r="G21" s="10">
        <f>IF(預測IC!G21&gt;預測IC!G$25,1,0)</f>
        <v>0</v>
      </c>
      <c r="H21" s="10">
        <f>IF(預測IC!H21&gt;預測IC!H$25,1,0)</f>
        <v>0</v>
      </c>
      <c r="I21" s="10">
        <f>IF(預測IC!I21&gt;預測IC!I$25,1,0)</f>
        <v>0</v>
      </c>
      <c r="J21" s="10">
        <f>IF(預測IC!J21&gt;預測IC!J$25,1,0)</f>
        <v>1</v>
      </c>
      <c r="K21" s="10">
        <f>IF(預測IC!K21&gt;預測IC!K$25,1,0)</f>
        <v>1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1</v>
      </c>
      <c r="R21" s="10">
        <f>IF(預測IC!R21&gt;預測IC!R$25,1,0)</f>
        <v>1</v>
      </c>
      <c r="S21" s="10">
        <f>IF(預測IC!S21&gt;預測IC!S$25,1,0)</f>
        <v>1</v>
      </c>
      <c r="T21" s="10">
        <f>IF(預測IC!T21&gt;預測IC!T$25,1,0)</f>
        <v>1</v>
      </c>
      <c r="U21" s="10">
        <f>IF(預測IC!U21&gt;預測IC!U$25,1,0)</f>
        <v>1</v>
      </c>
      <c r="V21" s="10">
        <f>IF(預測IC!V21&gt;預測IC!V$25,1,0)</f>
        <v>1</v>
      </c>
      <c r="W21" s="10">
        <f>IF(預測IC!W21&gt;預測IC!W$25,1,0)</f>
        <v>1</v>
      </c>
      <c r="X21" s="10">
        <f>IF(預測IC!X21&gt;預測IC!X$25,1,0)</f>
        <v>0</v>
      </c>
      <c r="Y21" s="10">
        <f>IF(預測IC!Y21&gt;預測IC!Y$25,1,0)</f>
        <v>1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0</v>
      </c>
      <c r="AC21" s="10">
        <f>IF(預測IC!AC21&gt;預測IC!AC$25,1,0)</f>
        <v>1</v>
      </c>
      <c r="AD21" s="10">
        <f>IF(預測IC!AD21&gt;預測IC!AD$25,1,0)</f>
        <v>0</v>
      </c>
      <c r="AE21" s="10">
        <f>IF(預測IC!AE21&gt;預測IC!AE$25,1,0)</f>
        <v>1</v>
      </c>
      <c r="AF21" s="10">
        <f>IF(預測IC!AF21&gt;預測IC!AF$25,1,0)</f>
        <v>0</v>
      </c>
      <c r="AG21" s="10">
        <f>IF(預測IC!AG21&gt;預測IC!AG$25,1,0)</f>
        <v>1</v>
      </c>
      <c r="AH21" s="10">
        <f>IF(預測IC!AH21&gt;預測IC!AH$25,1,0)</f>
        <v>1</v>
      </c>
      <c r="AI21" s="10">
        <f>IF(預測IC!AI21&gt;預測IC!AI$25,1,0)</f>
        <v>0</v>
      </c>
      <c r="AJ21" s="10">
        <f>IF(預測IC!AJ21&gt;預測IC!AJ$25,1,0)</f>
        <v>1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0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1</v>
      </c>
      <c r="AR21" s="10">
        <f>IF(預測IC!AR21&gt;預測IC!AR$25,1,0)</f>
        <v>0</v>
      </c>
      <c r="AS21" s="10">
        <f>IF(預測IC!AS21&gt;預測IC!AS$25,1,0)</f>
        <v>1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0</v>
      </c>
      <c r="BA21" s="10">
        <f>IF(預測IC!BA21&gt;預測IC!BA$25,1,0)</f>
        <v>0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1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1</v>
      </c>
      <c r="BM21" s="10">
        <f>IF(預測IC!BM21&gt;預測IC!BM$25,1,0)</f>
        <v>1</v>
      </c>
      <c r="BN21" s="10">
        <f>IF(預測IC!BN21&gt;預測IC!BN$25,1,0)</f>
        <v>1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0</v>
      </c>
      <c r="BR21" s="10">
        <f>IF(預測IC!BR21&gt;預測IC!BR$25,1,0)</f>
        <v>1</v>
      </c>
      <c r="BS21" s="10">
        <f>IF(預測IC!BS21&gt;預測IC!BS$25,1,0)</f>
        <v>1</v>
      </c>
      <c r="BT21" s="10">
        <f>IF(預測IC!BT21&gt;預測IC!BT$25,1,0)</f>
        <v>0</v>
      </c>
      <c r="BU21" s="10">
        <f>IF(預測IC!BU21&gt;預測IC!BU$25,1,0)</f>
        <v>1</v>
      </c>
      <c r="BV21" s="10">
        <f>IF(預測IC!BV21&gt;預測IC!BV$25,1,0)</f>
        <v>1</v>
      </c>
      <c r="BW21" s="10">
        <f>IF(預測IC!BW21&gt;預測IC!BW$25,1,0)</f>
        <v>0</v>
      </c>
      <c r="BX21" s="10">
        <f>IF(預測IC!BX21&gt;預測IC!BX$25,1,0)</f>
        <v>0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1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0</v>
      </c>
      <c r="CE21" s="10">
        <f>IF(預測IC!CE21&gt;預測IC!CE$25,1,0)</f>
        <v>0</v>
      </c>
      <c r="CF21" s="10">
        <f>IF(預測IC!CF21&gt;預測IC!CF$25,1,0)</f>
        <v>1</v>
      </c>
      <c r="CG21" s="10">
        <f>IF(預測IC!CG21&gt;預測IC!CG$25,1,0)</f>
        <v>0</v>
      </c>
      <c r="CH21" s="10">
        <f>IF(預測IC!CH21&gt;預測IC!CH$25,1,0)</f>
        <v>1</v>
      </c>
      <c r="CI21" s="10">
        <f>IF(預測IC!CI21&gt;預測IC!CI$25,1,0)</f>
        <v>0</v>
      </c>
      <c r="CJ21" s="10">
        <f>IF(預測IC!CJ21&gt;預測IC!CJ$25,1,0)</f>
        <v>1</v>
      </c>
      <c r="CK21" s="10">
        <f>IF(預測IC!CK21&gt;預測IC!CK$25,1,0)</f>
        <v>1</v>
      </c>
      <c r="CL21" s="10">
        <f>IF(預測IC!CL21&gt;預測IC!CL$25,1,0)</f>
        <v>1</v>
      </c>
      <c r="CM21" s="10">
        <f>IF(預測IC!CM21&gt;預測IC!CM$25,1,0)</f>
        <v>1</v>
      </c>
      <c r="CN21" s="10">
        <f>IF(預測IC!CN21&gt;預測IC!CN$25,1,0)</f>
        <v>1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0</v>
      </c>
      <c r="CS21" s="10">
        <f>IF(預測IC!CS21&gt;預測IC!CS$25,1,0)</f>
        <v>1</v>
      </c>
      <c r="CT21" s="10">
        <f>IF(預測IC!CT21&gt;預測IC!CT$25,1,0)</f>
        <v>0</v>
      </c>
      <c r="CU21" s="10">
        <f>IF(預測IC!CU21&gt;預測IC!CU$25,1,0)</f>
        <v>1</v>
      </c>
      <c r="CV21" s="10">
        <f>IF(預測IC!CV21&gt;預測IC!CV$25,1,0)</f>
        <v>0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1</v>
      </c>
      <c r="DE21" s="10">
        <f>IF(預測IC!DE21&gt;預測IC!DE$25,1,0)</f>
        <v>0</v>
      </c>
      <c r="DF21" s="10">
        <f>IF(預測IC!DF21&gt;預測IC!DF$25,1,0)</f>
        <v>0</v>
      </c>
      <c r="DG21" s="10">
        <f>IF(預測IC!DG21&gt;預測IC!DG$25,1,0)</f>
        <v>1</v>
      </c>
      <c r="DH21" s="10">
        <f>IF(預測IC!DH21&gt;預測IC!DH$25,1,0)</f>
        <v>0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0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0</v>
      </c>
      <c r="DW21" s="10">
        <f>IF(預測IC!DW21&gt;預測IC!DW$25,1,0)</f>
        <v>0</v>
      </c>
      <c r="DX21" s="10">
        <f>IF(預測IC!DX21&gt;預測IC!DX$25,1,0)</f>
        <v>1</v>
      </c>
      <c r="DY21" s="10">
        <f>IF(預測IC!DY21&gt;預測IC!DY$25,1,0)</f>
        <v>0</v>
      </c>
      <c r="DZ21" s="10">
        <f>IF(預測IC!DZ21&gt;預測IC!DZ$25,1,0)</f>
        <v>0</v>
      </c>
      <c r="EA21" s="10">
        <f>IF(預測IC!EA21&gt;預測IC!EA$25,1,0)</f>
        <v>1</v>
      </c>
      <c r="EB21" s="10">
        <f>IF(預測IC!EB21&gt;預測IC!EB$25,1,0)</f>
        <v>1</v>
      </c>
      <c r="EC21" s="10">
        <f>IF(預測IC!EC21&gt;預測IC!EC$25,1,0)</f>
        <v>0</v>
      </c>
      <c r="ED21" s="10">
        <f>IF(預測IC!ED21&gt;預測IC!ED$25,1,0)</f>
        <v>1</v>
      </c>
      <c r="EE21" s="10">
        <f>IF(預測IC!EE21&gt;預測IC!EE$25,1,0)</f>
        <v>0</v>
      </c>
      <c r="EF21" s="10">
        <f>IF(預測IC!EF21&gt;預測IC!EF$25,1,0)</f>
        <v>0</v>
      </c>
      <c r="EG21" s="10">
        <f>IF(預測IC!EG21&gt;預測IC!EG$25,1,0)</f>
        <v>0</v>
      </c>
      <c r="EH21" s="10">
        <f>IF(預測IC!EH21&gt;預測IC!EH$25,1,0)</f>
        <v>0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1</v>
      </c>
      <c r="EL21" s="10">
        <f>IF(預測IC!EL21&gt;預測IC!EL$25,1,0)</f>
        <v>1</v>
      </c>
      <c r="EM21" s="6">
        <f t="shared" si="11"/>
        <v>79</v>
      </c>
      <c r="EN21" s="19">
        <f t="shared" si="12"/>
        <v>0.56428571428571428</v>
      </c>
    </row>
    <row r="22" spans="1:144" x14ac:dyDescent="0.3">
      <c r="A22" s="17">
        <v>400</v>
      </c>
      <c r="B22" s="17">
        <f t="shared" si="10"/>
        <v>3</v>
      </c>
      <c r="C22" s="10">
        <f>IF(預測IC!C22&gt;預測IC!C$25,1,0)</f>
        <v>1</v>
      </c>
      <c r="D22" s="10">
        <f>IF(預測IC!D22&gt;預測IC!D$25,1,0)</f>
        <v>1</v>
      </c>
      <c r="E22" s="10">
        <f>IF(預測IC!E22&gt;預測IC!E$25,1,0)</f>
        <v>0</v>
      </c>
      <c r="F22" s="10">
        <f>IF(預測IC!F22&gt;預測IC!F$25,1,0)</f>
        <v>1</v>
      </c>
      <c r="G22" s="10">
        <f>IF(預測IC!G22&gt;預測IC!G$25,1,0)</f>
        <v>0</v>
      </c>
      <c r="H22" s="10">
        <f>IF(預測IC!H22&gt;預測IC!H$25,1,0)</f>
        <v>0</v>
      </c>
      <c r="I22" s="10">
        <f>IF(預測IC!I22&gt;預測IC!I$25,1,0)</f>
        <v>0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1</v>
      </c>
      <c r="R22" s="10">
        <f>IF(預測IC!R22&gt;預測IC!R$25,1,0)</f>
        <v>1</v>
      </c>
      <c r="S22" s="10">
        <f>IF(預測IC!S22&gt;預測IC!S$25,1,0)</f>
        <v>1</v>
      </c>
      <c r="T22" s="10">
        <f>IF(預測IC!T22&gt;預測IC!T$25,1,0)</f>
        <v>1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1</v>
      </c>
      <c r="X22" s="10">
        <f>IF(預測IC!X22&gt;預測IC!X$25,1,0)</f>
        <v>0</v>
      </c>
      <c r="Y22" s="10">
        <f>IF(預測IC!Y22&gt;預測IC!Y$25,1,0)</f>
        <v>0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0</v>
      </c>
      <c r="AC22" s="10">
        <f>IF(預測IC!AC22&gt;預測IC!AC$25,1,0)</f>
        <v>1</v>
      </c>
      <c r="AD22" s="10">
        <f>IF(預測IC!AD22&gt;預測IC!AD$25,1,0)</f>
        <v>0</v>
      </c>
      <c r="AE22" s="10">
        <f>IF(預測IC!AE22&gt;預測IC!AE$25,1,0)</f>
        <v>1</v>
      </c>
      <c r="AF22" s="10">
        <f>IF(預測IC!AF22&gt;預測IC!AF$25,1,0)</f>
        <v>0</v>
      </c>
      <c r="AG22" s="10">
        <f>IF(預測IC!AG22&gt;預測IC!AG$25,1,0)</f>
        <v>1</v>
      </c>
      <c r="AH22" s="10">
        <f>IF(預測IC!AH22&gt;預測IC!AH$25,1,0)</f>
        <v>0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1</v>
      </c>
      <c r="AR22" s="10">
        <f>IF(預測IC!AR22&gt;預測IC!AR$25,1,0)</f>
        <v>0</v>
      </c>
      <c r="AS22" s="10">
        <f>IF(預測IC!AS22&gt;預測IC!AS$25,1,0)</f>
        <v>1</v>
      </c>
      <c r="AT22" s="10">
        <f>IF(預測IC!AT22&gt;預測IC!AT$25,1,0)</f>
        <v>1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0</v>
      </c>
      <c r="AY22" s="10">
        <f>IF(預測IC!AY22&gt;預測IC!AY$25,1,0)</f>
        <v>0</v>
      </c>
      <c r="AZ22" s="10">
        <f>IF(預測IC!AZ22&gt;預測IC!AZ$25,1,0)</f>
        <v>0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1</v>
      </c>
      <c r="BE22" s="10">
        <f>IF(預測IC!BE22&gt;預測IC!BE$25,1,0)</f>
        <v>0</v>
      </c>
      <c r="BF22" s="10">
        <f>IF(預測IC!BF22&gt;預測IC!BF$25,1,0)</f>
        <v>1</v>
      </c>
      <c r="BG22" s="10">
        <f>IF(預測IC!BG22&gt;預測IC!BG$25,1,0)</f>
        <v>1</v>
      </c>
      <c r="BH22" s="10">
        <f>IF(預測IC!BH22&gt;預測IC!BH$25,1,0)</f>
        <v>0</v>
      </c>
      <c r="BI22" s="10">
        <f>IF(預測IC!BI22&gt;預測IC!BI$25,1,0)</f>
        <v>1</v>
      </c>
      <c r="BJ22" s="10">
        <f>IF(預測IC!BJ22&gt;預測IC!BJ$25,1,0)</f>
        <v>1</v>
      </c>
      <c r="BK22" s="10">
        <f>IF(預測IC!BK22&gt;預測IC!BK$25,1,0)</f>
        <v>0</v>
      </c>
      <c r="BL22" s="10">
        <f>IF(預測IC!BL22&gt;預測IC!BL$25,1,0)</f>
        <v>1</v>
      </c>
      <c r="BM22" s="10">
        <f>IF(預測IC!BM22&gt;預測IC!BM$25,1,0)</f>
        <v>0</v>
      </c>
      <c r="BN22" s="10">
        <f>IF(預測IC!BN22&gt;預測IC!BN$25,1,0)</f>
        <v>1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0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1</v>
      </c>
      <c r="BV22" s="10">
        <f>IF(預測IC!BV22&gt;預測IC!BV$25,1,0)</f>
        <v>1</v>
      </c>
      <c r="BW22" s="10">
        <f>IF(預測IC!BW22&gt;預測IC!BW$25,1,0)</f>
        <v>0</v>
      </c>
      <c r="BX22" s="10">
        <f>IF(預測IC!BX22&gt;預測IC!BX$25,1,0)</f>
        <v>0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1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0</v>
      </c>
      <c r="CF22" s="10">
        <f>IF(預測IC!CF22&gt;預測IC!CF$25,1,0)</f>
        <v>1</v>
      </c>
      <c r="CG22" s="10">
        <f>IF(預測IC!CG22&gt;預測IC!CG$25,1,0)</f>
        <v>0</v>
      </c>
      <c r="CH22" s="10">
        <f>IF(預測IC!CH22&gt;預測IC!CH$25,1,0)</f>
        <v>1</v>
      </c>
      <c r="CI22" s="10">
        <f>IF(預測IC!CI22&gt;預測IC!CI$25,1,0)</f>
        <v>0</v>
      </c>
      <c r="CJ22" s="10">
        <f>IF(預測IC!CJ22&gt;預測IC!CJ$25,1,0)</f>
        <v>1</v>
      </c>
      <c r="CK22" s="10">
        <f>IF(預測IC!CK22&gt;預測IC!CK$25,1,0)</f>
        <v>1</v>
      </c>
      <c r="CL22" s="10">
        <f>IF(預測IC!CL22&gt;預測IC!CL$25,1,0)</f>
        <v>1</v>
      </c>
      <c r="CM22" s="10">
        <f>IF(預測IC!CM22&gt;預測IC!CM$25,1,0)</f>
        <v>0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0</v>
      </c>
      <c r="CS22" s="10">
        <f>IF(預測IC!CS22&gt;預測IC!CS$25,1,0)</f>
        <v>1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0</v>
      </c>
      <c r="CW22" s="10">
        <f>IF(預測IC!CW22&gt;預測IC!CW$25,1,0)</f>
        <v>0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1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1</v>
      </c>
      <c r="DH22" s="10">
        <f>IF(預測IC!DH22&gt;預測IC!DH$25,1,0)</f>
        <v>0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0</v>
      </c>
      <c r="DN22" s="10">
        <f>IF(預測IC!DN22&gt;預測IC!DN$25,1,0)</f>
        <v>1</v>
      </c>
      <c r="DO22" s="10">
        <f>IF(預測IC!DO22&gt;預測IC!DO$25,1,0)</f>
        <v>0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1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1</v>
      </c>
      <c r="DY22" s="10">
        <f>IF(預測IC!DY22&gt;預測IC!DY$25,1,0)</f>
        <v>0</v>
      </c>
      <c r="DZ22" s="10">
        <f>IF(預測IC!DZ22&gt;預測IC!DZ$25,1,0)</f>
        <v>0</v>
      </c>
      <c r="EA22" s="10">
        <f>IF(預測IC!EA22&gt;預測IC!EA$25,1,0)</f>
        <v>0</v>
      </c>
      <c r="EB22" s="10">
        <f>IF(預測IC!EB22&gt;預測IC!EB$25,1,0)</f>
        <v>1</v>
      </c>
      <c r="EC22" s="10">
        <f>IF(預測IC!EC22&gt;預測IC!EC$25,1,0)</f>
        <v>0</v>
      </c>
      <c r="ED22" s="10">
        <f>IF(預測IC!ED22&gt;預測IC!ED$25,1,0)</f>
        <v>1</v>
      </c>
      <c r="EE22" s="10">
        <f>IF(預測IC!EE22&gt;預測IC!EE$25,1,0)</f>
        <v>1</v>
      </c>
      <c r="EF22" s="10">
        <f>IF(預測IC!EF22&gt;預測IC!EF$25,1,0)</f>
        <v>0</v>
      </c>
      <c r="EG22" s="10">
        <f>IF(預測IC!EG22&gt;預測IC!EG$25,1,0)</f>
        <v>0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1</v>
      </c>
      <c r="EK22" s="10">
        <f>IF(預測IC!EK22&gt;預測IC!EK$25,1,0)</f>
        <v>1</v>
      </c>
      <c r="EL22" s="10">
        <f>IF(預測IC!EL22&gt;預測IC!EL$25,1,0)</f>
        <v>0</v>
      </c>
      <c r="EM22" s="6">
        <f t="shared" si="11"/>
        <v>78</v>
      </c>
      <c r="EN22" s="19">
        <f t="shared" si="12"/>
        <v>0.55714285714285716</v>
      </c>
    </row>
    <row r="23" spans="1:144" x14ac:dyDescent="0.3">
      <c r="A23" s="17">
        <v>512</v>
      </c>
      <c r="B23" s="17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0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0</v>
      </c>
      <c r="J23" s="10">
        <f>IF(預測IC!J23&gt;預測IC!J$25,1,0)</f>
        <v>1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1</v>
      </c>
      <c r="Q23" s="10">
        <f>IF(預測IC!Q23&gt;預測IC!Q$25,1,0)</f>
        <v>0</v>
      </c>
      <c r="R23" s="10">
        <f>IF(預測IC!R23&gt;預測IC!R$25,1,0)</f>
        <v>1</v>
      </c>
      <c r="S23" s="10">
        <f>IF(預測IC!S23&gt;預測IC!S$25,1,0)</f>
        <v>1</v>
      </c>
      <c r="T23" s="10">
        <f>IF(預測IC!T23&gt;預測IC!T$25,1,0)</f>
        <v>1</v>
      </c>
      <c r="U23" s="10">
        <f>IF(預測IC!U23&gt;預測IC!U$25,1,0)</f>
        <v>1</v>
      </c>
      <c r="V23" s="10">
        <f>IF(預測IC!V23&gt;預測IC!V$25,1,0)</f>
        <v>1</v>
      </c>
      <c r="W23" s="10">
        <f>IF(預測IC!W23&gt;預測IC!W$25,1,0)</f>
        <v>1</v>
      </c>
      <c r="X23" s="10">
        <f>IF(預測IC!X23&gt;預測IC!X$25,1,0)</f>
        <v>0</v>
      </c>
      <c r="Y23" s="10">
        <f>IF(預測IC!Y23&gt;預測IC!Y$25,1,0)</f>
        <v>0</v>
      </c>
      <c r="Z23" s="10">
        <f>IF(預測IC!Z23&gt;預測IC!Z$25,1,0)</f>
        <v>1</v>
      </c>
      <c r="AA23" s="10">
        <f>IF(預測IC!AA23&gt;預測IC!AA$25,1,0)</f>
        <v>0</v>
      </c>
      <c r="AB23" s="10">
        <f>IF(預測IC!AB23&gt;預測IC!AB$25,1,0)</f>
        <v>0</v>
      </c>
      <c r="AC23" s="10">
        <f>IF(預測IC!AC23&gt;預測IC!AC$25,1,0)</f>
        <v>1</v>
      </c>
      <c r="AD23" s="10">
        <f>IF(預測IC!AD23&gt;預測IC!AD$25,1,0)</f>
        <v>1</v>
      </c>
      <c r="AE23" s="10">
        <f>IF(預測IC!AE23&gt;預測IC!AE$25,1,0)</f>
        <v>1</v>
      </c>
      <c r="AF23" s="10">
        <f>IF(預測IC!AF23&gt;預測IC!AF$25,1,0)</f>
        <v>0</v>
      </c>
      <c r="AG23" s="10">
        <f>IF(預測IC!AG23&gt;預測IC!AG$25,1,0)</f>
        <v>1</v>
      </c>
      <c r="AH23" s="10">
        <f>IF(預測IC!AH23&gt;預測IC!AH$25,1,0)</f>
        <v>0</v>
      </c>
      <c r="AI23" s="10">
        <f>IF(預測IC!AI23&gt;預測IC!AI$25,1,0)</f>
        <v>1</v>
      </c>
      <c r="AJ23" s="10">
        <f>IF(預測IC!AJ23&gt;預測IC!AJ$25,1,0)</f>
        <v>0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0</v>
      </c>
      <c r="AS23" s="10">
        <f>IF(預測IC!AS23&gt;預測IC!AS$25,1,0)</f>
        <v>1</v>
      </c>
      <c r="AT23" s="10">
        <f>IF(預測IC!AT23&gt;預測IC!AT$25,1,0)</f>
        <v>1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0</v>
      </c>
      <c r="AY23" s="10">
        <f>IF(預測IC!AY23&gt;預測IC!AY$25,1,0)</f>
        <v>1</v>
      </c>
      <c r="AZ23" s="10">
        <f>IF(預測IC!AZ23&gt;預測IC!AZ$25,1,0)</f>
        <v>0</v>
      </c>
      <c r="BA23" s="10">
        <f>IF(預測IC!BA23&gt;預測IC!BA$25,1,0)</f>
        <v>1</v>
      </c>
      <c r="BB23" s="10">
        <f>IF(預測IC!BB23&gt;預測IC!BB$25,1,0)</f>
        <v>1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1</v>
      </c>
      <c r="BG23" s="10">
        <f>IF(預測IC!BG23&gt;預測IC!BG$25,1,0)</f>
        <v>1</v>
      </c>
      <c r="BH23" s="10">
        <f>IF(預測IC!BH23&gt;預測IC!BH$25,1,0)</f>
        <v>0</v>
      </c>
      <c r="BI23" s="10">
        <f>IF(預測IC!BI23&gt;預測IC!BI$25,1,0)</f>
        <v>1</v>
      </c>
      <c r="BJ23" s="10">
        <f>IF(預測IC!BJ23&gt;預測IC!BJ$25,1,0)</f>
        <v>1</v>
      </c>
      <c r="BK23" s="10">
        <f>IF(預測IC!BK23&gt;預測IC!BK$25,1,0)</f>
        <v>0</v>
      </c>
      <c r="BL23" s="10">
        <f>IF(預測IC!BL23&gt;預測IC!BL$25,1,0)</f>
        <v>1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1</v>
      </c>
      <c r="BW23" s="10">
        <f>IF(預測IC!BW23&gt;預測IC!BW$25,1,0)</f>
        <v>0</v>
      </c>
      <c r="BX23" s="10">
        <f>IF(預測IC!BX23&gt;預測IC!BX$25,1,0)</f>
        <v>1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1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0</v>
      </c>
      <c r="CH23" s="10">
        <f>IF(預測IC!CH23&gt;預測IC!CH$25,1,0)</f>
        <v>1</v>
      </c>
      <c r="CI23" s="10">
        <f>IF(預測IC!CI23&gt;預測IC!CI$25,1,0)</f>
        <v>0</v>
      </c>
      <c r="CJ23" s="10">
        <f>IF(預測IC!CJ23&gt;預測IC!CJ$25,1,0)</f>
        <v>1</v>
      </c>
      <c r="CK23" s="10">
        <f>IF(預測IC!CK23&gt;預測IC!CK$25,1,0)</f>
        <v>1</v>
      </c>
      <c r="CL23" s="10">
        <f>IF(預測IC!CL23&gt;預測IC!CL$25,1,0)</f>
        <v>1</v>
      </c>
      <c r="CM23" s="10">
        <f>IF(預測IC!CM23&gt;預測IC!CM$25,1,0)</f>
        <v>0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1</v>
      </c>
      <c r="CR23" s="10">
        <f>IF(預測IC!CR23&gt;預測IC!CR$25,1,0)</f>
        <v>0</v>
      </c>
      <c r="CS23" s="10">
        <f>IF(預測IC!CS23&gt;預測IC!CS$25,1,0)</f>
        <v>1</v>
      </c>
      <c r="CT23" s="10">
        <f>IF(預測IC!CT23&gt;預測IC!CT$25,1,0)</f>
        <v>1</v>
      </c>
      <c r="CU23" s="10">
        <f>IF(預測IC!CU23&gt;預測IC!CU$25,1,0)</f>
        <v>1</v>
      </c>
      <c r="CV23" s="10">
        <f>IF(預測IC!CV23&gt;預測IC!CV$25,1,0)</f>
        <v>0</v>
      </c>
      <c r="CW23" s="10">
        <f>IF(預測IC!CW23&gt;預測IC!CW$25,1,0)</f>
        <v>0</v>
      </c>
      <c r="CX23" s="10">
        <f>IF(預測IC!CX23&gt;預測IC!CX$25,1,0)</f>
        <v>0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0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0</v>
      </c>
      <c r="DG23" s="10">
        <f>IF(預測IC!DG23&gt;預測IC!DG$25,1,0)</f>
        <v>1</v>
      </c>
      <c r="DH23" s="10">
        <f>IF(預測IC!DH23&gt;預測IC!DH$25,1,0)</f>
        <v>0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1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0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0</v>
      </c>
      <c r="DT23" s="10">
        <f>IF(預測IC!DT23&gt;預測IC!DT$25,1,0)</f>
        <v>1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1</v>
      </c>
      <c r="DX23" s="10">
        <f>IF(預測IC!DX23&gt;預測IC!DX$25,1,0)</f>
        <v>1</v>
      </c>
      <c r="DY23" s="10">
        <f>IF(預測IC!DY23&gt;預測IC!DY$25,1,0)</f>
        <v>0</v>
      </c>
      <c r="DZ23" s="10">
        <f>IF(預測IC!DZ23&gt;預測IC!DZ$25,1,0)</f>
        <v>0</v>
      </c>
      <c r="EA23" s="10">
        <f>IF(預測IC!EA23&gt;預測IC!EA$25,1,0)</f>
        <v>0</v>
      </c>
      <c r="EB23" s="10">
        <f>IF(預測IC!EB23&gt;預測IC!EB$25,1,0)</f>
        <v>1</v>
      </c>
      <c r="EC23" s="10">
        <f>IF(預測IC!EC23&gt;預測IC!EC$25,1,0)</f>
        <v>1</v>
      </c>
      <c r="ED23" s="10">
        <f>IF(預測IC!ED23&gt;預測IC!ED$25,1,0)</f>
        <v>1</v>
      </c>
      <c r="EE23" s="10">
        <f>IF(預測IC!EE23&gt;預測IC!EE$25,1,0)</f>
        <v>1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1</v>
      </c>
      <c r="EK23" s="10">
        <f>IF(預測IC!EK23&gt;預測IC!EK$25,1,0)</f>
        <v>1</v>
      </c>
      <c r="EL23" s="10">
        <f>IF(預測IC!EL23&gt;預測IC!EL$25,1,0)</f>
        <v>0</v>
      </c>
      <c r="EM23" s="6">
        <f t="shared" si="11"/>
        <v>81</v>
      </c>
      <c r="EN23" s="19">
        <f t="shared" si="12"/>
        <v>0.57857142857142863</v>
      </c>
    </row>
    <row r="24" spans="1:144" x14ac:dyDescent="0.3">
      <c r="A24" s="17">
        <v>1051</v>
      </c>
      <c r="B24" s="17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1</v>
      </c>
      <c r="Q24" s="10">
        <f>IF(預測IC!Q24&gt;預測IC!Q$25,1,0)</f>
        <v>0</v>
      </c>
      <c r="R24" s="10">
        <f>IF(預測IC!R24&gt;預測IC!R$25,1,0)</f>
        <v>1</v>
      </c>
      <c r="S24" s="10">
        <f>IF(預測IC!S24&gt;預測IC!S$25,1,0)</f>
        <v>1</v>
      </c>
      <c r="T24" s="10">
        <f>IF(預測IC!T24&gt;預測IC!T$25,1,0)</f>
        <v>0</v>
      </c>
      <c r="U24" s="10">
        <f>IF(預測IC!U24&gt;預測IC!U$25,1,0)</f>
        <v>1</v>
      </c>
      <c r="V24" s="10">
        <f>IF(預測IC!V24&gt;預測IC!V$25,1,0)</f>
        <v>1</v>
      </c>
      <c r="W24" s="10">
        <f>IF(預測IC!W24&gt;預測IC!W$25,1,0)</f>
        <v>1</v>
      </c>
      <c r="X24" s="10">
        <f>IF(預測IC!X24&gt;預測IC!X$25,1,0)</f>
        <v>0</v>
      </c>
      <c r="Y24" s="10">
        <f>IF(預測IC!Y24&gt;預測IC!Y$25,1,0)</f>
        <v>0</v>
      </c>
      <c r="Z24" s="10">
        <f>IF(預測IC!Z24&gt;預測IC!Z$25,1,0)</f>
        <v>1</v>
      </c>
      <c r="AA24" s="10">
        <f>IF(預測IC!AA24&gt;預測IC!AA$25,1,0)</f>
        <v>1</v>
      </c>
      <c r="AB24" s="10">
        <f>IF(預測IC!AB24&gt;預測IC!AB$25,1,0)</f>
        <v>0</v>
      </c>
      <c r="AC24" s="10">
        <f>IF(預測IC!AC24&gt;預測IC!AC$25,1,0)</f>
        <v>1</v>
      </c>
      <c r="AD24" s="10">
        <f>IF(預測IC!AD24&gt;預測IC!AD$25,1,0)</f>
        <v>0</v>
      </c>
      <c r="AE24" s="10">
        <f>IF(預測IC!AE24&gt;預測IC!AE$25,1,0)</f>
        <v>1</v>
      </c>
      <c r="AF24" s="10">
        <f>IF(預測IC!AF24&gt;預測IC!AF$25,1,0)</f>
        <v>0</v>
      </c>
      <c r="AG24" s="10">
        <f>IF(預測IC!AG24&gt;預測IC!AG$25,1,0)</f>
        <v>1</v>
      </c>
      <c r="AH24" s="10">
        <f>IF(預測IC!AH24&gt;預測IC!AH$25,1,0)</f>
        <v>0</v>
      </c>
      <c r="AI24" s="10">
        <f>IF(預測IC!AI24&gt;預測IC!AI$25,1,0)</f>
        <v>1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0</v>
      </c>
      <c r="AM24" s="10">
        <f>IF(預測IC!AM24&gt;預測IC!AM$25,1,0)</f>
        <v>1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0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1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1</v>
      </c>
      <c r="AZ24" s="10">
        <f>IF(預測IC!AZ24&gt;預測IC!AZ$25,1,0)</f>
        <v>0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0</v>
      </c>
      <c r="BD24" s="10">
        <f>IF(預測IC!BD24&gt;預測IC!BD$25,1,0)</f>
        <v>1</v>
      </c>
      <c r="BE24" s="10">
        <f>IF(預測IC!BE24&gt;預測IC!BE$25,1,0)</f>
        <v>1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0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1</v>
      </c>
      <c r="BL24" s="10">
        <f>IF(預測IC!BL24&gt;預測IC!BL$25,1,0)</f>
        <v>1</v>
      </c>
      <c r="BM24" s="10">
        <f>IF(預測IC!BM24&gt;預測IC!BM$25,1,0)</f>
        <v>1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1</v>
      </c>
      <c r="BR24" s="10">
        <f>IF(預測IC!BR24&gt;預測IC!BR$25,1,0)</f>
        <v>1</v>
      </c>
      <c r="BS24" s="10">
        <f>IF(預測IC!BS24&gt;預測IC!BS$25,1,0)</f>
        <v>1</v>
      </c>
      <c r="BT24" s="10">
        <f>IF(預測IC!BT24&gt;預測IC!BT$25,1,0)</f>
        <v>1</v>
      </c>
      <c r="BU24" s="10">
        <f>IF(預測IC!BU24&gt;預測IC!BU$25,1,0)</f>
        <v>1</v>
      </c>
      <c r="BV24" s="10">
        <f>IF(預測IC!BV24&gt;預測IC!BV$25,1,0)</f>
        <v>1</v>
      </c>
      <c r="BW24" s="10">
        <f>IF(預測IC!BW24&gt;預測IC!BW$25,1,0)</f>
        <v>0</v>
      </c>
      <c r="BX24" s="10">
        <f>IF(預測IC!BX24&gt;預測IC!BX$25,1,0)</f>
        <v>1</v>
      </c>
      <c r="BY24" s="10">
        <f>IF(預測IC!BY24&gt;預測IC!BY$25,1,0)</f>
        <v>0</v>
      </c>
      <c r="BZ24" s="10">
        <f>IF(預測IC!BZ24&gt;預測IC!BZ$25,1,0)</f>
        <v>0</v>
      </c>
      <c r="CA24" s="10">
        <f>IF(預測IC!CA24&gt;預測IC!CA$25,1,0)</f>
        <v>1</v>
      </c>
      <c r="CB24" s="10">
        <f>IF(預測IC!CB24&gt;預測IC!CB$25,1,0)</f>
        <v>0</v>
      </c>
      <c r="CC24" s="10">
        <f>IF(預測IC!CC24&gt;預測IC!CC$25,1,0)</f>
        <v>1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1</v>
      </c>
      <c r="CR24" s="10">
        <f>IF(預測IC!CR24&gt;預測IC!CR$25,1,0)</f>
        <v>0</v>
      </c>
      <c r="CS24" s="10">
        <f>IF(預測IC!CS24&gt;預測IC!CS$25,1,0)</f>
        <v>1</v>
      </c>
      <c r="CT24" s="10">
        <f>IF(預測IC!CT24&gt;預測IC!CT$25,1,0)</f>
        <v>1</v>
      </c>
      <c r="CU24" s="10">
        <f>IF(預測IC!CU24&gt;預測IC!CU$25,1,0)</f>
        <v>1</v>
      </c>
      <c r="CV24" s="10">
        <f>IF(預測IC!CV24&gt;預測IC!CV$25,1,0)</f>
        <v>0</v>
      </c>
      <c r="CW24" s="10">
        <f>IF(預測IC!CW24&gt;預測IC!CW$25,1,0)</f>
        <v>0</v>
      </c>
      <c r="CX24" s="10">
        <f>IF(預測IC!CX24&gt;預測IC!CX$25,1,0)</f>
        <v>0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0</v>
      </c>
      <c r="DC24" s="10">
        <f>IF(預測IC!DC24&gt;預測IC!DC$25,1,0)</f>
        <v>0</v>
      </c>
      <c r="DD24" s="10">
        <f>IF(預測IC!DD24&gt;預測IC!DD$25,1,0)</f>
        <v>0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1</v>
      </c>
      <c r="DH24" s="10">
        <f>IF(預測IC!DH24&gt;預測IC!DH$25,1,0)</f>
        <v>0</v>
      </c>
      <c r="DI24" s="10">
        <f>IF(預測IC!DI24&gt;預測IC!DI$25,1,0)</f>
        <v>0</v>
      </c>
      <c r="DJ24" s="10">
        <f>IF(預測IC!DJ24&gt;預測IC!DJ$25,1,0)</f>
        <v>1</v>
      </c>
      <c r="DK24" s="10">
        <f>IF(預測IC!DK24&gt;預測IC!DK$25,1,0)</f>
        <v>0</v>
      </c>
      <c r="DL24" s="10">
        <f>IF(預測IC!DL24&gt;預測IC!DL$25,1,0)</f>
        <v>1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0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1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0</v>
      </c>
      <c r="DW24" s="10">
        <f>IF(預測IC!DW24&gt;預測IC!DW$25,1,0)</f>
        <v>1</v>
      </c>
      <c r="DX24" s="10">
        <f>IF(預測IC!DX24&gt;預測IC!DX$25,1,0)</f>
        <v>1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1</v>
      </c>
      <c r="EC24" s="10">
        <f>IF(預測IC!EC24&gt;預測IC!EC$25,1,0)</f>
        <v>1</v>
      </c>
      <c r="ED24" s="10">
        <f>IF(預測IC!ED24&gt;預測IC!ED$25,1,0)</f>
        <v>1</v>
      </c>
      <c r="EE24" s="10">
        <f>IF(預測IC!EE24&gt;預測IC!EE$25,1,0)</f>
        <v>0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1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77</v>
      </c>
      <c r="EN24" s="19">
        <f t="shared" si="12"/>
        <v>0.55000000000000004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4" sqref="EL24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7">
        <v>10</v>
      </c>
      <c r="B12" s="17">
        <f t="shared" ref="B12:B24" si="10">ROUND($D$10/A12,0)</f>
        <v>105</v>
      </c>
      <c r="C12" s="2">
        <v>8.0850794339180423E-3</v>
      </c>
      <c r="D12" s="2">
        <f>C12+預測IC!D12</f>
        <v>0.11090887899948915</v>
      </c>
      <c r="E12" s="2">
        <f>D12+預測IC!E12</f>
        <v>0.11784500839018432</v>
      </c>
      <c r="F12" s="2">
        <f>E12+預測IC!F12</f>
        <v>9.2289106041470462E-2</v>
      </c>
      <c r="G12" s="2">
        <f>F12+預測IC!G12</f>
        <v>5.9516346122490564E-2</v>
      </c>
      <c r="H12" s="2">
        <f>G12+預測IC!H12</f>
        <v>6.7227368851246389E-2</v>
      </c>
      <c r="I12" s="2">
        <f>H12+預測IC!I12</f>
        <v>2.061540476099346E-2</v>
      </c>
      <c r="J12" s="2">
        <f>I12+預測IC!J12</f>
        <v>7.7297064350521222E-2</v>
      </c>
      <c r="K12" s="2">
        <f>J12+預測IC!K12</f>
        <v>8.5275479760135789E-2</v>
      </c>
      <c r="L12" s="2">
        <f>K12+預測IC!L12</f>
        <v>8.4425775957238311E-2</v>
      </c>
      <c r="M12" s="2">
        <f>L12+預測IC!M12</f>
        <v>0.1184905712233414</v>
      </c>
      <c r="N12" s="2">
        <f>M12+預測IC!N12</f>
        <v>0.14018053686155418</v>
      </c>
      <c r="O12" s="2">
        <f>N12+預測IC!O12</f>
        <v>0.16962952535874262</v>
      </c>
      <c r="P12" s="2">
        <f>O12+預測IC!P12</f>
        <v>0.17408423282422708</v>
      </c>
      <c r="Q12" s="2">
        <f>P12+預測IC!Q12</f>
        <v>0.19632347082890689</v>
      </c>
      <c r="R12" s="2">
        <f>Q12+預測IC!R12</f>
        <v>0.18316375540907842</v>
      </c>
      <c r="S12" s="2">
        <f>R12+預測IC!S12</f>
        <v>0.22364561139237688</v>
      </c>
      <c r="T12" s="2">
        <f>S12+預測IC!T12</f>
        <v>0.27095273936646913</v>
      </c>
      <c r="U12" s="2">
        <f>T12+預測IC!U12</f>
        <v>0.28130471307670807</v>
      </c>
      <c r="V12" s="2">
        <f>U12+預測IC!V12</f>
        <v>0.28385856613702792</v>
      </c>
      <c r="W12" s="2">
        <f>V12+預測IC!W12</f>
        <v>0.31696678072877815</v>
      </c>
      <c r="X12" s="2">
        <f>W12+預測IC!X12</f>
        <v>0.27075654021849344</v>
      </c>
      <c r="Y12" s="2">
        <f>X12+預測IC!Y12</f>
        <v>0.23403491771158536</v>
      </c>
      <c r="Z12" s="2">
        <f>Y12+預測IC!Z12</f>
        <v>0.28339372503615418</v>
      </c>
      <c r="AA12" s="2">
        <f>Z12+預測IC!AA12</f>
        <v>0.2504854873299216</v>
      </c>
      <c r="AB12" s="2">
        <f>AA12+預測IC!AB12</f>
        <v>0.21938369317753548</v>
      </c>
      <c r="AC12" s="2">
        <f>AB12+預測IC!AC12</f>
        <v>0.26945779787189916</v>
      </c>
      <c r="AD12" s="2">
        <f>AC12+預測IC!AD12</f>
        <v>0.28153462039253535</v>
      </c>
      <c r="AE12" s="2">
        <f>AD12+預測IC!AE12</f>
        <v>0.32648856417908656</v>
      </c>
      <c r="AF12" s="2">
        <f>AE12+預測IC!AF12</f>
        <v>0.27641288046382717</v>
      </c>
      <c r="AG12" s="2">
        <f>AF12+預測IC!AG12</f>
        <v>0.31407003308966175</v>
      </c>
      <c r="AH12" s="2">
        <f>AG12+預測IC!AH12</f>
        <v>0.31798189306420094</v>
      </c>
      <c r="AI12" s="2">
        <f>AH12+預測IC!AI12</f>
        <v>0.32572259331057724</v>
      </c>
      <c r="AJ12" s="2">
        <f>AI12+預測IC!AJ12</f>
        <v>0.33566104269307262</v>
      </c>
      <c r="AK12" s="2">
        <f>AJ12+預測IC!AK12</f>
        <v>0.37677573594586156</v>
      </c>
      <c r="AL12" s="2">
        <f>AK12+預測IC!AL12</f>
        <v>0.38639972582063969</v>
      </c>
      <c r="AM12" s="2">
        <f>AL12+預測IC!AM12</f>
        <v>0.39949804359368124</v>
      </c>
      <c r="AN12" s="2">
        <f>AM12+預測IC!AN12</f>
        <v>0.45935023479693116</v>
      </c>
      <c r="AO12" s="2">
        <f>AN12+預測IC!AO12</f>
        <v>0.48825491056185705</v>
      </c>
      <c r="AP12" s="2">
        <f>AO12+預測IC!AP12</f>
        <v>0.5026838566816747</v>
      </c>
      <c r="AQ12" s="2">
        <f>AP12+預測IC!AQ12</f>
        <v>0.48795172292475464</v>
      </c>
      <c r="AR12" s="2">
        <f>AQ12+預測IC!AR12</f>
        <v>0.49495351324977116</v>
      </c>
      <c r="AS12" s="2">
        <f>AR12+預測IC!AS12</f>
        <v>0.46591490994254198</v>
      </c>
      <c r="AT12" s="2">
        <f>AS12+預測IC!AT12</f>
        <v>0.53773027924067651</v>
      </c>
      <c r="AU12" s="2">
        <f>AT12+預測IC!AU12</f>
        <v>0.55481665482413078</v>
      </c>
      <c r="AV12" s="2">
        <f>AU12+預測IC!AV12</f>
        <v>0.5282562433420146</v>
      </c>
      <c r="AW12" s="2">
        <f>AV12+預測IC!AW12</f>
        <v>0.53366583629536657</v>
      </c>
      <c r="AX12" s="2">
        <f>AW12+預測IC!AX12</f>
        <v>0.58945615018540154</v>
      </c>
      <c r="AY12" s="2">
        <f>AX12+預測IC!AY12</f>
        <v>0.5860235793877504</v>
      </c>
      <c r="AZ12" s="2">
        <f>AY12+預測IC!AZ12</f>
        <v>0.57285940976227012</v>
      </c>
      <c r="BA12" s="2">
        <f>AZ12+預測IC!BA12</f>
        <v>0.57776367212032931</v>
      </c>
      <c r="BB12" s="2">
        <f>BA12+預測IC!BB12</f>
        <v>0.57880614303624023</v>
      </c>
      <c r="BC12" s="2">
        <f>BB12+預測IC!BC12</f>
        <v>0.58258946342678697</v>
      </c>
      <c r="BD12" s="2">
        <f>BC12+預測IC!BD12</f>
        <v>0.59743741248326054</v>
      </c>
      <c r="BE12" s="2">
        <f>BD12+預測IC!BE12</f>
        <v>0.56981673586020498</v>
      </c>
      <c r="BF12" s="2">
        <f>BE12+預測IC!BF12</f>
        <v>0.61559783811727786</v>
      </c>
      <c r="BG12" s="2">
        <f>BF12+預測IC!BG12</f>
        <v>0.65035508039904855</v>
      </c>
      <c r="BH12" s="2">
        <f>BG12+預測IC!BH12</f>
        <v>0.66698195077219391</v>
      </c>
      <c r="BI12" s="2">
        <f>BH12+預測IC!BI12</f>
        <v>0.6971148776255921</v>
      </c>
      <c r="BJ12" s="2">
        <f>BI12+預測IC!BJ12</f>
        <v>0.71608823051530301</v>
      </c>
      <c r="BK12" s="2">
        <f>BJ12+預測IC!BK12</f>
        <v>0.70310563803023696</v>
      </c>
      <c r="BL12" s="2">
        <f>BK12+預測IC!BL12</f>
        <v>0.73022978380976866</v>
      </c>
      <c r="BM12" s="2">
        <f>BL12+預測IC!BM12</f>
        <v>0.77053138342856875</v>
      </c>
      <c r="BN12" s="2">
        <f>BM12+預測IC!BN12</f>
        <v>0.78232480692357032</v>
      </c>
      <c r="BO12" s="2">
        <f>BN12+預測IC!BO12</f>
        <v>0.75773698169872672</v>
      </c>
      <c r="BP12" s="2">
        <f>BO12+預測IC!BP12</f>
        <v>0.74525448878806322</v>
      </c>
      <c r="BQ12" s="2">
        <f>BP12+預測IC!BQ12</f>
        <v>0.77139586195969179</v>
      </c>
      <c r="BR12" s="2">
        <f>BQ12+預測IC!BR12</f>
        <v>0.76558969382001585</v>
      </c>
      <c r="BS12" s="2">
        <f>BR12+預測IC!BS12</f>
        <v>0.7357866835414073</v>
      </c>
      <c r="BT12" s="2">
        <f>BS12+預測IC!BT12</f>
        <v>0.74460019461377314</v>
      </c>
      <c r="BU12" s="2">
        <f>BT12+預測IC!BU12</f>
        <v>0.72089232354272437</v>
      </c>
      <c r="BV12" s="2">
        <f>BU12+預測IC!BV12</f>
        <v>0.68633756540604418</v>
      </c>
      <c r="BW12" s="2">
        <f>BV12+預測IC!BW12</f>
        <v>0.67639863821313151</v>
      </c>
      <c r="BX12" s="2">
        <f>BW12+預測IC!BX12</f>
        <v>0.66920204583611853</v>
      </c>
      <c r="BY12" s="2">
        <f>BX12+預測IC!BY12</f>
        <v>0.61809252299691064</v>
      </c>
      <c r="BZ12" s="2">
        <f>BY12+預測IC!BZ12</f>
        <v>0.61104250626794399</v>
      </c>
      <c r="CA12" s="2">
        <f>BZ12+預測IC!CA12</f>
        <v>0.64405591730676415</v>
      </c>
      <c r="CB12" s="2">
        <f>CA12+預測IC!CB12</f>
        <v>0.65259296586773352</v>
      </c>
      <c r="CC12" s="2">
        <f>CB12+預測IC!CC12</f>
        <v>0.63304723151687781</v>
      </c>
      <c r="CD12" s="2">
        <f>CC12+預測IC!CD12</f>
        <v>0.58094369355192021</v>
      </c>
      <c r="CE12" s="2">
        <f>CD12+預測IC!CE12</f>
        <v>0.59538123232841067</v>
      </c>
      <c r="CF12" s="2">
        <f>CE12+預測IC!CF12</f>
        <v>0.60653181724145788</v>
      </c>
      <c r="CG12" s="2">
        <f>CF12+預測IC!CG12</f>
        <v>0.55687047130707845</v>
      </c>
      <c r="CH12" s="2">
        <f>CG12+預測IC!CH12</f>
        <v>0.57228093026381965</v>
      </c>
      <c r="CI12" s="2">
        <f>CH12+預測IC!CI12</f>
        <v>0.54169268094025791</v>
      </c>
      <c r="CJ12" s="2">
        <f>CI12+預測IC!CJ12</f>
        <v>0.53121217027488676</v>
      </c>
      <c r="CK12" s="2">
        <f>CJ12+預測IC!CK12</f>
        <v>0.59145575396203642</v>
      </c>
      <c r="CL12" s="2">
        <f>CK12+預測IC!CL12</f>
        <v>0.62478951180564357</v>
      </c>
      <c r="CM12" s="2">
        <f>CL12+預測IC!CM12</f>
        <v>0.59274273391290744</v>
      </c>
      <c r="CN12" s="2">
        <f>CM12+預測IC!CN12</f>
        <v>0.62522737890532309</v>
      </c>
      <c r="CO12" s="2">
        <f>CN12+預測IC!CO12</f>
        <v>0.60353125106701555</v>
      </c>
      <c r="CP12" s="2">
        <f>CO12+預測IC!CP12</f>
        <v>0.59498904247017637</v>
      </c>
      <c r="CQ12" s="2">
        <f>CP12+預測IC!CQ12</f>
        <v>0.65219989894757702</v>
      </c>
      <c r="CR12" s="2">
        <f>CQ12+預測IC!CR12</f>
        <v>0.60969316233240833</v>
      </c>
      <c r="CS12" s="2">
        <f>CR12+預測IC!CS12</f>
        <v>0.61541920560401198</v>
      </c>
      <c r="CT12" s="2">
        <f>CS12+預測IC!CT12</f>
        <v>0.60891049193850222</v>
      </c>
      <c r="CU12" s="2">
        <f>CT12+預測IC!CU12</f>
        <v>0.68566109324405877</v>
      </c>
      <c r="CV12" s="2">
        <f>CU12+預測IC!CV12</f>
        <v>0.61720702053059773</v>
      </c>
      <c r="CW12" s="2">
        <f>CV12+預測IC!CW12</f>
        <v>0.64315409078129893</v>
      </c>
      <c r="CX12" s="2">
        <f>CW12+預測IC!CX12</f>
        <v>0.6222818947015154</v>
      </c>
      <c r="CY12" s="2">
        <f>CX12+預測IC!CY12</f>
        <v>0.59627018922606256</v>
      </c>
      <c r="CZ12" s="2">
        <f>CY12+預測IC!CZ12</f>
        <v>0.57767457739936057</v>
      </c>
      <c r="DA12" s="2">
        <f>CZ12+預測IC!DA12</f>
        <v>0.59387257863769916</v>
      </c>
      <c r="DB12" s="2">
        <f>DA12+預測IC!DB12</f>
        <v>0.61006174798158164</v>
      </c>
      <c r="DC12" s="2">
        <f>DB12+預測IC!DC12</f>
        <v>0.57955906061011342</v>
      </c>
      <c r="DD12" s="2">
        <f>DC12+預測IC!DD12</f>
        <v>0.63890948231644618</v>
      </c>
      <c r="DE12" s="2">
        <f>DD12+預測IC!DE12</f>
        <v>0.61924493805093206</v>
      </c>
      <c r="DF12" s="2">
        <f>DE12+預測IC!DF12</f>
        <v>0.6073151932081412</v>
      </c>
      <c r="DG12" s="2">
        <f>DF12+預測IC!DG12</f>
        <v>0.64796700746855429</v>
      </c>
      <c r="DH12" s="2">
        <f>DG12+預測IC!DH12</f>
        <v>0.68050925670294116</v>
      </c>
      <c r="DI12" s="2">
        <f>DH12+預測IC!DI12</f>
        <v>0.70033297113334947</v>
      </c>
      <c r="DJ12" s="2">
        <f>DI12+預測IC!DJ12</f>
        <v>0.66997107873980377</v>
      </c>
      <c r="DK12" s="2">
        <f>DJ12+預測IC!DK12</f>
        <v>0.68307511968684398</v>
      </c>
      <c r="DL12" s="2">
        <f>DK12+預測IC!DL12</f>
        <v>0.70918870625042707</v>
      </c>
      <c r="DM12" s="2">
        <f>DL12+預測IC!DM12</f>
        <v>0.69089209426009957</v>
      </c>
      <c r="DN12" s="2">
        <f>DM12+預測IC!DN12</f>
        <v>0.68087888330446344</v>
      </c>
      <c r="DO12" s="2">
        <f>DN12+預測IC!DO12</f>
        <v>0.70425452730939209</v>
      </c>
      <c r="DP12" s="2">
        <f>DO12+預測IC!DP12</f>
        <v>0.74017016825908877</v>
      </c>
      <c r="DQ12" s="2">
        <f>DP12+預測IC!DQ12</f>
        <v>0.67826781183306284</v>
      </c>
      <c r="DR12" s="2">
        <f>DQ12+預測IC!DR12</f>
        <v>0.65665712012897659</v>
      </c>
      <c r="DS12" s="2">
        <f>DR12+預測IC!DS12</f>
        <v>0.60678064578733482</v>
      </c>
      <c r="DT12" s="2">
        <f>DS12+預測IC!DT12</f>
        <v>0.63370959251703218</v>
      </c>
      <c r="DU12" s="2">
        <f>DT12+預測IC!DU12</f>
        <v>0.59671376883144711</v>
      </c>
      <c r="DV12" s="2">
        <f>DU12+預測IC!DV12</f>
        <v>0.58901038322530008</v>
      </c>
      <c r="DW12" s="2">
        <f>DV12+預測IC!DW12</f>
        <v>0.58581720794274228</v>
      </c>
      <c r="DX12" s="2">
        <f>DW12+預測IC!DX12</f>
        <v>0.62344325258542177</v>
      </c>
      <c r="DY12" s="2">
        <f>DX12+預測IC!DY12</f>
        <v>0.65308092214703417</v>
      </c>
      <c r="DZ12" s="2">
        <f>DY12+預測IC!DZ12</f>
        <v>0.67366137420812988</v>
      </c>
      <c r="EA12" s="2">
        <f>DZ12+預測IC!EA12</f>
        <v>0.72565951249939242</v>
      </c>
      <c r="EB12" s="2">
        <f>EA12+預測IC!EB12</f>
        <v>0.75373118965301167</v>
      </c>
      <c r="EC12" s="2">
        <f>EB12+預測IC!EC12</f>
        <v>0.72753624717422438</v>
      </c>
      <c r="ED12" s="2">
        <f>EC12+預測IC!ED12</f>
        <v>0.71888951729553341</v>
      </c>
      <c r="EE12" s="2">
        <f>ED12+預測IC!EE12</f>
        <v>0.69819648362812314</v>
      </c>
      <c r="EF12" s="2">
        <f>EE12+預測IC!EF12</f>
        <v>0.67636400119424089</v>
      </c>
      <c r="EG12" s="2">
        <f>EF12+預測IC!EG12</f>
        <v>0.64715676509804521</v>
      </c>
      <c r="EH12" s="2">
        <f>EG12+預測IC!EH12</f>
        <v>0.66689702647724847</v>
      </c>
      <c r="EI12" s="2">
        <f>EH12+預測IC!EI12</f>
        <v>0.66098896259163764</v>
      </c>
      <c r="EJ12" s="2">
        <f>EI12+預測IC!EJ12</f>
        <v>0.64976398074394226</v>
      </c>
      <c r="EK12" s="2">
        <f>EJ12+預測IC!EK12</f>
        <v>0.66196397516024219</v>
      </c>
      <c r="EL12" s="2">
        <f>EK12+預測IC!EL12</f>
        <v>0.6451912577913923</v>
      </c>
    </row>
    <row r="13" spans="1:142" x14ac:dyDescent="0.3">
      <c r="A13" s="17">
        <v>20</v>
      </c>
      <c r="B13" s="17">
        <f t="shared" si="10"/>
        <v>53</v>
      </c>
      <c r="C13" s="2">
        <v>-2.950459453302642E-2</v>
      </c>
      <c r="D13" s="2">
        <f>C13+預測IC!D13</f>
        <v>5.4000687411234302E-2</v>
      </c>
      <c r="E13" s="2">
        <f>D13+預測IC!E13</f>
        <v>5.6779544678494033E-2</v>
      </c>
      <c r="F13" s="2">
        <f>E13+預測IC!F13</f>
        <v>3.3822185337969157E-2</v>
      </c>
      <c r="G13" s="2">
        <f>F13+預測IC!G13</f>
        <v>1.7037961490704478E-2</v>
      </c>
      <c r="H13" s="2">
        <f>G13+預測IC!H13</f>
        <v>2.5415904882634524E-2</v>
      </c>
      <c r="I13" s="2">
        <f>H13+預測IC!I13</f>
        <v>-2.4020196798847746E-2</v>
      </c>
      <c r="J13" s="2">
        <f>I13+預測IC!J13</f>
        <v>3.5969519115317677E-2</v>
      </c>
      <c r="K13" s="2">
        <f>J13+預測IC!K13</f>
        <v>7.1907464242621594E-2</v>
      </c>
      <c r="L13" s="2">
        <f>K13+預測IC!L13</f>
        <v>6.8873732622511022E-2</v>
      </c>
      <c r="M13" s="2">
        <f>L13+預測IC!M13</f>
        <v>8.340608912218106E-2</v>
      </c>
      <c r="N13" s="2">
        <f>M13+預測IC!N13</f>
        <v>0.13127606846399878</v>
      </c>
      <c r="O13" s="2">
        <f>N13+預測IC!O13</f>
        <v>0.16604892268342464</v>
      </c>
      <c r="P13" s="2">
        <f>O13+預測IC!P13</f>
        <v>0.1667251860057708</v>
      </c>
      <c r="Q13" s="2">
        <f>P13+預測IC!Q13</f>
        <v>0.1992657210821005</v>
      </c>
      <c r="R13" s="2">
        <f>Q13+預測IC!R13</f>
        <v>0.19013948203831857</v>
      </c>
      <c r="S13" s="2">
        <f>R13+預測IC!S13</f>
        <v>0.2573794533979531</v>
      </c>
      <c r="T13" s="2">
        <f>S13+預測IC!T13</f>
        <v>0.32778455897065917</v>
      </c>
      <c r="U13" s="2">
        <f>T13+預測IC!U13</f>
        <v>0.37845914429784983</v>
      </c>
      <c r="V13" s="2">
        <f>U13+預測IC!V13</f>
        <v>0.38189142926357117</v>
      </c>
      <c r="W13" s="2">
        <f>V13+預測IC!W13</f>
        <v>0.39948203028275497</v>
      </c>
      <c r="X13" s="2">
        <f>W13+預測IC!X13</f>
        <v>0.3372678591560494</v>
      </c>
      <c r="Y13" s="2">
        <f>X13+預測IC!Y13</f>
        <v>0.32862095206474801</v>
      </c>
      <c r="Z13" s="2">
        <f>Y13+預測IC!Z13</f>
        <v>0.38831837609125552</v>
      </c>
      <c r="AA13" s="2">
        <f>Z13+預測IC!AA13</f>
        <v>0.3604613709780371</v>
      </c>
      <c r="AB13" s="2">
        <f>AA13+預測IC!AB13</f>
        <v>0.31468895847342865</v>
      </c>
      <c r="AC13" s="2">
        <f>AB13+預測IC!AC13</f>
        <v>0.36770921947621327</v>
      </c>
      <c r="AD13" s="2">
        <f>AC13+預測IC!AD13</f>
        <v>0.37417555664153312</v>
      </c>
      <c r="AE13" s="2">
        <f>AD13+預測IC!AE13</f>
        <v>0.44009428294273162</v>
      </c>
      <c r="AF13" s="2">
        <f>AE13+預測IC!AF13</f>
        <v>0.37245606134104031</v>
      </c>
      <c r="AG13" s="2">
        <f>AF13+預測IC!AG13</f>
        <v>0.41617574282198971</v>
      </c>
      <c r="AH13" s="2">
        <f>AG13+預測IC!AH13</f>
        <v>0.42854898599673286</v>
      </c>
      <c r="AI13" s="2">
        <f>AH13+預測IC!AI13</f>
        <v>0.44813919292217869</v>
      </c>
      <c r="AJ13" s="2">
        <f>AI13+預測IC!AJ13</f>
        <v>0.46375884766693115</v>
      </c>
      <c r="AK13" s="2">
        <f>AJ13+預測IC!AK13</f>
        <v>0.52745197221741247</v>
      </c>
      <c r="AL13" s="2">
        <f>AK13+預測IC!AL13</f>
        <v>0.53267710918769828</v>
      </c>
      <c r="AM13" s="2">
        <f>AL13+預測IC!AM13</f>
        <v>0.52729071463135513</v>
      </c>
      <c r="AN13" s="2">
        <f>AM13+預測IC!AN13</f>
        <v>0.62423055655615445</v>
      </c>
      <c r="AO13" s="2">
        <f>AN13+預測IC!AO13</f>
        <v>0.65568018819646312</v>
      </c>
      <c r="AP13" s="2">
        <f>AO13+預測IC!AP13</f>
        <v>0.66502033725116516</v>
      </c>
      <c r="AQ13" s="2">
        <f>AP13+預測IC!AQ13</f>
        <v>0.64908295738738075</v>
      </c>
      <c r="AR13" s="2">
        <f>AQ13+預測IC!AR13</f>
        <v>0.65213003146007709</v>
      </c>
      <c r="AS13" s="2">
        <f>AR13+預測IC!AS13</f>
        <v>0.61725246345536744</v>
      </c>
      <c r="AT13" s="2">
        <f>AS13+預測IC!AT13</f>
        <v>0.71218161544421299</v>
      </c>
      <c r="AU13" s="2">
        <f>AT13+預測IC!AU13</f>
        <v>0.7431300493075359</v>
      </c>
      <c r="AV13" s="2">
        <f>AU13+預測IC!AV13</f>
        <v>0.71115088513612412</v>
      </c>
      <c r="AW13" s="2">
        <f>AV13+預測IC!AW13</f>
        <v>0.71383853999324354</v>
      </c>
      <c r="AX13" s="2">
        <f>AW13+預測IC!AX13</f>
        <v>0.76593931314832953</v>
      </c>
      <c r="AY13" s="2">
        <f>AX13+預測IC!AY13</f>
        <v>0.77311746792134706</v>
      </c>
      <c r="AZ13" s="2">
        <f>AY13+預測IC!AZ13</f>
        <v>0.76177399974466242</v>
      </c>
      <c r="BA13" s="2">
        <f>AZ13+預測IC!BA13</f>
        <v>0.77265044711464248</v>
      </c>
      <c r="BB13" s="2">
        <f>BA13+預測IC!BB13</f>
        <v>0.78128423416116166</v>
      </c>
      <c r="BC13" s="2">
        <f>BB13+預測IC!BC13</f>
        <v>0.78745463545360517</v>
      </c>
      <c r="BD13" s="2">
        <f>BC13+預測IC!BD13</f>
        <v>0.80215739102587691</v>
      </c>
      <c r="BE13" s="2">
        <f>BD13+預測IC!BE13</f>
        <v>0.76540044573443966</v>
      </c>
      <c r="BF13" s="2">
        <f>BE13+預測IC!BF13</f>
        <v>0.87068143314635982</v>
      </c>
      <c r="BG13" s="2">
        <f>BF13+預測IC!BG13</f>
        <v>0.91147518192161914</v>
      </c>
      <c r="BH13" s="2">
        <f>BG13+預測IC!BH13</f>
        <v>0.92828439134272478</v>
      </c>
      <c r="BI13" s="2">
        <f>BH13+預測IC!BI13</f>
        <v>0.97291102856971101</v>
      </c>
      <c r="BJ13" s="2">
        <f>BI13+預測IC!BJ13</f>
        <v>0.98729038388115242</v>
      </c>
      <c r="BK13" s="2">
        <f>BJ13+預測IC!BK13</f>
        <v>0.95909347112855348</v>
      </c>
      <c r="BL13" s="2">
        <f>BK13+預測IC!BL13</f>
        <v>0.99803452990890318</v>
      </c>
      <c r="BM13" s="2">
        <f>BL13+預測IC!BM13</f>
        <v>1.0446470454738785</v>
      </c>
      <c r="BN13" s="2">
        <f>BM13+預測IC!BN13</f>
        <v>1.0490345926211524</v>
      </c>
      <c r="BO13" s="2">
        <f>BN13+預測IC!BO13</f>
        <v>1.0079442578473088</v>
      </c>
      <c r="BP13" s="2">
        <f>BO13+預測IC!BP13</f>
        <v>1.0026240430272486</v>
      </c>
      <c r="BQ13" s="2">
        <f>BP13+預測IC!BQ13</f>
        <v>1.0123830636302589</v>
      </c>
      <c r="BR13" s="2">
        <f>BQ13+預測IC!BR13</f>
        <v>1.0064455112544859</v>
      </c>
      <c r="BS13" s="2">
        <f>BR13+預測IC!BS13</f>
        <v>0.97239679489575248</v>
      </c>
      <c r="BT13" s="2">
        <f>BS13+預測IC!BT13</f>
        <v>0.96737141672127713</v>
      </c>
      <c r="BU13" s="2">
        <f>BT13+預測IC!BU13</f>
        <v>0.94285510020517882</v>
      </c>
      <c r="BV13" s="2">
        <f>BU13+預測IC!BV13</f>
        <v>0.89337635926956738</v>
      </c>
      <c r="BW13" s="2">
        <f>BV13+預測IC!BW13</f>
        <v>0.89394094273855917</v>
      </c>
      <c r="BX13" s="2">
        <f>BW13+預測IC!BX13</f>
        <v>0.87818560917248734</v>
      </c>
      <c r="BY13" s="2">
        <f>BX13+預測IC!BY13</f>
        <v>0.82933940908422144</v>
      </c>
      <c r="BZ13" s="2">
        <f>BY13+預測IC!BZ13</f>
        <v>0.82689345237398348</v>
      </c>
      <c r="CA13" s="2">
        <f>BZ13+預測IC!CA13</f>
        <v>0.85319703055980667</v>
      </c>
      <c r="CB13" s="2">
        <f>CA13+預測IC!CB13</f>
        <v>0.88115359170680552</v>
      </c>
      <c r="CC13" s="2">
        <f>CB13+預測IC!CC13</f>
        <v>0.88222526379825184</v>
      </c>
      <c r="CD13" s="2">
        <f>CC13+預測IC!CD13</f>
        <v>0.88541101830024749</v>
      </c>
      <c r="CE13" s="2">
        <f>CD13+預測IC!CE13</f>
        <v>0.90114623219161938</v>
      </c>
      <c r="CF13" s="2">
        <f>CE13+預測IC!CF13</f>
        <v>0.93026543404185391</v>
      </c>
      <c r="CG13" s="2">
        <f>CF13+預測IC!CG13</f>
        <v>0.88106278129819304</v>
      </c>
      <c r="CH13" s="2">
        <f>CG13+預測IC!CH13</f>
        <v>0.88946445302224608</v>
      </c>
      <c r="CI13" s="2">
        <f>CH13+預測IC!CI13</f>
        <v>0.8393712066246708</v>
      </c>
      <c r="CJ13" s="2">
        <f>CI13+預測IC!CJ13</f>
        <v>0.84146179915581187</v>
      </c>
      <c r="CK13" s="2">
        <f>CJ13+預測IC!CK13</f>
        <v>0.90697891752733228</v>
      </c>
      <c r="CL13" s="2">
        <f>CK13+預測IC!CL13</f>
        <v>0.94068435043974963</v>
      </c>
      <c r="CM13" s="2">
        <f>CL13+預測IC!CM13</f>
        <v>0.90569495633003405</v>
      </c>
      <c r="CN13" s="2">
        <f>CM13+預測IC!CN13</f>
        <v>0.94317380285006558</v>
      </c>
      <c r="CO13" s="2">
        <f>CN13+預測IC!CO13</f>
        <v>0.89929995301750787</v>
      </c>
      <c r="CP13" s="2">
        <f>CO13+預測IC!CP13</f>
        <v>0.91384020356295248</v>
      </c>
      <c r="CQ13" s="2">
        <f>CP13+預測IC!CQ13</f>
        <v>0.97048193570237318</v>
      </c>
      <c r="CR13" s="2">
        <f>CQ13+預測IC!CR13</f>
        <v>0.90997921122971781</v>
      </c>
      <c r="CS13" s="2">
        <f>CR13+預測IC!CS13</f>
        <v>0.91321021768458388</v>
      </c>
      <c r="CT13" s="2">
        <f>CS13+預測IC!CT13</f>
        <v>0.90468174943820001</v>
      </c>
      <c r="CU13" s="2">
        <f>CT13+預測IC!CU13</f>
        <v>1.016469801005299</v>
      </c>
      <c r="CV13" s="2">
        <f>CU13+預測IC!CV13</f>
        <v>0.93956244479201645</v>
      </c>
      <c r="CW13" s="2">
        <f>CV13+預測IC!CW13</f>
        <v>0.97335803883987537</v>
      </c>
      <c r="CX13" s="2">
        <f>CW13+預測IC!CX13</f>
        <v>0.94294211375227055</v>
      </c>
      <c r="CY13" s="2">
        <f>CX13+預測IC!CY13</f>
        <v>0.88670842784385906</v>
      </c>
      <c r="CZ13" s="2">
        <f>CY13+預測IC!CZ13</f>
        <v>0.88028569505493848</v>
      </c>
      <c r="DA13" s="2">
        <f>CZ13+預測IC!DA13</f>
        <v>0.89680366495326547</v>
      </c>
      <c r="DB13" s="2">
        <f>DA13+預測IC!DB13</f>
        <v>0.93432949958307998</v>
      </c>
      <c r="DC13" s="2">
        <f>DB13+預測IC!DC13</f>
        <v>0.90916410685089155</v>
      </c>
      <c r="DD13" s="2">
        <f>DC13+預測IC!DD13</f>
        <v>0.98085737884252744</v>
      </c>
      <c r="DE13" s="2">
        <f>DD13+預測IC!DE13</f>
        <v>0.96661726408394077</v>
      </c>
      <c r="DF13" s="2">
        <f>DE13+預測IC!DF13</f>
        <v>0.99375535963569117</v>
      </c>
      <c r="DG13" s="2">
        <f>DF13+預測IC!DG13</f>
        <v>1.0585748121575598</v>
      </c>
      <c r="DH13" s="2">
        <f>DG13+預測IC!DH13</f>
        <v>1.0957497170038473</v>
      </c>
      <c r="DI13" s="2">
        <f>DH13+預測IC!DI13</f>
        <v>1.1108545106097534</v>
      </c>
      <c r="DJ13" s="2">
        <f>DI13+預測IC!DJ13</f>
        <v>1.109362894762687</v>
      </c>
      <c r="DK13" s="2">
        <f>DJ13+預測IC!DK13</f>
        <v>1.1162157176323251</v>
      </c>
      <c r="DL13" s="2">
        <f>DK13+預測IC!DL13</f>
        <v>1.148144084559503</v>
      </c>
      <c r="DM13" s="2">
        <f>DL13+預測IC!DM13</f>
        <v>1.1583165987443664</v>
      </c>
      <c r="DN13" s="2">
        <f>DM13+預測IC!DN13</f>
        <v>1.1538118344150765</v>
      </c>
      <c r="DO13" s="2">
        <f>DN13+預測IC!DO13</f>
        <v>1.1948795509606414</v>
      </c>
      <c r="DP13" s="2">
        <f>DO13+預測IC!DP13</f>
        <v>1.2483910388034309</v>
      </c>
      <c r="DQ13" s="2">
        <f>DP13+預測IC!DQ13</f>
        <v>1.187170443080467</v>
      </c>
      <c r="DR13" s="2">
        <f>DQ13+預測IC!DR13</f>
        <v>1.1669371265716237</v>
      </c>
      <c r="DS13" s="2">
        <f>DR13+預測IC!DS13</f>
        <v>1.1395373534225903</v>
      </c>
      <c r="DT13" s="2">
        <f>DS13+預測IC!DT13</f>
        <v>1.1669124661762535</v>
      </c>
      <c r="DU13" s="2">
        <f>DT13+預測IC!DU13</f>
        <v>1.1460975551376653</v>
      </c>
      <c r="DV13" s="2">
        <f>DU13+預測IC!DV13</f>
        <v>1.1280156590949728</v>
      </c>
      <c r="DW13" s="2">
        <f>DV13+預測IC!DW13</f>
        <v>1.1068231802652237</v>
      </c>
      <c r="DX13" s="2">
        <f>DW13+預測IC!DX13</f>
        <v>1.1626986879544636</v>
      </c>
      <c r="DY13" s="2">
        <f>DX13+預測IC!DY13</f>
        <v>1.1605999741342756</v>
      </c>
      <c r="DZ13" s="2">
        <f>DY13+預測IC!DZ13</f>
        <v>1.1840363215614451</v>
      </c>
      <c r="EA13" s="2">
        <f>DZ13+預測IC!EA13</f>
        <v>1.2304973034171882</v>
      </c>
      <c r="EB13" s="2">
        <f>EA13+預測IC!EB13</f>
        <v>1.28757783659884</v>
      </c>
      <c r="EC13" s="2">
        <f>EB13+預測IC!EC13</f>
        <v>1.2466375549566682</v>
      </c>
      <c r="ED13" s="2">
        <f>EC13+預測IC!ED13</f>
        <v>1.2032819856247901</v>
      </c>
      <c r="EE13" s="2">
        <f>ED13+預測IC!EE13</f>
        <v>1.1744706960205955</v>
      </c>
      <c r="EF13" s="2">
        <f>EE13+預測IC!EF13</f>
        <v>1.1384887678951832</v>
      </c>
      <c r="EG13" s="2">
        <f>EF13+預測IC!EG13</f>
        <v>1.0852271297737546</v>
      </c>
      <c r="EH13" s="2">
        <f>EG13+預測IC!EH13</f>
        <v>1.096432359987094</v>
      </c>
      <c r="EI13" s="2">
        <f>EH13+預測IC!EI13</f>
        <v>1.0898838886858755</v>
      </c>
      <c r="EJ13" s="2">
        <f>EI13+預測IC!EJ13</f>
        <v>1.096278393171177</v>
      </c>
      <c r="EK13" s="2">
        <f>EJ13+預測IC!EK13</f>
        <v>1.1101503109966055</v>
      </c>
      <c r="EL13" s="2">
        <f>EK13+預測IC!EL13</f>
        <v>1.0559499494867637</v>
      </c>
    </row>
    <row r="14" spans="1:142" x14ac:dyDescent="0.3">
      <c r="A14" s="17">
        <v>50</v>
      </c>
      <c r="B14" s="17">
        <f t="shared" si="10"/>
        <v>21</v>
      </c>
      <c r="C14" s="2">
        <v>-5.6853263530549307E-2</v>
      </c>
      <c r="D14" s="2">
        <f>C14+預測IC!D14</f>
        <v>5.895953541636189E-2</v>
      </c>
      <c r="E14" s="2">
        <f>D14+預測IC!E14</f>
        <v>3.2274019778892861E-2</v>
      </c>
      <c r="F14" s="2">
        <f>E14+預測IC!F14</f>
        <v>5.2245903817657008E-2</v>
      </c>
      <c r="G14" s="2">
        <f>F14+預測IC!G14</f>
        <v>-2.2839466814604761E-2</v>
      </c>
      <c r="H14" s="2">
        <f>G14+預測IC!H14</f>
        <v>-1.5783772745562707E-2</v>
      </c>
      <c r="I14" s="2">
        <f>H14+預測IC!I14</f>
        <v>-9.8097363468092988E-2</v>
      </c>
      <c r="J14" s="2">
        <f>I14+預測IC!J14</f>
        <v>-3.4006215421892791E-2</v>
      </c>
      <c r="K14" s="2">
        <f>J14+預測IC!K14</f>
        <v>-3.2374061427003879E-2</v>
      </c>
      <c r="L14" s="2">
        <f>K14+預測IC!L14</f>
        <v>-9.0887625496974933E-2</v>
      </c>
      <c r="M14" s="2">
        <f>L14+預測IC!M14</f>
        <v>-9.316279489892873E-2</v>
      </c>
      <c r="N14" s="2">
        <f>M14+預測IC!N14</f>
        <v>-2.5511520888901074E-2</v>
      </c>
      <c r="O14" s="2">
        <f>N14+預測IC!O14</f>
        <v>-1.951719413509613E-3</v>
      </c>
      <c r="P14" s="2">
        <f>O14+預測IC!P14</f>
        <v>4.8810560006746122E-3</v>
      </c>
      <c r="Q14" s="2">
        <f>P14+預測IC!Q14</f>
        <v>7.7267448451869475E-2</v>
      </c>
      <c r="R14" s="2">
        <f>Q14+預測IC!R14</f>
        <v>0.10601013467361814</v>
      </c>
      <c r="S14" s="2">
        <f>R14+預測IC!S14</f>
        <v>0.24559424401972924</v>
      </c>
      <c r="T14" s="2">
        <f>S14+預測IC!T14</f>
        <v>0.28923488073257192</v>
      </c>
      <c r="U14" s="2">
        <f>T14+預測IC!U14</f>
        <v>0.39991931483366733</v>
      </c>
      <c r="V14" s="2">
        <f>U14+預測IC!V14</f>
        <v>0.36568781503480974</v>
      </c>
      <c r="W14" s="2">
        <f>V14+預測IC!W14</f>
        <v>0.39256160455207079</v>
      </c>
      <c r="X14" s="2">
        <f>W14+預測IC!X14</f>
        <v>0.28935829706552396</v>
      </c>
      <c r="Y14" s="2">
        <f>X14+預測IC!Y14</f>
        <v>0.29858454709171511</v>
      </c>
      <c r="Z14" s="2">
        <f>Y14+預測IC!Z14</f>
        <v>0.40479677898913424</v>
      </c>
      <c r="AA14" s="2">
        <f>Z14+預測IC!AA14</f>
        <v>0.36041164417201982</v>
      </c>
      <c r="AB14" s="2">
        <f>AA14+預測IC!AB14</f>
        <v>0.29118392985925756</v>
      </c>
      <c r="AC14" s="2">
        <f>AB14+預測IC!AC14</f>
        <v>0.31100829894110477</v>
      </c>
      <c r="AD14" s="2">
        <f>AC14+預測IC!AD14</f>
        <v>0.3247522681321533</v>
      </c>
      <c r="AE14" s="2">
        <f>AD14+預測IC!AE14</f>
        <v>0.43304865244856072</v>
      </c>
      <c r="AF14" s="2">
        <f>AE14+預測IC!AF14</f>
        <v>0.35620528634753562</v>
      </c>
      <c r="AG14" s="2">
        <f>AF14+預測IC!AG14</f>
        <v>0.38486127267933723</v>
      </c>
      <c r="AH14" s="2">
        <f>AG14+預測IC!AH14</f>
        <v>0.43574066880094819</v>
      </c>
      <c r="AI14" s="2">
        <f>AH14+預測IC!AI14</f>
        <v>0.40833768287554928</v>
      </c>
      <c r="AJ14" s="2">
        <f>AI14+預測IC!AJ14</f>
        <v>0.44003856984873591</v>
      </c>
      <c r="AK14" s="2">
        <f>AJ14+預測IC!AK14</f>
        <v>0.49848969248745484</v>
      </c>
      <c r="AL14" s="2">
        <f>AK14+預測IC!AL14</f>
        <v>0.52443448216925104</v>
      </c>
      <c r="AM14" s="2">
        <f>AL14+預測IC!AM14</f>
        <v>0.52808036426385763</v>
      </c>
      <c r="AN14" s="2">
        <f>AM14+預測IC!AN14</f>
        <v>0.63249593749169997</v>
      </c>
      <c r="AO14" s="2">
        <f>AN14+預測IC!AO14</f>
        <v>0.66510060527469661</v>
      </c>
      <c r="AP14" s="2">
        <f>AO14+預測IC!AP14</f>
        <v>0.70770500416533644</v>
      </c>
      <c r="AQ14" s="2">
        <f>AP14+預測IC!AQ14</f>
        <v>0.68803931888835923</v>
      </c>
      <c r="AR14" s="2">
        <f>AQ14+預測IC!AR14</f>
        <v>0.69541457570354681</v>
      </c>
      <c r="AS14" s="2">
        <f>AR14+預測IC!AS14</f>
        <v>0.70889257725852339</v>
      </c>
      <c r="AT14" s="2">
        <f>AS14+預測IC!AT14</f>
        <v>0.84670699076250888</v>
      </c>
      <c r="AU14" s="2">
        <f>AT14+預測IC!AU14</f>
        <v>0.92422418128056083</v>
      </c>
      <c r="AV14" s="2">
        <f>AU14+預測IC!AV14</f>
        <v>0.8905133555280409</v>
      </c>
      <c r="AW14" s="2">
        <f>AV14+預測IC!AW14</f>
        <v>0.91777993682983317</v>
      </c>
      <c r="AX14" s="2">
        <f>AW14+預測IC!AX14</f>
        <v>0.95854992036413156</v>
      </c>
      <c r="AY14" s="2">
        <f>AX14+預測IC!AY14</f>
        <v>1.0044488680629231</v>
      </c>
      <c r="AZ14" s="2">
        <f>AY14+預測IC!AZ14</f>
        <v>0.96416078279695483</v>
      </c>
      <c r="BA14" s="2">
        <f>AZ14+預測IC!BA14</f>
        <v>1.0009223989043874</v>
      </c>
      <c r="BB14" s="2">
        <f>BA14+預測IC!BB14</f>
        <v>1.0786587547709685</v>
      </c>
      <c r="BC14" s="2">
        <f>BB14+預測IC!BC14</f>
        <v>1.0991819588270739</v>
      </c>
      <c r="BD14" s="2">
        <f>BC14+預測IC!BD14</f>
        <v>1.1426903437056517</v>
      </c>
      <c r="BE14" s="2">
        <f>BD14+預測IC!BE14</f>
        <v>1.070878226133624</v>
      </c>
      <c r="BF14" s="2">
        <f>BE14+預測IC!BF14</f>
        <v>1.2281694525202724</v>
      </c>
      <c r="BG14" s="2">
        <f>BF14+預測IC!BG14</f>
        <v>1.3104990205884572</v>
      </c>
      <c r="BH14" s="2">
        <f>BG14+預測IC!BH14</f>
        <v>1.3437835034941861</v>
      </c>
      <c r="BI14" s="2">
        <f>BH14+預測IC!BI14</f>
        <v>1.3985101305789995</v>
      </c>
      <c r="BJ14" s="2">
        <f>BI14+預測IC!BJ14</f>
        <v>1.404838419822189</v>
      </c>
      <c r="BK14" s="2">
        <f>BJ14+預測IC!BK14</f>
        <v>1.315995012859063</v>
      </c>
      <c r="BL14" s="2">
        <f>BK14+預測IC!BL14</f>
        <v>1.3484987988411021</v>
      </c>
      <c r="BM14" s="2">
        <f>BL14+預測IC!BM14</f>
        <v>1.3814199636645474</v>
      </c>
      <c r="BN14" s="2">
        <f>BM14+預測IC!BN14</f>
        <v>1.4080040990439626</v>
      </c>
      <c r="BO14" s="2">
        <f>BN14+預測IC!BO14</f>
        <v>1.3837882830932662</v>
      </c>
      <c r="BP14" s="2">
        <f>BO14+預測IC!BP14</f>
        <v>1.3970918646568071</v>
      </c>
      <c r="BQ14" s="2">
        <f>BP14+預測IC!BQ14</f>
        <v>1.3738290284018204</v>
      </c>
      <c r="BR14" s="2">
        <f>BQ14+預測IC!BR14</f>
        <v>1.3306624836456242</v>
      </c>
      <c r="BS14" s="2">
        <f>BR14+預測IC!BS14</f>
        <v>1.3010508684648805</v>
      </c>
      <c r="BT14" s="2">
        <f>BS14+預測IC!BT14</f>
        <v>1.26400559728603</v>
      </c>
      <c r="BU14" s="2">
        <f>BT14+預測IC!BU14</f>
        <v>1.2436917091363355</v>
      </c>
      <c r="BV14" s="2">
        <f>BU14+預測IC!BV14</f>
        <v>1.1626107028456636</v>
      </c>
      <c r="BW14" s="2">
        <f>BV14+預測IC!BW14</f>
        <v>1.1551180656686368</v>
      </c>
      <c r="BX14" s="2">
        <f>BW14+預測IC!BX14</f>
        <v>1.0977580191341572</v>
      </c>
      <c r="BY14" s="2">
        <f>BX14+預測IC!BY14</f>
        <v>0.99955425350828198</v>
      </c>
      <c r="BZ14" s="2">
        <f>BY14+預測IC!BZ14</f>
        <v>0.94978207990050967</v>
      </c>
      <c r="CA14" s="2">
        <f>BZ14+預測IC!CA14</f>
        <v>0.93448126550167931</v>
      </c>
      <c r="CB14" s="2">
        <f>CA14+預測IC!CB14</f>
        <v>0.92857440918260825</v>
      </c>
      <c r="CC14" s="2">
        <f>CB14+預測IC!CC14</f>
        <v>0.91911875762476969</v>
      </c>
      <c r="CD14" s="2">
        <f>CC14+預測IC!CD14</f>
        <v>0.96593410669675095</v>
      </c>
      <c r="CE14" s="2">
        <f>CD14+預測IC!CE14</f>
        <v>0.93685021389391954</v>
      </c>
      <c r="CF14" s="2">
        <f>CE14+預測IC!CF14</f>
        <v>0.98760598674104538</v>
      </c>
      <c r="CG14" s="2">
        <f>CF14+預測IC!CG14</f>
        <v>0.92244501834652826</v>
      </c>
      <c r="CH14" s="2">
        <f>CG14+預測IC!CH14</f>
        <v>0.99337763566106296</v>
      </c>
      <c r="CI14" s="2">
        <f>CH14+預測IC!CI14</f>
        <v>0.87953342118908695</v>
      </c>
      <c r="CJ14" s="2">
        <f>CI14+預測IC!CJ14</f>
        <v>0.88615422272724953</v>
      </c>
      <c r="CK14" s="2">
        <f>CJ14+預測IC!CK14</f>
        <v>0.94009691485432967</v>
      </c>
      <c r="CL14" s="2">
        <f>CK14+預測IC!CL14</f>
        <v>1.0046092878034369</v>
      </c>
      <c r="CM14" s="2">
        <f>CL14+預測IC!CM14</f>
        <v>0.96808870324283702</v>
      </c>
      <c r="CN14" s="2">
        <f>CM14+預測IC!CN14</f>
        <v>1.0138818053512804</v>
      </c>
      <c r="CO14" s="2">
        <f>CN14+預測IC!CO14</f>
        <v>0.94259107788583307</v>
      </c>
      <c r="CP14" s="2">
        <f>CO14+預測IC!CP14</f>
        <v>1.0092365185737289</v>
      </c>
      <c r="CQ14" s="2">
        <f>CP14+預測IC!CQ14</f>
        <v>1.0262205045571327</v>
      </c>
      <c r="CR14" s="2">
        <f>CQ14+預測IC!CR14</f>
        <v>0.98290086635316909</v>
      </c>
      <c r="CS14" s="2">
        <f>CR14+預測IC!CS14</f>
        <v>1.006328217653498</v>
      </c>
      <c r="CT14" s="2">
        <f>CS14+預測IC!CT14</f>
        <v>1.033506122289618</v>
      </c>
      <c r="CU14" s="2">
        <f>CT14+預測IC!CU14</f>
        <v>1.1639994415524673</v>
      </c>
      <c r="CV14" s="2">
        <f>CU14+預測IC!CV14</f>
        <v>1.0292596939206895</v>
      </c>
      <c r="CW14" s="2">
        <f>CV14+預測IC!CW14</f>
        <v>1.0704676372201403</v>
      </c>
      <c r="CX14" s="2">
        <f>CW14+預測IC!CX14</f>
        <v>1.0169081164601561</v>
      </c>
      <c r="CY14" s="2">
        <f>CX14+預測IC!CY14</f>
        <v>0.90723649269386375</v>
      </c>
      <c r="CZ14" s="2">
        <f>CY14+預測IC!CZ14</f>
        <v>0.86794096388244746</v>
      </c>
      <c r="DA14" s="2">
        <f>CZ14+預測IC!DA14</f>
        <v>0.86977487830629063</v>
      </c>
      <c r="DB14" s="2">
        <f>DA14+預測IC!DB14</f>
        <v>0.88067985132404802</v>
      </c>
      <c r="DC14" s="2">
        <f>DB14+預測IC!DC14</f>
        <v>0.86825888492993353</v>
      </c>
      <c r="DD14" s="2">
        <f>DC14+預測IC!DD14</f>
        <v>0.96699365334902665</v>
      </c>
      <c r="DE14" s="2">
        <f>DD14+預測IC!DE14</f>
        <v>0.93954943225467047</v>
      </c>
      <c r="DF14" s="2">
        <f>DE14+預測IC!DF14</f>
        <v>0.98196725095716975</v>
      </c>
      <c r="DG14" s="2">
        <f>DF14+預測IC!DG14</f>
        <v>1.0666004983355841</v>
      </c>
      <c r="DH14" s="2">
        <f>DG14+預測IC!DH14</f>
        <v>1.0992767358034516</v>
      </c>
      <c r="DI14" s="2">
        <f>DH14+預測IC!DI14</f>
        <v>1.0854227345674867</v>
      </c>
      <c r="DJ14" s="2">
        <f>DI14+預測IC!DJ14</f>
        <v>1.0947589461595109</v>
      </c>
      <c r="DK14" s="2">
        <f>DJ14+預測IC!DK14</f>
        <v>1.0716057364861917</v>
      </c>
      <c r="DL14" s="2">
        <f>DK14+預測IC!DL14</f>
        <v>1.111478369729179</v>
      </c>
      <c r="DM14" s="2">
        <f>DL14+預測IC!DM14</f>
        <v>1.1273580216880974</v>
      </c>
      <c r="DN14" s="2">
        <f>DM14+預測IC!DN14</f>
        <v>1.192038212898761</v>
      </c>
      <c r="DO14" s="2">
        <f>DN14+預測IC!DO14</f>
        <v>1.2595297678901207</v>
      </c>
      <c r="DP14" s="2">
        <f>DO14+預測IC!DP14</f>
        <v>1.29461399687489</v>
      </c>
      <c r="DQ14" s="2">
        <f>DP14+預測IC!DQ14</f>
        <v>1.2619684638587219</v>
      </c>
      <c r="DR14" s="2">
        <f>DQ14+預測IC!DR14</f>
        <v>1.2083546950095165</v>
      </c>
      <c r="DS14" s="2">
        <f>DR14+預測IC!DS14</f>
        <v>1.1398293871722998</v>
      </c>
      <c r="DT14" s="2">
        <f>DS14+預測IC!DT14</f>
        <v>1.1549546722727473</v>
      </c>
      <c r="DU14" s="2">
        <f>DT14+預測IC!DU14</f>
        <v>1.0672079809493473</v>
      </c>
      <c r="DV14" s="2">
        <f>DU14+預測IC!DV14</f>
        <v>1.0345048689374803</v>
      </c>
      <c r="DW14" s="2">
        <f>DV14+預測IC!DW14</f>
        <v>1.0247851831719432</v>
      </c>
      <c r="DX14" s="2">
        <f>DW14+預測IC!DX14</f>
        <v>1.1209230523357181</v>
      </c>
      <c r="DY14" s="2">
        <f>DX14+預測IC!DY14</f>
        <v>1.1498796803892786</v>
      </c>
      <c r="DZ14" s="2">
        <f>DY14+預測IC!DZ14</f>
        <v>1.137979584732246</v>
      </c>
      <c r="EA14" s="2">
        <f>DZ14+預測IC!EA14</f>
        <v>1.200922702988426</v>
      </c>
      <c r="EB14" s="2">
        <f>EA14+預測IC!EB14</f>
        <v>1.2855425196515102</v>
      </c>
      <c r="EC14" s="2">
        <f>EB14+預測IC!EC14</f>
        <v>1.2680685841561679</v>
      </c>
      <c r="ED14" s="2">
        <f>EC14+預測IC!ED14</f>
        <v>1.217927262086455</v>
      </c>
      <c r="EE14" s="2">
        <f>ED14+預測IC!EE14</f>
        <v>1.1727955464117275</v>
      </c>
      <c r="EF14" s="2">
        <f>EE14+預測IC!EF14</f>
        <v>1.1137199734250409</v>
      </c>
      <c r="EG14" s="2">
        <f>EF14+預測IC!EG14</f>
        <v>0.98775516175555556</v>
      </c>
      <c r="EH14" s="2">
        <f>EG14+預測IC!EH14</f>
        <v>0.99943321500645443</v>
      </c>
      <c r="EI14" s="2">
        <f>EH14+預測IC!EI14</f>
        <v>1.0498251075269858</v>
      </c>
      <c r="EJ14" s="2">
        <f>EI14+預測IC!EJ14</f>
        <v>1.0598787547942001</v>
      </c>
      <c r="EK14" s="2">
        <f>EJ14+預測IC!EK14</f>
        <v>1.1376683994995846</v>
      </c>
      <c r="EL14" s="2">
        <f>EK14+預測IC!EL14</f>
        <v>1.0898972070813022</v>
      </c>
    </row>
    <row r="15" spans="1:142" x14ac:dyDescent="0.3">
      <c r="A15" s="17">
        <v>110</v>
      </c>
      <c r="B15" s="17">
        <f t="shared" si="10"/>
        <v>10</v>
      </c>
      <c r="C15" s="2">
        <v>-9.5037535583778296E-2</v>
      </c>
      <c r="D15" s="2">
        <f>C15+預測IC!D15</f>
        <v>7.8751377282507598E-2</v>
      </c>
      <c r="E15" s="2">
        <f>D15+預測IC!E15</f>
        <v>4.2273082458134791E-2</v>
      </c>
      <c r="F15" s="2">
        <f>E15+預測IC!F15</f>
        <v>0.11469733836086207</v>
      </c>
      <c r="G15" s="2">
        <f>F15+預測IC!G15</f>
        <v>0.11216155859482643</v>
      </c>
      <c r="H15" s="2">
        <f>G15+預測IC!H15</f>
        <v>0.12849896490330012</v>
      </c>
      <c r="I15" s="2">
        <f>H15+預測IC!I15</f>
        <v>2.0258009089041407E-4</v>
      </c>
      <c r="J15" s="2">
        <f>I15+預測IC!J15</f>
        <v>0.1355612425340337</v>
      </c>
      <c r="K15" s="2">
        <f>J15+預測IC!K15</f>
        <v>0.18141733721326109</v>
      </c>
      <c r="L15" s="2">
        <f>K15+預測IC!L15</f>
        <v>7.790921515450619E-2</v>
      </c>
      <c r="M15" s="2">
        <f>L15+預測IC!M15</f>
        <v>0.13420507402219925</v>
      </c>
      <c r="N15" s="2">
        <f>M15+預測IC!N15</f>
        <v>0.22397739066396616</v>
      </c>
      <c r="O15" s="2">
        <f>N15+預測IC!O15</f>
        <v>0.27650265615581771</v>
      </c>
      <c r="P15" s="2">
        <f>O15+預測IC!P15</f>
        <v>0.32278609042363093</v>
      </c>
      <c r="Q15" s="2">
        <f>P15+預測IC!Q15</f>
        <v>0.4398436257474958</v>
      </c>
      <c r="R15" s="2">
        <f>Q15+預測IC!R15</f>
        <v>0.52551690605681545</v>
      </c>
      <c r="S15" s="2">
        <f>R15+預測IC!S15</f>
        <v>0.70575305078492911</v>
      </c>
      <c r="T15" s="2">
        <f>S15+預測IC!T15</f>
        <v>0.76395153755321754</v>
      </c>
      <c r="U15" s="2">
        <f>T15+預測IC!U15</f>
        <v>0.90191459389413342</v>
      </c>
      <c r="V15" s="2">
        <f>U15+預測IC!V15</f>
        <v>0.84131459820443477</v>
      </c>
      <c r="W15" s="2">
        <f>V15+預測IC!W15</f>
        <v>0.85675557590162621</v>
      </c>
      <c r="X15" s="2">
        <f>W15+預測IC!X15</f>
        <v>0.75231659685992913</v>
      </c>
      <c r="Y15" s="2">
        <f>X15+預測IC!Y15</f>
        <v>0.74109979189232877</v>
      </c>
      <c r="Z15" s="2">
        <f>Y15+預測IC!Z15</f>
        <v>0.78946616128841218</v>
      </c>
      <c r="AA15" s="2">
        <f>Z15+預測IC!AA15</f>
        <v>0.73488670791625188</v>
      </c>
      <c r="AB15" s="2">
        <f>AA15+預測IC!AB15</f>
        <v>0.66051489345762593</v>
      </c>
      <c r="AC15" s="2">
        <f>AB15+預測IC!AC15</f>
        <v>0.62663164740099786</v>
      </c>
      <c r="AD15" s="2">
        <f>AC15+預測IC!AD15</f>
        <v>0.57962428882397932</v>
      </c>
      <c r="AE15" s="2">
        <f>AD15+預測IC!AE15</f>
        <v>0.75564745641040187</v>
      </c>
      <c r="AF15" s="2">
        <f>AE15+預測IC!AF15</f>
        <v>0.62316075162869433</v>
      </c>
      <c r="AG15" s="2">
        <f>AF15+預測IC!AG15</f>
        <v>0.64720875753467932</v>
      </c>
      <c r="AH15" s="2">
        <f>AG15+預測IC!AH15</f>
        <v>0.6942994503303167</v>
      </c>
      <c r="AI15" s="2">
        <f>AH15+預測IC!AI15</f>
        <v>0.6757269224346153</v>
      </c>
      <c r="AJ15" s="2">
        <f>AI15+預測IC!AJ15</f>
        <v>0.72870134987508672</v>
      </c>
      <c r="AK15" s="2">
        <f>AJ15+預測IC!AK15</f>
        <v>0.78666529102451466</v>
      </c>
      <c r="AL15" s="2">
        <f>AK15+預測IC!AL15</f>
        <v>0.84137375819716942</v>
      </c>
      <c r="AM15" s="2">
        <f>AL15+預測IC!AM15</f>
        <v>0.84624710415033666</v>
      </c>
      <c r="AN15" s="2">
        <f>AM15+預測IC!AN15</f>
        <v>0.96495107046278394</v>
      </c>
      <c r="AO15" s="2">
        <f>AN15+預測IC!AO15</f>
        <v>1.008749417549923</v>
      </c>
      <c r="AP15" s="2">
        <f>AO15+預測IC!AP15</f>
        <v>1.065706673699137</v>
      </c>
      <c r="AQ15" s="2">
        <f>AP15+預測IC!AQ15</f>
        <v>1.1038091424537049</v>
      </c>
      <c r="AR15" s="2">
        <f>AQ15+預測IC!AR15</f>
        <v>1.1151275119412061</v>
      </c>
      <c r="AS15" s="2">
        <f>AR15+預測IC!AS15</f>
        <v>1.1801563155604562</v>
      </c>
      <c r="AT15" s="2">
        <f>AS15+預測IC!AT15</f>
        <v>1.3879952734295926</v>
      </c>
      <c r="AU15" s="2">
        <f>AT15+預測IC!AU15</f>
        <v>1.4789280014592019</v>
      </c>
      <c r="AV15" s="2">
        <f>AU15+預測IC!AV15</f>
        <v>1.4323530884681996</v>
      </c>
      <c r="AW15" s="2">
        <f>AV15+預測IC!AW15</f>
        <v>1.4077927281536478</v>
      </c>
      <c r="AX15" s="2">
        <f>AW15+預測IC!AX15</f>
        <v>1.5218724213004962</v>
      </c>
      <c r="AY15" s="2">
        <f>AX15+預測IC!AY15</f>
        <v>1.5295693196100204</v>
      </c>
      <c r="AZ15" s="2">
        <f>AY15+預測IC!AZ15</f>
        <v>1.4880900251928724</v>
      </c>
      <c r="BA15" s="2">
        <f>AZ15+預測IC!BA15</f>
        <v>1.504547963686337</v>
      </c>
      <c r="BB15" s="2">
        <f>BA15+預測IC!BB15</f>
        <v>1.5955838944162264</v>
      </c>
      <c r="BC15" s="2">
        <f>BB15+預測IC!BC15</f>
        <v>1.6631247782164684</v>
      </c>
      <c r="BD15" s="2">
        <f>BC15+預測IC!BD15</f>
        <v>1.7472816989459603</v>
      </c>
      <c r="BE15" s="2">
        <f>BD15+預測IC!BE15</f>
        <v>1.683948860100523</v>
      </c>
      <c r="BF15" s="2">
        <f>BE15+預測IC!BF15</f>
        <v>1.9110492635878189</v>
      </c>
      <c r="BG15" s="2">
        <f>BF15+預測IC!BG15</f>
        <v>1.9541296446310703</v>
      </c>
      <c r="BH15" s="2">
        <f>BG15+預測IC!BH15</f>
        <v>2.0046938998250097</v>
      </c>
      <c r="BI15" s="2">
        <f>BH15+預測IC!BI15</f>
        <v>2.0665573040458325</v>
      </c>
      <c r="BJ15" s="2">
        <f>BI15+預測IC!BJ15</f>
        <v>2.1127123388197577</v>
      </c>
      <c r="BK15" s="2">
        <f>BJ15+預測IC!BK15</f>
        <v>2.0085747843175459</v>
      </c>
      <c r="BL15" s="2">
        <f>BK15+預測IC!BL15</f>
        <v>2.0844665002522902</v>
      </c>
      <c r="BM15" s="2">
        <f>BL15+預測IC!BM15</f>
        <v>2.1389593321661184</v>
      </c>
      <c r="BN15" s="2">
        <f>BM15+預測IC!BN15</f>
        <v>2.1855405020665959</v>
      </c>
      <c r="BO15" s="2">
        <f>BN15+預測IC!BO15</f>
        <v>2.1541451285919817</v>
      </c>
      <c r="BP15" s="2">
        <f>BO15+預測IC!BP15</f>
        <v>2.178483557968605</v>
      </c>
      <c r="BQ15" s="2">
        <f>BP15+預測IC!BQ15</f>
        <v>2.1181721853353235</v>
      </c>
      <c r="BR15" s="2">
        <f>BQ15+預測IC!BR15</f>
        <v>2.043115189522775</v>
      </c>
      <c r="BS15" s="2">
        <f>BR15+預測IC!BS15</f>
        <v>2.0391364115230766</v>
      </c>
      <c r="BT15" s="2">
        <f>BS15+預測IC!BT15</f>
        <v>1.9899091701020206</v>
      </c>
      <c r="BU15" s="2">
        <f>BT15+預測IC!BU15</f>
        <v>1.982648288000235</v>
      </c>
      <c r="BV15" s="2">
        <f>BU15+預測IC!BV15</f>
        <v>1.9187998652298279</v>
      </c>
      <c r="BW15" s="2">
        <f>BV15+預測IC!BW15</f>
        <v>1.8888394326776534</v>
      </c>
      <c r="BX15" s="2">
        <f>BW15+預測IC!BX15</f>
        <v>1.8967489731758664</v>
      </c>
      <c r="BY15" s="2">
        <f>BX15+預測IC!BY15</f>
        <v>1.779727469528781</v>
      </c>
      <c r="BZ15" s="2">
        <f>BY15+預測IC!BZ15</f>
        <v>1.6929547090710417</v>
      </c>
      <c r="CA15" s="2">
        <f>BZ15+預測IC!CA15</f>
        <v>1.6990398586392264</v>
      </c>
      <c r="CB15" s="2">
        <f>CA15+預測IC!CB15</f>
        <v>1.6464278769916509</v>
      </c>
      <c r="CC15" s="2">
        <f>CB15+預測IC!CC15</f>
        <v>1.5386006201284361</v>
      </c>
      <c r="CD15" s="2">
        <f>CC15+預測IC!CD15</f>
        <v>1.5604055518713471</v>
      </c>
      <c r="CE15" s="2">
        <f>CD15+預測IC!CE15</f>
        <v>1.4553945953808394</v>
      </c>
      <c r="CF15" s="2">
        <f>CE15+預測IC!CF15</f>
        <v>1.5418389576712996</v>
      </c>
      <c r="CG15" s="2">
        <f>CF15+預測IC!CG15</f>
        <v>1.4379296374146608</v>
      </c>
      <c r="CH15" s="2">
        <f>CG15+預測IC!CH15</f>
        <v>1.4947550679624155</v>
      </c>
      <c r="CI15" s="2">
        <f>CH15+預測IC!CI15</f>
        <v>1.4576101226420606</v>
      </c>
      <c r="CJ15" s="2">
        <f>CI15+預測IC!CJ15</f>
        <v>1.5015822265455692</v>
      </c>
      <c r="CK15" s="2">
        <f>CJ15+預測IC!CK15</f>
        <v>1.6450040532523102</v>
      </c>
      <c r="CL15" s="2">
        <f>CK15+預測IC!CL15</f>
        <v>1.7401418708509149</v>
      </c>
      <c r="CM15" s="2">
        <f>CL15+預測IC!CM15</f>
        <v>1.7139811303409451</v>
      </c>
      <c r="CN15" s="2">
        <f>CM15+預測IC!CN15</f>
        <v>1.7998532631886599</v>
      </c>
      <c r="CO15" s="2">
        <f>CN15+預測IC!CO15</f>
        <v>1.6047571914790144</v>
      </c>
      <c r="CP15" s="2">
        <f>CO15+預測IC!CP15</f>
        <v>1.6835822763975758</v>
      </c>
      <c r="CQ15" s="2">
        <f>CP15+預測IC!CQ15</f>
        <v>1.6900305658274868</v>
      </c>
      <c r="CR15" s="2">
        <f>CQ15+預測IC!CR15</f>
        <v>1.581145283025069</v>
      </c>
      <c r="CS15" s="2">
        <f>CR15+預測IC!CS15</f>
        <v>1.6057939536857306</v>
      </c>
      <c r="CT15" s="2">
        <f>CS15+預測IC!CT15</f>
        <v>1.6372204635184822</v>
      </c>
      <c r="CU15" s="2">
        <f>CT15+預測IC!CU15</f>
        <v>1.7976165180645673</v>
      </c>
      <c r="CV15" s="2">
        <f>CU15+預測IC!CV15</f>
        <v>1.6387802427749303</v>
      </c>
      <c r="CW15" s="2">
        <f>CV15+預測IC!CW15</f>
        <v>1.6699494533990036</v>
      </c>
      <c r="CX15" s="2">
        <f>CW15+預測IC!CX15</f>
        <v>1.5842391106318729</v>
      </c>
      <c r="CY15" s="2">
        <f>CX15+預測IC!CY15</f>
        <v>1.5160814207513087</v>
      </c>
      <c r="CZ15" s="2">
        <f>CY15+預測IC!CZ15</f>
        <v>1.5215384677319497</v>
      </c>
      <c r="DA15" s="2">
        <f>CZ15+預測IC!DA15</f>
        <v>1.4987201136893566</v>
      </c>
      <c r="DB15" s="2">
        <f>DA15+預測IC!DB15</f>
        <v>1.5269574911256001</v>
      </c>
      <c r="DC15" s="2">
        <f>DB15+預測IC!DC15</f>
        <v>1.5093591147115948</v>
      </c>
      <c r="DD15" s="2">
        <f>DC15+預測IC!DD15</f>
        <v>1.5763559188212566</v>
      </c>
      <c r="DE15" s="2">
        <f>DD15+預測IC!DE15</f>
        <v>1.5512344774093216</v>
      </c>
      <c r="DF15" s="2">
        <f>DE15+預測IC!DF15</f>
        <v>1.5607877568921158</v>
      </c>
      <c r="DG15" s="2">
        <f>DF15+預測IC!DG15</f>
        <v>1.6587970689743905</v>
      </c>
      <c r="DH15" s="2">
        <f>DG15+預測IC!DH15</f>
        <v>1.660318234503616</v>
      </c>
      <c r="DI15" s="2">
        <f>DH15+預測IC!DI15</f>
        <v>1.6318497677985644</v>
      </c>
      <c r="DJ15" s="2">
        <f>DI15+預測IC!DJ15</f>
        <v>1.5690707985851744</v>
      </c>
      <c r="DK15" s="2">
        <f>DJ15+預測IC!DK15</f>
        <v>1.5485957043344187</v>
      </c>
      <c r="DL15" s="2">
        <f>DK15+預測IC!DL15</f>
        <v>1.5937700982355176</v>
      </c>
      <c r="DM15" s="2">
        <f>DL15+預測IC!DM15</f>
        <v>1.5413600259656435</v>
      </c>
      <c r="DN15" s="2">
        <f>DM15+預測IC!DN15</f>
        <v>1.6525345593947307</v>
      </c>
      <c r="DO15" s="2">
        <f>DN15+預測IC!DO15</f>
        <v>1.6945702917327947</v>
      </c>
      <c r="DP15" s="2">
        <f>DO15+預測IC!DP15</f>
        <v>1.6819745131495671</v>
      </c>
      <c r="DQ15" s="2">
        <f>DP15+預測IC!DQ15</f>
        <v>1.6559827426800413</v>
      </c>
      <c r="DR15" s="2">
        <f>DQ15+預測IC!DR15</f>
        <v>1.6302845676252213</v>
      </c>
      <c r="DS15" s="2">
        <f>DR15+預測IC!DS15</f>
        <v>1.5999261980567505</v>
      </c>
      <c r="DT15" s="2">
        <f>DS15+預測IC!DT15</f>
        <v>1.6223816547013228</v>
      </c>
      <c r="DU15" s="2">
        <f>DT15+預測IC!DU15</f>
        <v>1.4666767720395066</v>
      </c>
      <c r="DV15" s="2">
        <f>DU15+預測IC!DV15</f>
        <v>1.4578677629774981</v>
      </c>
      <c r="DW15" s="2">
        <f>DV15+預測IC!DW15</f>
        <v>1.4416700603815109</v>
      </c>
      <c r="DX15" s="2">
        <f>DW15+預測IC!DX15</f>
        <v>1.4796744660031975</v>
      </c>
      <c r="DY15" s="2">
        <f>DX15+預測IC!DY15</f>
        <v>1.399874270328866</v>
      </c>
      <c r="DZ15" s="2">
        <f>DY15+預測IC!DZ15</f>
        <v>1.3591152199392733</v>
      </c>
      <c r="EA15" s="2">
        <f>DZ15+預測IC!EA15</f>
        <v>1.4238554986370857</v>
      </c>
      <c r="EB15" s="2">
        <f>EA15+預測IC!EB15</f>
        <v>1.5372207521581751</v>
      </c>
      <c r="EC15" s="2">
        <f>EB15+預測IC!EC15</f>
        <v>1.454261668073946</v>
      </c>
      <c r="ED15" s="2">
        <f>EC15+預測IC!ED15</f>
        <v>1.3586809998051608</v>
      </c>
      <c r="EE15" s="2">
        <f>ED15+預測IC!EE15</f>
        <v>1.3025901301318061</v>
      </c>
      <c r="EF15" s="2">
        <f>EE15+預測IC!EF15</f>
        <v>1.2576771809530842</v>
      </c>
      <c r="EG15" s="2">
        <f>EF15+預測IC!EG15</f>
        <v>0.99622843937414807</v>
      </c>
      <c r="EH15" s="2">
        <f>EG15+預測IC!EH15</f>
        <v>1.0195787926104023</v>
      </c>
      <c r="EI15" s="2">
        <f>EH15+預測IC!EI15</f>
        <v>0.99248048533483113</v>
      </c>
      <c r="EJ15" s="2">
        <f>EI15+預測IC!EJ15</f>
        <v>1.003434553955344</v>
      </c>
      <c r="EK15" s="2">
        <f>EJ15+預測IC!EK15</f>
        <v>1.1175342507676922</v>
      </c>
      <c r="EL15" s="2">
        <f>EK15+預測IC!EL15</f>
        <v>1.1590919312689292</v>
      </c>
    </row>
    <row r="16" spans="1:142" x14ac:dyDescent="0.3">
      <c r="A16" s="17">
        <v>120</v>
      </c>
      <c r="B16" s="17">
        <f t="shared" si="10"/>
        <v>9</v>
      </c>
      <c r="C16" s="2">
        <v>-9.71680377431344E-2</v>
      </c>
      <c r="D16" s="2">
        <f>C16+預測IC!D16</f>
        <v>8.7090470666445596E-2</v>
      </c>
      <c r="E16" s="2">
        <f>D16+預測IC!E16</f>
        <v>8.8345110484346304E-2</v>
      </c>
      <c r="F16" s="2">
        <f>E16+預測IC!F16</f>
        <v>0.18989021787590721</v>
      </c>
      <c r="G16" s="2">
        <f>F16+預測IC!G16</f>
        <v>0.1015418357603896</v>
      </c>
      <c r="H16" s="2">
        <f>G16+預測IC!H16</f>
        <v>0.12740417609151825</v>
      </c>
      <c r="I16" s="2">
        <f>H16+預測IC!I16</f>
        <v>-1.1224171939773153E-2</v>
      </c>
      <c r="J16" s="2">
        <f>I16+預測IC!J16</f>
        <v>0.13863660493334476</v>
      </c>
      <c r="K16" s="2">
        <f>J16+預測IC!K16</f>
        <v>0.17414901982282133</v>
      </c>
      <c r="L16" s="2">
        <f>K16+預測IC!L16</f>
        <v>8.1642859805709678E-2</v>
      </c>
      <c r="M16" s="2">
        <f>L16+預測IC!M16</f>
        <v>0.13556895180467676</v>
      </c>
      <c r="N16" s="2">
        <f>M16+預測IC!N16</f>
        <v>0.22235994792199881</v>
      </c>
      <c r="O16" s="2">
        <f>N16+預測IC!O16</f>
        <v>0.29735794100694024</v>
      </c>
      <c r="P16" s="2">
        <f>O16+預測IC!P16</f>
        <v>0.33680348114636338</v>
      </c>
      <c r="Q16" s="2">
        <f>P16+預測IC!Q16</f>
        <v>0.46121685274505747</v>
      </c>
      <c r="R16" s="2">
        <f>Q16+預測IC!R16</f>
        <v>0.52911360738689839</v>
      </c>
      <c r="S16" s="2">
        <f>R16+預測IC!S16</f>
        <v>0.72534306992806763</v>
      </c>
      <c r="T16" s="2">
        <f>S16+預測IC!T16</f>
        <v>0.81956979608166047</v>
      </c>
      <c r="U16" s="2">
        <f>T16+預測IC!U16</f>
        <v>0.96323041716792934</v>
      </c>
      <c r="V16" s="2">
        <f>U16+預測IC!V16</f>
        <v>0.88793453493930241</v>
      </c>
      <c r="W16" s="2">
        <f>V16+預測IC!W16</f>
        <v>0.95067857766046637</v>
      </c>
      <c r="X16" s="2">
        <f>W16+預測IC!X16</f>
        <v>0.84883830790287729</v>
      </c>
      <c r="Y16" s="2">
        <f>X16+預測IC!Y16</f>
        <v>0.83260109226923851</v>
      </c>
      <c r="Z16" s="2">
        <f>Y16+預測IC!Z16</f>
        <v>0.88108962108389666</v>
      </c>
      <c r="AA16" s="2">
        <f>Z16+預測IC!AA16</f>
        <v>0.83495668759376607</v>
      </c>
      <c r="AB16" s="2">
        <f>AA16+預測IC!AB16</f>
        <v>0.75127734406030411</v>
      </c>
      <c r="AC16" s="2">
        <f>AB16+預測IC!AC16</f>
        <v>0.72619072191749312</v>
      </c>
      <c r="AD16" s="2">
        <f>AC16+預測IC!AD16</f>
        <v>0.71430718794895653</v>
      </c>
      <c r="AE16" s="2">
        <f>AD16+預測IC!AE16</f>
        <v>0.90867736149325362</v>
      </c>
      <c r="AF16" s="2">
        <f>AE16+預測IC!AF16</f>
        <v>0.76597617788112338</v>
      </c>
      <c r="AG16" s="2">
        <f>AF16+預測IC!AG16</f>
        <v>0.79696094078788282</v>
      </c>
      <c r="AH16" s="2">
        <f>AG16+預測IC!AH16</f>
        <v>0.85553791218083586</v>
      </c>
      <c r="AI16" s="2">
        <f>AH16+預測IC!AI16</f>
        <v>0.83038669773130391</v>
      </c>
      <c r="AJ16" s="2">
        <f>AI16+預測IC!AJ16</f>
        <v>0.88942910047707979</v>
      </c>
      <c r="AK16" s="2">
        <f>AJ16+預測IC!AK16</f>
        <v>0.95385050130945181</v>
      </c>
      <c r="AL16" s="2">
        <f>AK16+預測IC!AL16</f>
        <v>0.98755832643246111</v>
      </c>
      <c r="AM16" s="2">
        <f>AL16+預測IC!AM16</f>
        <v>0.98573318259870324</v>
      </c>
      <c r="AN16" s="2">
        <f>AM16+預測IC!AN16</f>
        <v>1.1231360965061861</v>
      </c>
      <c r="AO16" s="2">
        <f>AN16+預測IC!AO16</f>
        <v>1.1870647995614281</v>
      </c>
      <c r="AP16" s="2">
        <f>AO16+預測IC!AP16</f>
        <v>1.2644659485401912</v>
      </c>
      <c r="AQ16" s="2">
        <f>AP16+預測IC!AQ16</f>
        <v>1.3161209656889852</v>
      </c>
      <c r="AR16" s="2">
        <f>AQ16+預測IC!AR16</f>
        <v>1.3380740127164374</v>
      </c>
      <c r="AS16" s="2">
        <f>AR16+預測IC!AS16</f>
        <v>1.4037941045648152</v>
      </c>
      <c r="AT16" s="2">
        <f>AS16+預測IC!AT16</f>
        <v>1.6251149416089057</v>
      </c>
      <c r="AU16" s="2">
        <f>AT16+預測IC!AU16</f>
        <v>1.7399497132010771</v>
      </c>
      <c r="AV16" s="2">
        <f>AU16+預測IC!AV16</f>
        <v>1.6748916837609349</v>
      </c>
      <c r="AW16" s="2">
        <f>AV16+預測IC!AW16</f>
        <v>1.675354995463642</v>
      </c>
      <c r="AX16" s="2">
        <f>AW16+預測IC!AX16</f>
        <v>1.78895059237559</v>
      </c>
      <c r="AY16" s="2">
        <f>AX16+預測IC!AY16</f>
        <v>1.7842391939571107</v>
      </c>
      <c r="AZ16" s="2">
        <f>AY16+預測IC!AZ16</f>
        <v>1.7660837956963362</v>
      </c>
      <c r="BA16" s="2">
        <f>AZ16+預測IC!BA16</f>
        <v>1.7781807815044781</v>
      </c>
      <c r="BB16" s="2">
        <f>BA16+預測IC!BB16</f>
        <v>1.8946682866211209</v>
      </c>
      <c r="BC16" s="2">
        <f>BB16+預測IC!BC16</f>
        <v>1.9600606171574206</v>
      </c>
      <c r="BD16" s="2">
        <f>BC16+預測IC!BD16</f>
        <v>2.0508480084770975</v>
      </c>
      <c r="BE16" s="2">
        <f>BD16+預測IC!BE16</f>
        <v>1.9950984237173175</v>
      </c>
      <c r="BF16" s="2">
        <f>BE16+預測IC!BF16</f>
        <v>2.1310025287406602</v>
      </c>
      <c r="BG16" s="2">
        <f>BF16+預測IC!BG16</f>
        <v>2.1879323310986889</v>
      </c>
      <c r="BH16" s="2">
        <f>BG16+預測IC!BH16</f>
        <v>2.2208420859186364</v>
      </c>
      <c r="BI16" s="2">
        <f>BH16+預測IC!BI16</f>
        <v>2.2920924740542734</v>
      </c>
      <c r="BJ16" s="2">
        <f>BI16+預測IC!BJ16</f>
        <v>2.3432574579854988</v>
      </c>
      <c r="BK16" s="2">
        <f>BJ16+預測IC!BK16</f>
        <v>2.2407082415636168</v>
      </c>
      <c r="BL16" s="2">
        <f>BK16+預測IC!BL16</f>
        <v>2.3101046401009606</v>
      </c>
      <c r="BM16" s="2">
        <f>BL16+預測IC!BM16</f>
        <v>2.3545662342848552</v>
      </c>
      <c r="BN16" s="2">
        <f>BM16+預測IC!BN16</f>
        <v>2.3994075637302221</v>
      </c>
      <c r="BO16" s="2">
        <f>BN16+預測IC!BO16</f>
        <v>2.3737064848439666</v>
      </c>
      <c r="BP16" s="2">
        <f>BO16+預測IC!BP16</f>
        <v>2.4086264976661078</v>
      </c>
      <c r="BQ16" s="2">
        <f>BP16+預測IC!BQ16</f>
        <v>2.3466943399170939</v>
      </c>
      <c r="BR16" s="2">
        <f>BQ16+預測IC!BR16</f>
        <v>2.2861050418380189</v>
      </c>
      <c r="BS16" s="2">
        <f>BR16+預測IC!BS16</f>
        <v>2.2940062810150756</v>
      </c>
      <c r="BT16" s="2">
        <f>BS16+預測IC!BT16</f>
        <v>2.2438466867080376</v>
      </c>
      <c r="BU16" s="2">
        <f>BT16+預測IC!BU16</f>
        <v>2.2586676293114154</v>
      </c>
      <c r="BV16" s="2">
        <f>BU16+預測IC!BV16</f>
        <v>2.2210892552148254</v>
      </c>
      <c r="BW16" s="2">
        <f>BV16+預測IC!BW16</f>
        <v>2.1823419695034092</v>
      </c>
      <c r="BX16" s="2">
        <f>BW16+預測IC!BX16</f>
        <v>2.1742427258989396</v>
      </c>
      <c r="BY16" s="2">
        <f>BX16+預測IC!BY16</f>
        <v>2.0426167129818111</v>
      </c>
      <c r="BZ16" s="2">
        <f>BY16+預測IC!BZ16</f>
        <v>1.9626821410785691</v>
      </c>
      <c r="CA16" s="2">
        <f>BZ16+預測IC!CA16</f>
        <v>1.9848248406699773</v>
      </c>
      <c r="CB16" s="2">
        <f>CA16+預測IC!CB16</f>
        <v>1.9253588705040328</v>
      </c>
      <c r="CC16" s="2">
        <f>CB16+預測IC!CC16</f>
        <v>1.8071087108811235</v>
      </c>
      <c r="CD16" s="2">
        <f>CC16+預測IC!CD16</f>
        <v>1.825654305985337</v>
      </c>
      <c r="CE16" s="2">
        <f>CD16+預測IC!CE16</f>
        <v>1.7047720540822577</v>
      </c>
      <c r="CF16" s="2">
        <f>CE16+預測IC!CF16</f>
        <v>1.7830784418369512</v>
      </c>
      <c r="CG16" s="2">
        <f>CF16+預測IC!CG16</f>
        <v>1.6671016225640063</v>
      </c>
      <c r="CH16" s="2">
        <f>CG16+預測IC!CH16</f>
        <v>1.7362195415448989</v>
      </c>
      <c r="CI16" s="2">
        <f>CH16+預測IC!CI16</f>
        <v>1.6871298002948651</v>
      </c>
      <c r="CJ16" s="2">
        <f>CI16+預測IC!CJ16</f>
        <v>1.7438729804159983</v>
      </c>
      <c r="CK16" s="2">
        <f>CJ16+預測IC!CK16</f>
        <v>1.8853428829673495</v>
      </c>
      <c r="CL16" s="2">
        <f>CK16+預測IC!CL16</f>
        <v>1.9985998507460483</v>
      </c>
      <c r="CM16" s="2">
        <f>CL16+預測IC!CM16</f>
        <v>1.9773359609434422</v>
      </c>
      <c r="CN16" s="2">
        <f>CM16+預測IC!CN16</f>
        <v>2.0387158358807675</v>
      </c>
      <c r="CO16" s="2">
        <f>CN16+預測IC!CO16</f>
        <v>1.8285602351257866</v>
      </c>
      <c r="CP16" s="2">
        <f>CO16+預測IC!CP16</f>
        <v>1.9089663781011943</v>
      </c>
      <c r="CQ16" s="2">
        <f>CP16+預測IC!CQ16</f>
        <v>1.9846263467253995</v>
      </c>
      <c r="CR16" s="2">
        <f>CQ16+預測IC!CR16</f>
        <v>1.8750431181402769</v>
      </c>
      <c r="CS16" s="2">
        <f>CR16+預測IC!CS16</f>
        <v>1.8904561632614041</v>
      </c>
      <c r="CT16" s="2">
        <f>CS16+預測IC!CT16</f>
        <v>1.922320405509629</v>
      </c>
      <c r="CU16" s="2">
        <f>CT16+預測IC!CU16</f>
        <v>2.0816067186256944</v>
      </c>
      <c r="CV16" s="2">
        <f>CU16+預測IC!CV16</f>
        <v>1.949164386726258</v>
      </c>
      <c r="CW16" s="2">
        <f>CV16+預測IC!CW16</f>
        <v>2.0049649077722735</v>
      </c>
      <c r="CX16" s="2">
        <f>CW16+預測IC!CX16</f>
        <v>1.8789469485148567</v>
      </c>
      <c r="CY16" s="2">
        <f>CX16+預測IC!CY16</f>
        <v>1.8000108314989345</v>
      </c>
      <c r="CZ16" s="2">
        <f>CY16+預測IC!CZ16</f>
        <v>1.7733648635081305</v>
      </c>
      <c r="DA16" s="2">
        <f>CZ16+預測IC!DA16</f>
        <v>1.7389453707207643</v>
      </c>
      <c r="DB16" s="2">
        <f>DA16+預測IC!DB16</f>
        <v>1.7743871567312988</v>
      </c>
      <c r="DC16" s="2">
        <f>DB16+預測IC!DC16</f>
        <v>1.7587919804538652</v>
      </c>
      <c r="DD16" s="2">
        <f>DC16+預測IC!DD16</f>
        <v>1.8405552528607558</v>
      </c>
      <c r="DE16" s="2">
        <f>DD16+預測IC!DE16</f>
        <v>1.8143415076238345</v>
      </c>
      <c r="DF16" s="2">
        <f>DE16+預測IC!DF16</f>
        <v>1.802868701866102</v>
      </c>
      <c r="DG16" s="2">
        <f>DF16+預測IC!DG16</f>
        <v>1.8915714641063617</v>
      </c>
      <c r="DH16" s="2">
        <f>DG16+預測IC!DH16</f>
        <v>1.8971447532499546</v>
      </c>
      <c r="DI16" s="2">
        <f>DH16+預測IC!DI16</f>
        <v>1.8569981459361702</v>
      </c>
      <c r="DJ16" s="2">
        <f>DI16+預測IC!DJ16</f>
        <v>1.7974796896173924</v>
      </c>
      <c r="DK16" s="2">
        <f>DJ16+預測IC!DK16</f>
        <v>1.7939174923678411</v>
      </c>
      <c r="DL16" s="2">
        <f>DK16+預測IC!DL16</f>
        <v>1.8035444232403173</v>
      </c>
      <c r="DM16" s="2">
        <f>DL16+預測IC!DM16</f>
        <v>1.7529533604038128</v>
      </c>
      <c r="DN16" s="2">
        <f>DM16+預測IC!DN16</f>
        <v>1.8559538461161467</v>
      </c>
      <c r="DO16" s="2">
        <f>DN16+預測IC!DO16</f>
        <v>1.9113302865836657</v>
      </c>
      <c r="DP16" s="2">
        <f>DO16+預測IC!DP16</f>
        <v>1.9292531754849722</v>
      </c>
      <c r="DQ16" s="2">
        <f>DP16+預測IC!DQ16</f>
        <v>1.9044142798711519</v>
      </c>
      <c r="DR16" s="2">
        <f>DQ16+預測IC!DR16</f>
        <v>1.8665827829385377</v>
      </c>
      <c r="DS16" s="2">
        <f>DR16+預測IC!DS16</f>
        <v>1.8422085208861614</v>
      </c>
      <c r="DT16" s="2">
        <f>DS16+預測IC!DT16</f>
        <v>1.901141856380129</v>
      </c>
      <c r="DU16" s="2">
        <f>DT16+預測IC!DU16</f>
        <v>1.7232285180544291</v>
      </c>
      <c r="DV16" s="2">
        <f>DU16+預測IC!DV16</f>
        <v>1.7196321123166434</v>
      </c>
      <c r="DW16" s="2">
        <f>DV16+預測IC!DW16</f>
        <v>1.6910872432392596</v>
      </c>
      <c r="DX16" s="2">
        <f>DW16+預測IC!DX16</f>
        <v>1.7353059182413126</v>
      </c>
      <c r="DY16" s="2">
        <f>DX16+預測IC!DY16</f>
        <v>1.6457242397953291</v>
      </c>
      <c r="DZ16" s="2">
        <f>DY16+預測IC!DZ16</f>
        <v>1.607726994542191</v>
      </c>
      <c r="EA16" s="2">
        <f>DZ16+預測IC!EA16</f>
        <v>1.6919615170218181</v>
      </c>
      <c r="EB16" s="2">
        <f>EA16+預測IC!EB16</f>
        <v>1.8030600524613374</v>
      </c>
      <c r="EC16" s="2">
        <f>EB16+預測IC!EC16</f>
        <v>1.7207755102308981</v>
      </c>
      <c r="ED16" s="2">
        <f>EC16+預測IC!ED16</f>
        <v>1.6225062043751446</v>
      </c>
      <c r="EE16" s="2">
        <f>ED16+預測IC!EE16</f>
        <v>1.5639769782232851</v>
      </c>
      <c r="EF16" s="2">
        <f>EE16+預測IC!EF16</f>
        <v>1.5037343382503552</v>
      </c>
      <c r="EG16" s="2">
        <f>EF16+預測IC!EG16</f>
        <v>1.2226698437230306</v>
      </c>
      <c r="EH16" s="2">
        <f>EG16+預測IC!EH16</f>
        <v>1.2432038056594346</v>
      </c>
      <c r="EI16" s="2">
        <f>EH16+預測IC!EI16</f>
        <v>1.2129038316427121</v>
      </c>
      <c r="EJ16" s="2">
        <f>EI16+預測IC!EJ16</f>
        <v>1.2395882607184177</v>
      </c>
      <c r="EK16" s="2">
        <f>EJ16+預測IC!EK16</f>
        <v>1.3558871358266318</v>
      </c>
      <c r="EL16" s="2">
        <f>EK16+預測IC!EL16</f>
        <v>1.3762449458795294</v>
      </c>
    </row>
    <row r="17" spans="1:142" x14ac:dyDescent="0.3">
      <c r="A17" s="17">
        <v>130</v>
      </c>
      <c r="B17" s="17">
        <f t="shared" si="10"/>
        <v>8</v>
      </c>
      <c r="C17" s="2">
        <v>-0.10848541786298629</v>
      </c>
      <c r="D17" s="2">
        <f>C17+預測IC!D17</f>
        <v>7.2845874730196714E-2</v>
      </c>
      <c r="E17" s="2">
        <f>D17+預測IC!E17</f>
        <v>5.8508269792160984E-2</v>
      </c>
      <c r="F17" s="2">
        <f>E17+預測IC!F17</f>
        <v>0.20155292187242127</v>
      </c>
      <c r="G17" s="2">
        <f>F17+預測IC!G17</f>
        <v>0.11277124003174968</v>
      </c>
      <c r="H17" s="2">
        <f>G17+預測IC!H17</f>
        <v>0.14146796534140649</v>
      </c>
      <c r="I17" s="2">
        <f>H17+預測IC!I17</f>
        <v>-1.2300449380815204E-2</v>
      </c>
      <c r="J17" s="2">
        <f>I17+預測IC!J17</f>
        <v>0.14734056160261538</v>
      </c>
      <c r="K17" s="2">
        <f>J17+預測IC!K17</f>
        <v>0.19369260846577119</v>
      </c>
      <c r="L17" s="2">
        <f>K17+預測IC!L17</f>
        <v>0.12046042042443626</v>
      </c>
      <c r="M17" s="2">
        <f>L17+預測IC!M17</f>
        <v>0.17569752565771954</v>
      </c>
      <c r="N17" s="2">
        <f>M17+預測IC!N17</f>
        <v>0.27317527234534966</v>
      </c>
      <c r="O17" s="2">
        <f>N17+預測IC!O17</f>
        <v>0.33554140176968683</v>
      </c>
      <c r="P17" s="2">
        <f>O17+預測IC!P17</f>
        <v>0.35752443378753451</v>
      </c>
      <c r="Q17" s="2">
        <f>P17+預測IC!Q17</f>
        <v>0.48578711873353297</v>
      </c>
      <c r="R17" s="2">
        <f>Q17+預測IC!R17</f>
        <v>0.55668666255111288</v>
      </c>
      <c r="S17" s="2">
        <f>R17+預測IC!S17</f>
        <v>0.80265226109733812</v>
      </c>
      <c r="T17" s="2">
        <f>S17+預測IC!T17</f>
        <v>0.89652898855383145</v>
      </c>
      <c r="U17" s="2">
        <f>T17+預測IC!U17</f>
        <v>1.0579342471694246</v>
      </c>
      <c r="V17" s="2">
        <f>U17+預測IC!V17</f>
        <v>0.98647495933689799</v>
      </c>
      <c r="W17" s="2">
        <f>V17+預測IC!W17</f>
        <v>1.0630566560135852</v>
      </c>
      <c r="X17" s="2">
        <f>W17+預測IC!X17</f>
        <v>0.92896535143073233</v>
      </c>
      <c r="Y17" s="2">
        <f>X17+預測IC!Y17</f>
        <v>0.92597270596384729</v>
      </c>
      <c r="Z17" s="2">
        <f>Y17+預測IC!Z17</f>
        <v>0.98279708799847398</v>
      </c>
      <c r="AA17" s="2">
        <f>Z17+預測IC!AA17</f>
        <v>0.93166806032820726</v>
      </c>
      <c r="AB17" s="2">
        <f>AA17+預測IC!AB17</f>
        <v>0.845782829288935</v>
      </c>
      <c r="AC17" s="2">
        <f>AB17+預測IC!AC17</f>
        <v>0.82797874315461717</v>
      </c>
      <c r="AD17" s="2">
        <f>AC17+預測IC!AD17</f>
        <v>0.81574079565413526</v>
      </c>
      <c r="AE17" s="2">
        <f>AD17+預測IC!AE17</f>
        <v>0.99058004526590815</v>
      </c>
      <c r="AF17" s="2">
        <f>AE17+預測IC!AF17</f>
        <v>0.80896290850618779</v>
      </c>
      <c r="AG17" s="2">
        <f>AF17+預測IC!AG17</f>
        <v>0.87539800754933594</v>
      </c>
      <c r="AH17" s="2">
        <f>AG17+預測IC!AH17</f>
        <v>0.96916656789785638</v>
      </c>
      <c r="AI17" s="2">
        <f>AH17+預測IC!AI17</f>
        <v>0.96798167176949523</v>
      </c>
      <c r="AJ17" s="2">
        <f>AI17+預測IC!AJ17</f>
        <v>1.0518289831242849</v>
      </c>
      <c r="AK17" s="2">
        <f>AJ17+預測IC!AK17</f>
        <v>1.0836414691241048</v>
      </c>
      <c r="AL17" s="2">
        <f>AK17+預測IC!AL17</f>
        <v>1.115482939825593</v>
      </c>
      <c r="AM17" s="2">
        <f>AL17+預測IC!AM17</f>
        <v>1.1166474723086253</v>
      </c>
      <c r="AN17" s="2">
        <f>AM17+預測IC!AN17</f>
        <v>1.2316791798402047</v>
      </c>
      <c r="AO17" s="2">
        <f>AN17+預測IC!AO17</f>
        <v>1.2608292633536002</v>
      </c>
      <c r="AP17" s="2">
        <f>AO17+預測IC!AP17</f>
        <v>1.3613351164342893</v>
      </c>
      <c r="AQ17" s="2">
        <f>AP17+預測IC!AQ17</f>
        <v>1.3944324135899715</v>
      </c>
      <c r="AR17" s="2">
        <f>AQ17+預測IC!AR17</f>
        <v>1.4190325400819224</v>
      </c>
      <c r="AS17" s="2">
        <f>AR17+預測IC!AS17</f>
        <v>1.5051322131382123</v>
      </c>
      <c r="AT17" s="2">
        <f>AS17+預測IC!AT17</f>
        <v>1.772633944951614</v>
      </c>
      <c r="AU17" s="2">
        <f>AT17+預測IC!AU17</f>
        <v>1.9371459075773334</v>
      </c>
      <c r="AV17" s="2">
        <f>AU17+預測IC!AV17</f>
        <v>1.8649586926408848</v>
      </c>
      <c r="AW17" s="2">
        <f>AV17+預測IC!AW17</f>
        <v>1.8524310263872981</v>
      </c>
      <c r="AX17" s="2">
        <f>AW17+預測IC!AX17</f>
        <v>1.9484421091958408</v>
      </c>
      <c r="AY17" s="2">
        <f>AX17+預測IC!AY17</f>
        <v>1.9436090762388776</v>
      </c>
      <c r="AZ17" s="2">
        <f>AY17+預測IC!AZ17</f>
        <v>1.9635909993955771</v>
      </c>
      <c r="BA17" s="2">
        <f>AZ17+預測IC!BA17</f>
        <v>1.9732874025842857</v>
      </c>
      <c r="BB17" s="2">
        <f>BA17+預測IC!BB17</f>
        <v>2.1152235366157486</v>
      </c>
      <c r="BC17" s="2">
        <f>BB17+預測IC!BC17</f>
        <v>2.1971414542757461</v>
      </c>
      <c r="BD17" s="2">
        <f>BC17+預測IC!BD17</f>
        <v>2.2753138749034516</v>
      </c>
      <c r="BE17" s="2">
        <f>BD17+預測IC!BE17</f>
        <v>2.1961674462287912</v>
      </c>
      <c r="BF17" s="2">
        <f>BE17+預測IC!BF17</f>
        <v>2.3456459169589001</v>
      </c>
      <c r="BG17" s="2">
        <f>BF17+預測IC!BG17</f>
        <v>2.3591402662196943</v>
      </c>
      <c r="BH17" s="2">
        <f>BG17+預測IC!BH17</f>
        <v>2.4251807675383454</v>
      </c>
      <c r="BI17" s="2">
        <f>BH17+預測IC!BI17</f>
        <v>2.4823885750195966</v>
      </c>
      <c r="BJ17" s="2">
        <f>BI17+預測IC!BJ17</f>
        <v>2.5599743608619017</v>
      </c>
      <c r="BK17" s="2">
        <f>BJ17+預測IC!BK17</f>
        <v>2.4630581409746068</v>
      </c>
      <c r="BL17" s="2">
        <f>BK17+預測IC!BL17</f>
        <v>2.5064612372333843</v>
      </c>
      <c r="BM17" s="2">
        <f>BL17+預測IC!BM17</f>
        <v>2.5301470106369717</v>
      </c>
      <c r="BN17" s="2">
        <f>BM17+預測IC!BN17</f>
        <v>2.5865290623848565</v>
      </c>
      <c r="BO17" s="2">
        <f>BN17+預測IC!BO17</f>
        <v>2.5762604326054594</v>
      </c>
      <c r="BP17" s="2">
        <f>BO17+預測IC!BP17</f>
        <v>2.6121052740605935</v>
      </c>
      <c r="BQ17" s="2">
        <f>BP17+預測IC!BQ17</f>
        <v>2.5525808192768586</v>
      </c>
      <c r="BR17" s="2">
        <f>BQ17+預測IC!BR17</f>
        <v>2.5201121438030278</v>
      </c>
      <c r="BS17" s="2">
        <f>BR17+預測IC!BS17</f>
        <v>2.5293446411932212</v>
      </c>
      <c r="BT17" s="2">
        <f>BS17+預測IC!BT17</f>
        <v>2.5022086596294901</v>
      </c>
      <c r="BU17" s="2">
        <f>BT17+預測IC!BU17</f>
        <v>2.5504231650724978</v>
      </c>
      <c r="BV17" s="2">
        <f>BU17+預測IC!BV17</f>
        <v>2.4845222313443354</v>
      </c>
      <c r="BW17" s="2">
        <f>BV17+預測IC!BW17</f>
        <v>2.4060903522715336</v>
      </c>
      <c r="BX17" s="2">
        <f>BW17+預測IC!BX17</f>
        <v>2.4036598808081049</v>
      </c>
      <c r="BY17" s="2">
        <f>BX17+預測IC!BY17</f>
        <v>2.3081990610715537</v>
      </c>
      <c r="BZ17" s="2">
        <f>BY17+預測IC!BZ17</f>
        <v>2.2205958879156062</v>
      </c>
      <c r="CA17" s="2">
        <f>BZ17+預測IC!CA17</f>
        <v>2.2400125688394215</v>
      </c>
      <c r="CB17" s="2">
        <f>CA17+預測IC!CB17</f>
        <v>2.1837021250535957</v>
      </c>
      <c r="CC17" s="2">
        <f>CB17+預測IC!CC17</f>
        <v>1.9993820584959798</v>
      </c>
      <c r="CD17" s="2">
        <f>CC17+預測IC!CD17</f>
        <v>1.9976692279746735</v>
      </c>
      <c r="CE17" s="2">
        <f>CD17+預測IC!CE17</f>
        <v>1.8393904287275513</v>
      </c>
      <c r="CF17" s="2">
        <f>CE17+預測IC!CF17</f>
        <v>1.90836655650005</v>
      </c>
      <c r="CG17" s="2">
        <f>CF17+預測IC!CG17</f>
        <v>1.7850962739225666</v>
      </c>
      <c r="CH17" s="2">
        <f>CG17+預測IC!CH17</f>
        <v>1.8308731453246696</v>
      </c>
      <c r="CI17" s="2">
        <f>CH17+預測IC!CI17</f>
        <v>1.774959856518642</v>
      </c>
      <c r="CJ17" s="2">
        <f>CI17+預測IC!CJ17</f>
        <v>1.8565849553919018</v>
      </c>
      <c r="CK17" s="2">
        <f>CJ17+預測IC!CK17</f>
        <v>1.9996284254305161</v>
      </c>
      <c r="CL17" s="2">
        <f>CK17+預測IC!CL17</f>
        <v>2.1078747430908837</v>
      </c>
      <c r="CM17" s="2">
        <f>CL17+預測IC!CM17</f>
        <v>2.077619354688748</v>
      </c>
      <c r="CN17" s="2">
        <f>CM17+預測IC!CN17</f>
        <v>2.1492210885583733</v>
      </c>
      <c r="CO17" s="2">
        <f>CN17+預測IC!CO17</f>
        <v>1.9320259929879717</v>
      </c>
      <c r="CP17" s="2">
        <f>CO17+預測IC!CP17</f>
        <v>2.0314788539438555</v>
      </c>
      <c r="CQ17" s="2">
        <f>CP17+預測IC!CQ17</f>
        <v>2.0976318051813516</v>
      </c>
      <c r="CR17" s="2">
        <f>CQ17+預測IC!CR17</f>
        <v>2.018517189276559</v>
      </c>
      <c r="CS17" s="2">
        <f>CR17+預測IC!CS17</f>
        <v>2.0332652034391856</v>
      </c>
      <c r="CT17" s="2">
        <f>CS17+預測IC!CT17</f>
        <v>2.0734205490385578</v>
      </c>
      <c r="CU17" s="2">
        <f>CT17+預測IC!CU17</f>
        <v>2.2281120963236094</v>
      </c>
      <c r="CV17" s="2">
        <f>CU17+預測IC!CV17</f>
        <v>2.1053169327843539</v>
      </c>
      <c r="CW17" s="2">
        <f>CV17+預測IC!CW17</f>
        <v>2.1748791722917384</v>
      </c>
      <c r="CX17" s="2">
        <f>CW17+預測IC!CX17</f>
        <v>2.0492145245452611</v>
      </c>
      <c r="CY17" s="2">
        <f>CX17+預測IC!CY17</f>
        <v>2.0030243136508625</v>
      </c>
      <c r="CZ17" s="2">
        <f>CY17+預測IC!CZ17</f>
        <v>1.9754286240325447</v>
      </c>
      <c r="DA17" s="2">
        <f>CZ17+預測IC!DA17</f>
        <v>1.9266009954611945</v>
      </c>
      <c r="DB17" s="2">
        <f>DA17+預測IC!DB17</f>
        <v>1.9480460639989354</v>
      </c>
      <c r="DC17" s="2">
        <f>DB17+預測IC!DC17</f>
        <v>1.9222437316964391</v>
      </c>
      <c r="DD17" s="2">
        <f>DC17+預測IC!DD17</f>
        <v>2.0182489179890166</v>
      </c>
      <c r="DE17" s="2">
        <f>DD17+預測IC!DE17</f>
        <v>1.9931972656619481</v>
      </c>
      <c r="DF17" s="2">
        <f>DE17+預測IC!DF17</f>
        <v>1.9963388077976467</v>
      </c>
      <c r="DG17" s="2">
        <f>DF17+預測IC!DG17</f>
        <v>2.0937322159789318</v>
      </c>
      <c r="DH17" s="2">
        <f>DG17+預測IC!DH17</f>
        <v>2.1209988418380998</v>
      </c>
      <c r="DI17" s="2">
        <f>DH17+預測IC!DI17</f>
        <v>2.089087113906468</v>
      </c>
      <c r="DJ17" s="2">
        <f>DI17+預測IC!DJ17</f>
        <v>2.0229142902047283</v>
      </c>
      <c r="DK17" s="2">
        <f>DJ17+預測IC!DK17</f>
        <v>2.030548138919126</v>
      </c>
      <c r="DL17" s="2">
        <f>DK17+預測IC!DL17</f>
        <v>2.0339257910823889</v>
      </c>
      <c r="DM17" s="2">
        <f>DL17+預測IC!DM17</f>
        <v>1.9452234953377763</v>
      </c>
      <c r="DN17" s="2">
        <f>DM17+預測IC!DN17</f>
        <v>2.0860163392796265</v>
      </c>
      <c r="DO17" s="2">
        <f>DN17+預測IC!DO17</f>
        <v>2.1611810293672886</v>
      </c>
      <c r="DP17" s="2">
        <f>DO17+預測IC!DP17</f>
        <v>2.1929011537036005</v>
      </c>
      <c r="DQ17" s="2">
        <f>DP17+預測IC!DQ17</f>
        <v>2.1452573165371263</v>
      </c>
      <c r="DR17" s="2">
        <f>DQ17+預測IC!DR17</f>
        <v>2.0915291961463147</v>
      </c>
      <c r="DS17" s="2">
        <f>DR17+預測IC!DS17</f>
        <v>2.0857619051872454</v>
      </c>
      <c r="DT17" s="2">
        <f>DS17+預測IC!DT17</f>
        <v>2.1624902583251808</v>
      </c>
      <c r="DU17" s="2">
        <f>DT17+預測IC!DU17</f>
        <v>1.966846292123448</v>
      </c>
      <c r="DV17" s="2">
        <f>DU17+預測IC!DV17</f>
        <v>1.9690958563384282</v>
      </c>
      <c r="DW17" s="2">
        <f>DV17+預測IC!DW17</f>
        <v>1.9298239915957827</v>
      </c>
      <c r="DX17" s="2">
        <f>DW17+預測IC!DX17</f>
        <v>1.9867792636730521</v>
      </c>
      <c r="DY17" s="2">
        <f>DX17+預測IC!DY17</f>
        <v>1.894163519076018</v>
      </c>
      <c r="DZ17" s="2">
        <f>DY17+預測IC!DZ17</f>
        <v>1.8199013139954958</v>
      </c>
      <c r="EA17" s="2">
        <f>DZ17+預測IC!EA17</f>
        <v>1.9250527239538462</v>
      </c>
      <c r="EB17" s="2">
        <f>EA17+預測IC!EB17</f>
        <v>2.0460125440235126</v>
      </c>
      <c r="EC17" s="2">
        <f>EB17+預測IC!EC17</f>
        <v>1.9893090951629608</v>
      </c>
      <c r="ED17" s="2">
        <f>EC17+預測IC!ED17</f>
        <v>1.9192711310690971</v>
      </c>
      <c r="EE17" s="2">
        <f>ED17+預測IC!EE17</f>
        <v>1.8528337834240021</v>
      </c>
      <c r="EF17" s="2">
        <f>EE17+預測IC!EF17</f>
        <v>1.7811136637356826</v>
      </c>
      <c r="EG17" s="2">
        <f>EF17+預測IC!EG17</f>
        <v>1.4890520585929665</v>
      </c>
      <c r="EH17" s="2">
        <f>EG17+預測IC!EH17</f>
        <v>1.5048031418125867</v>
      </c>
      <c r="EI17" s="2">
        <f>EH17+預測IC!EI17</f>
        <v>1.4746487336845515</v>
      </c>
      <c r="EJ17" s="2">
        <f>EI17+預測IC!EJ17</f>
        <v>1.50398880686231</v>
      </c>
      <c r="EK17" s="2">
        <f>EJ17+預測IC!EK17</f>
        <v>1.6378784465946137</v>
      </c>
      <c r="EL17" s="2">
        <f>EK17+預測IC!EL17</f>
        <v>1.657218093524905</v>
      </c>
    </row>
    <row r="18" spans="1:142" x14ac:dyDescent="0.3">
      <c r="A18" s="17">
        <v>150</v>
      </c>
      <c r="B18" s="17">
        <f t="shared" si="10"/>
        <v>7</v>
      </c>
      <c r="C18" s="2">
        <v>-5.264358642546442E-2</v>
      </c>
      <c r="D18" s="2">
        <f>C18+預測IC!D18</f>
        <v>0.14663916641642327</v>
      </c>
      <c r="E18" s="2">
        <f>D18+預測IC!E18</f>
        <v>0.1596877549010669</v>
      </c>
      <c r="F18" s="2">
        <f>E18+預測IC!F18</f>
        <v>0.31767083596886558</v>
      </c>
      <c r="G18" s="2">
        <f>F18+預測IC!G18</f>
        <v>0.24218016841559736</v>
      </c>
      <c r="H18" s="2">
        <f>G18+預測IC!H18</f>
        <v>0.26109816809760533</v>
      </c>
      <c r="I18" s="2">
        <f>H18+預測IC!I18</f>
        <v>0.11288659768624285</v>
      </c>
      <c r="J18" s="2">
        <f>I18+預測IC!J18</f>
        <v>0.30608622481273173</v>
      </c>
      <c r="K18" s="2">
        <f>J18+預測IC!K18</f>
        <v>0.36764130227563185</v>
      </c>
      <c r="L18" s="2">
        <f>K18+預測IC!L18</f>
        <v>0.30693030590737647</v>
      </c>
      <c r="M18" s="2">
        <f>L18+預測IC!M18</f>
        <v>0.36086919184992883</v>
      </c>
      <c r="N18" s="2">
        <f>M18+預測IC!N18</f>
        <v>0.45482345279985259</v>
      </c>
      <c r="O18" s="2">
        <f>N18+預測IC!O18</f>
        <v>0.5443524180925976</v>
      </c>
      <c r="P18" s="2">
        <f>O18+預測IC!P18</f>
        <v>0.55463642608507713</v>
      </c>
      <c r="Q18" s="2">
        <f>P18+預測IC!Q18</f>
        <v>0.70490655100663457</v>
      </c>
      <c r="R18" s="2">
        <f>Q18+預測IC!R18</f>
        <v>0.78855590660789687</v>
      </c>
      <c r="S18" s="2">
        <f>R18+預測IC!S18</f>
        <v>1.069699124832822</v>
      </c>
      <c r="T18" s="2">
        <f>S18+預測IC!T18</f>
        <v>1.1581951240598169</v>
      </c>
      <c r="U18" s="2">
        <f>T18+預測IC!U18</f>
        <v>1.309239716883968</v>
      </c>
      <c r="V18" s="2">
        <f>U18+預測IC!V18</f>
        <v>1.2410577888811858</v>
      </c>
      <c r="W18" s="2">
        <f>V18+預測IC!W18</f>
        <v>1.3300880542157203</v>
      </c>
      <c r="X18" s="2">
        <f>W18+預測IC!X18</f>
        <v>1.203257773242453</v>
      </c>
      <c r="Y18" s="2">
        <f>X18+預測IC!Y18</f>
        <v>1.2173821041235362</v>
      </c>
      <c r="Z18" s="2">
        <f>Y18+預測IC!Z18</f>
        <v>1.2844875309309187</v>
      </c>
      <c r="AA18" s="2">
        <f>Z18+預測IC!AA18</f>
        <v>1.2326869006540873</v>
      </c>
      <c r="AB18" s="2">
        <f>AA18+預測IC!AB18</f>
        <v>1.1378654792712382</v>
      </c>
      <c r="AC18" s="2">
        <f>AB18+預測IC!AC18</f>
        <v>1.1199212448460041</v>
      </c>
      <c r="AD18" s="2">
        <f>AC18+預測IC!AD18</f>
        <v>1.0815742509323796</v>
      </c>
      <c r="AE18" s="2">
        <f>AD18+預測IC!AE18</f>
        <v>1.2839069128574496</v>
      </c>
      <c r="AF18" s="2">
        <f>AE18+預測IC!AF18</f>
        <v>1.0503736263677816</v>
      </c>
      <c r="AG18" s="2">
        <f>AF18+預測IC!AG18</f>
        <v>1.1056161837273744</v>
      </c>
      <c r="AH18" s="2">
        <f>AG18+預測IC!AH18</f>
        <v>1.19253375844719</v>
      </c>
      <c r="AI18" s="2">
        <f>AH18+預測IC!AI18</f>
        <v>1.2066607395464604</v>
      </c>
      <c r="AJ18" s="2">
        <f>AI18+預測IC!AJ18</f>
        <v>1.2828085910208455</v>
      </c>
      <c r="AK18" s="2">
        <f>AJ18+預測IC!AK18</f>
        <v>1.2806211100521714</v>
      </c>
      <c r="AL18" s="2">
        <f>AK18+預測IC!AL18</f>
        <v>1.306866928619131</v>
      </c>
      <c r="AM18" s="2">
        <f>AL18+預測IC!AM18</f>
        <v>1.3113991165091194</v>
      </c>
      <c r="AN18" s="2">
        <f>AM18+預測IC!AN18</f>
        <v>1.4386876128103281</v>
      </c>
      <c r="AO18" s="2">
        <f>AN18+預測IC!AO18</f>
        <v>1.4517598131591536</v>
      </c>
      <c r="AP18" s="2">
        <f>AO18+預測IC!AP18</f>
        <v>1.5273564334776095</v>
      </c>
      <c r="AQ18" s="2">
        <f>AP18+預測IC!AQ18</f>
        <v>1.5203877586430012</v>
      </c>
      <c r="AR18" s="2">
        <f>AQ18+預測IC!AR18</f>
        <v>1.5478977050942391</v>
      </c>
      <c r="AS18" s="2">
        <f>AR18+預測IC!AS18</f>
        <v>1.5828785615962904</v>
      </c>
      <c r="AT18" s="2">
        <f>AS18+預測IC!AT18</f>
        <v>1.8804321575104546</v>
      </c>
      <c r="AU18" s="2">
        <f>AT18+預測IC!AU18</f>
        <v>2.0535722651803274</v>
      </c>
      <c r="AV18" s="2">
        <f>AU18+預測IC!AV18</f>
        <v>1.9748076354776052</v>
      </c>
      <c r="AW18" s="2">
        <f>AV18+預測IC!AW18</f>
        <v>1.9651911813261853</v>
      </c>
      <c r="AX18" s="2">
        <f>AW18+預測IC!AX18</f>
        <v>2.1036750413929752</v>
      </c>
      <c r="AY18" s="2">
        <f>AX18+預測IC!AY18</f>
        <v>2.098448035911713</v>
      </c>
      <c r="AZ18" s="2">
        <f>AY18+預測IC!AZ18</f>
        <v>2.1251504494882614</v>
      </c>
      <c r="BA18" s="2">
        <f>AZ18+預測IC!BA18</f>
        <v>2.1072894210708872</v>
      </c>
      <c r="BB18" s="2">
        <f>BA18+預測IC!BB18</f>
        <v>2.2758652199801777</v>
      </c>
      <c r="BC18" s="2">
        <f>BB18+預測IC!BC18</f>
        <v>2.3581540452777126</v>
      </c>
      <c r="BD18" s="2">
        <f>BC18+預測IC!BD18</f>
        <v>2.4100211171460617</v>
      </c>
      <c r="BE18" s="2">
        <f>BD18+預測IC!BE18</f>
        <v>2.3340431471506258</v>
      </c>
      <c r="BF18" s="2">
        <f>BE18+預測IC!BF18</f>
        <v>2.4779161318369942</v>
      </c>
      <c r="BG18" s="2">
        <f>BF18+預測IC!BG18</f>
        <v>2.4953091119629009</v>
      </c>
      <c r="BH18" s="2">
        <f>BG18+預測IC!BH18</f>
        <v>2.5146224312671439</v>
      </c>
      <c r="BI18" s="2">
        <f>BH18+預測IC!BI18</f>
        <v>2.5651511957310849</v>
      </c>
      <c r="BJ18" s="2">
        <f>BI18+預測IC!BJ18</f>
        <v>2.6057829947275453</v>
      </c>
      <c r="BK18" s="2">
        <f>BJ18+預測IC!BK18</f>
        <v>2.4785989618299484</v>
      </c>
      <c r="BL18" s="2">
        <f>BK18+預測IC!BL18</f>
        <v>2.5377797582586412</v>
      </c>
      <c r="BM18" s="2">
        <f>BL18+預測IC!BM18</f>
        <v>2.5848444913432473</v>
      </c>
      <c r="BN18" s="2">
        <f>BM18+預測IC!BN18</f>
        <v>2.6422360450829081</v>
      </c>
      <c r="BO18" s="2">
        <f>BN18+預測IC!BO18</f>
        <v>2.6217195775315414</v>
      </c>
      <c r="BP18" s="2">
        <f>BO18+預測IC!BP18</f>
        <v>2.6468888306629643</v>
      </c>
      <c r="BQ18" s="2">
        <f>BP18+預測IC!BQ18</f>
        <v>2.6022207654663223</v>
      </c>
      <c r="BR18" s="2">
        <f>BQ18+預測IC!BR18</f>
        <v>2.6024218242518118</v>
      </c>
      <c r="BS18" s="2">
        <f>BR18+預測IC!BS18</f>
        <v>2.6111729830709858</v>
      </c>
      <c r="BT18" s="2">
        <f>BS18+預測IC!BT18</f>
        <v>2.5817088139368241</v>
      </c>
      <c r="BU18" s="2">
        <f>BT18+預測IC!BU18</f>
        <v>2.6275754139792951</v>
      </c>
      <c r="BV18" s="2">
        <f>BU18+預測IC!BV18</f>
        <v>2.6371138742199567</v>
      </c>
      <c r="BW18" s="2">
        <f>BV18+預測IC!BW18</f>
        <v>2.5572954651736701</v>
      </c>
      <c r="BX18" s="2">
        <f>BW18+預測IC!BX18</f>
        <v>2.5262865641211101</v>
      </c>
      <c r="BY18" s="2">
        <f>BX18+預測IC!BY18</f>
        <v>2.43836801718333</v>
      </c>
      <c r="BZ18" s="2">
        <f>BY18+預測IC!BZ18</f>
        <v>2.3285534460567234</v>
      </c>
      <c r="CA18" s="2">
        <f>BZ18+預測IC!CA18</f>
        <v>2.3517774299749479</v>
      </c>
      <c r="CB18" s="2">
        <f>CA18+預測IC!CB18</f>
        <v>2.2975611020815734</v>
      </c>
      <c r="CC18" s="2">
        <f>CB18+預測IC!CC18</f>
        <v>2.0775958546505064</v>
      </c>
      <c r="CD18" s="2">
        <f>CC18+預測IC!CD18</f>
        <v>2.0865740664230579</v>
      </c>
      <c r="CE18" s="2">
        <f>CD18+預測IC!CE18</f>
        <v>1.9526414595134758</v>
      </c>
      <c r="CF18" s="2">
        <f>CE18+預測IC!CF18</f>
        <v>2.0115199893446394</v>
      </c>
      <c r="CG18" s="2">
        <f>CF18+預測IC!CG18</f>
        <v>1.8408315118257286</v>
      </c>
      <c r="CH18" s="2">
        <f>CG18+預測IC!CH18</f>
        <v>1.8859038405721231</v>
      </c>
      <c r="CI18" s="2">
        <f>CH18+預測IC!CI18</f>
        <v>1.8556494309150637</v>
      </c>
      <c r="CJ18" s="2">
        <f>CI18+預測IC!CJ18</f>
        <v>1.9545889372560719</v>
      </c>
      <c r="CK18" s="2">
        <f>CJ18+預測IC!CK18</f>
        <v>2.1036951545560623</v>
      </c>
      <c r="CL18" s="2">
        <f>CK18+預測IC!CL18</f>
        <v>2.2159070259831011</v>
      </c>
      <c r="CM18" s="2">
        <f>CL18+預測IC!CM18</f>
        <v>2.201051399427874</v>
      </c>
      <c r="CN18" s="2">
        <f>CM18+預測IC!CN18</f>
        <v>2.2842813642354916</v>
      </c>
      <c r="CO18" s="2">
        <f>CN18+預測IC!CO18</f>
        <v>2.0734792387640755</v>
      </c>
      <c r="CP18" s="2">
        <f>CO18+預測IC!CP18</f>
        <v>2.1860743043379682</v>
      </c>
      <c r="CQ18" s="2">
        <f>CP18+預測IC!CQ18</f>
        <v>2.2339652092365472</v>
      </c>
      <c r="CR18" s="2">
        <f>CQ18+預測IC!CR18</f>
        <v>2.1861508636436859</v>
      </c>
      <c r="CS18" s="2">
        <f>CR18+預測IC!CS18</f>
        <v>2.2247090951744641</v>
      </c>
      <c r="CT18" s="2">
        <f>CS18+預測IC!CT18</f>
        <v>2.2622107400940425</v>
      </c>
      <c r="CU18" s="2">
        <f>CT18+預測IC!CU18</f>
        <v>2.4294453040991111</v>
      </c>
      <c r="CV18" s="2">
        <f>CU18+預測IC!CV18</f>
        <v>2.3236137312573435</v>
      </c>
      <c r="CW18" s="2">
        <f>CV18+預測IC!CW18</f>
        <v>2.4053272169994737</v>
      </c>
      <c r="CX18" s="2">
        <f>CW18+預測IC!CX18</f>
        <v>2.3077873484461819</v>
      </c>
      <c r="CY18" s="2">
        <f>CX18+預測IC!CY18</f>
        <v>2.2426173020141023</v>
      </c>
      <c r="CZ18" s="2">
        <f>CY18+預測IC!CZ18</f>
        <v>2.1777724447275557</v>
      </c>
      <c r="DA18" s="2">
        <f>CZ18+預測IC!DA18</f>
        <v>2.1244583210115513</v>
      </c>
      <c r="DB18" s="2">
        <f>DA18+預測IC!DB18</f>
        <v>2.1464518274574163</v>
      </c>
      <c r="DC18" s="2">
        <f>DB18+預測IC!DC18</f>
        <v>2.130112916447628</v>
      </c>
      <c r="DD18" s="2">
        <f>DC18+預測IC!DD18</f>
        <v>2.1932470875759287</v>
      </c>
      <c r="DE18" s="2">
        <f>DD18+預測IC!DE18</f>
        <v>2.1593807971623926</v>
      </c>
      <c r="DF18" s="2">
        <f>DE18+預測IC!DF18</f>
        <v>2.1962702826952989</v>
      </c>
      <c r="DG18" s="2">
        <f>DF18+預測IC!DG18</f>
        <v>2.2858676630415573</v>
      </c>
      <c r="DH18" s="2">
        <f>DG18+預測IC!DH18</f>
        <v>2.3143107251703219</v>
      </c>
      <c r="DI18" s="2">
        <f>DH18+預測IC!DI18</f>
        <v>2.2764237705775154</v>
      </c>
      <c r="DJ18" s="2">
        <f>DI18+預測IC!DJ18</f>
        <v>2.2104007950547699</v>
      </c>
      <c r="DK18" s="2">
        <f>DJ18+預測IC!DK18</f>
        <v>2.2457413603448328</v>
      </c>
      <c r="DL18" s="2">
        <f>DK18+預測IC!DL18</f>
        <v>2.2493607924735985</v>
      </c>
      <c r="DM18" s="2">
        <f>DL18+預測IC!DM18</f>
        <v>2.1660504125255065</v>
      </c>
      <c r="DN18" s="2">
        <f>DM18+預測IC!DN18</f>
        <v>2.3195164048820489</v>
      </c>
      <c r="DO18" s="2">
        <f>DN18+預測IC!DO18</f>
        <v>2.3610458746135916</v>
      </c>
      <c r="DP18" s="2">
        <f>DO18+預測IC!DP18</f>
        <v>2.3789140062279199</v>
      </c>
      <c r="DQ18" s="2">
        <f>DP18+預測IC!DQ18</f>
        <v>2.3417475971177932</v>
      </c>
      <c r="DR18" s="2">
        <f>DQ18+預測IC!DR18</f>
        <v>2.2896492691553467</v>
      </c>
      <c r="DS18" s="2">
        <f>DR18+預測IC!DS18</f>
        <v>2.2926970693223945</v>
      </c>
      <c r="DT18" s="2">
        <f>DS18+預測IC!DT18</f>
        <v>2.388205635954884</v>
      </c>
      <c r="DU18" s="2">
        <f>DT18+預測IC!DU18</f>
        <v>2.2212116571659428</v>
      </c>
      <c r="DV18" s="2">
        <f>DU18+預測IC!DV18</f>
        <v>2.2048535650759096</v>
      </c>
      <c r="DW18" s="2">
        <f>DV18+預測IC!DW18</f>
        <v>2.1710144694816571</v>
      </c>
      <c r="DX18" s="2">
        <f>DW18+預測IC!DX18</f>
        <v>2.2495267539138393</v>
      </c>
      <c r="DY18" s="2">
        <f>DX18+預測IC!DY18</f>
        <v>2.1219291273135741</v>
      </c>
      <c r="DZ18" s="2">
        <f>DY18+預測IC!DZ18</f>
        <v>2.0248730636005705</v>
      </c>
      <c r="EA18" s="2">
        <f>DZ18+預測IC!EA18</f>
        <v>2.16442504819786</v>
      </c>
      <c r="EB18" s="2">
        <f>EA18+預測IC!EB18</f>
        <v>2.2735029356256851</v>
      </c>
      <c r="EC18" s="2">
        <f>EB18+預測IC!EC18</f>
        <v>2.2216376952370416</v>
      </c>
      <c r="ED18" s="2">
        <f>EC18+預測IC!ED18</f>
        <v>2.1818901035130165</v>
      </c>
      <c r="EE18" s="2">
        <f>ED18+預測IC!EE18</f>
        <v>2.1215077757513341</v>
      </c>
      <c r="EF18" s="2">
        <f>EE18+預測IC!EF18</f>
        <v>2.0394687840375449</v>
      </c>
      <c r="EG18" s="2">
        <f>EF18+預測IC!EG18</f>
        <v>1.7101120773719025</v>
      </c>
      <c r="EH18" s="2">
        <f>EG18+預測IC!EH18</f>
        <v>1.727104464333991</v>
      </c>
      <c r="EI18" s="2">
        <f>EH18+預測IC!EI18</f>
        <v>1.7133116221071962</v>
      </c>
      <c r="EJ18" s="2">
        <f>EI18+預測IC!EJ18</f>
        <v>1.7412556582857917</v>
      </c>
      <c r="EK18" s="2">
        <f>EJ18+預測IC!EK18</f>
        <v>1.883424434940401</v>
      </c>
      <c r="EL18" s="2">
        <f>EK18+預測IC!EL18</f>
        <v>1.8749024363124633</v>
      </c>
    </row>
    <row r="19" spans="1:142" x14ac:dyDescent="0.3">
      <c r="A19" s="17">
        <v>180</v>
      </c>
      <c r="B19" s="17">
        <f t="shared" si="10"/>
        <v>6</v>
      </c>
      <c r="C19" s="2">
        <v>-6.3862070951592978E-2</v>
      </c>
      <c r="D19" s="2">
        <f>C19+預測IC!D19</f>
        <v>0.14430565152060182</v>
      </c>
      <c r="E19" s="2">
        <f>D19+預測IC!E19</f>
        <v>0.20132491974873534</v>
      </c>
      <c r="F19" s="2">
        <f>E19+預測IC!F19</f>
        <v>0.33705484845427536</v>
      </c>
      <c r="G19" s="2">
        <f>F19+預測IC!G19</f>
        <v>0.22424102172721755</v>
      </c>
      <c r="H19" s="2">
        <f>G19+預測IC!H19</f>
        <v>0.26037466594888031</v>
      </c>
      <c r="I19" s="2">
        <f>H19+預測IC!I19</f>
        <v>7.724167919981631E-2</v>
      </c>
      <c r="J19" s="2">
        <f>I19+預測IC!J19</f>
        <v>0.28329698419356691</v>
      </c>
      <c r="K19" s="2">
        <f>J19+預測IC!K19</f>
        <v>0.41166012133915281</v>
      </c>
      <c r="L19" s="2">
        <f>K19+預測IC!L19</f>
        <v>0.36663467679897699</v>
      </c>
      <c r="M19" s="2">
        <f>L19+預測IC!M19</f>
        <v>0.42322182850095846</v>
      </c>
      <c r="N19" s="2">
        <f>M19+預測IC!N19</f>
        <v>0.51894046756110113</v>
      </c>
      <c r="O19" s="2">
        <f>N19+預測IC!O19</f>
        <v>0.60277494856274849</v>
      </c>
      <c r="P19" s="2">
        <f>O19+預測IC!P19</f>
        <v>0.63494349997436006</v>
      </c>
      <c r="Q19" s="2">
        <f>P19+預測IC!Q19</f>
        <v>0.78695041217629214</v>
      </c>
      <c r="R19" s="2">
        <f>Q19+預測IC!R19</f>
        <v>0.87971360762960638</v>
      </c>
      <c r="S19" s="2">
        <f>R19+預測IC!S19</f>
        <v>1.2042644161315645</v>
      </c>
      <c r="T19" s="2">
        <f>S19+預測IC!T19</f>
        <v>1.2749707793070613</v>
      </c>
      <c r="U19" s="2">
        <f>T19+預測IC!U19</f>
        <v>1.4027617699759394</v>
      </c>
      <c r="V19" s="2">
        <f>U19+預測IC!V19</f>
        <v>1.3259681962420924</v>
      </c>
      <c r="W19" s="2">
        <f>V19+預測IC!W19</f>
        <v>1.4382312898885068</v>
      </c>
      <c r="X19" s="2">
        <f>W19+預測IC!X19</f>
        <v>1.3409836873962491</v>
      </c>
      <c r="Y19" s="2">
        <f>X19+預測IC!Y19</f>
        <v>1.3160079294831231</v>
      </c>
      <c r="Z19" s="2">
        <f>Y19+預測IC!Z19</f>
        <v>1.3888790086241953</v>
      </c>
      <c r="AA19" s="2">
        <f>Z19+預測IC!AA19</f>
        <v>1.3355308748095811</v>
      </c>
      <c r="AB19" s="2">
        <f>AA19+預測IC!AB19</f>
        <v>1.2565262884750554</v>
      </c>
      <c r="AC19" s="2">
        <f>AB19+預測IC!AC19</f>
        <v>1.2470311481704328</v>
      </c>
      <c r="AD19" s="2">
        <f>AC19+預測IC!AD19</f>
        <v>1.2445660811953707</v>
      </c>
      <c r="AE19" s="2">
        <f>AD19+預測IC!AE19</f>
        <v>1.4813202595803971</v>
      </c>
      <c r="AF19" s="2">
        <f>AE19+預測IC!AF19</f>
        <v>1.235620309117833</v>
      </c>
      <c r="AG19" s="2">
        <f>AF19+預測IC!AG19</f>
        <v>1.2842975429957169</v>
      </c>
      <c r="AH19" s="2">
        <f>AG19+預測IC!AH19</f>
        <v>1.3654001734010457</v>
      </c>
      <c r="AI19" s="2">
        <f>AH19+預測IC!AI19</f>
        <v>1.3969546096840928</v>
      </c>
      <c r="AJ19" s="2">
        <f>AI19+預測IC!AJ19</f>
        <v>1.4875598170776971</v>
      </c>
      <c r="AK19" s="2">
        <f>AJ19+預測IC!AK19</f>
        <v>1.4951118595836499</v>
      </c>
      <c r="AL19" s="2">
        <f>AK19+預測IC!AL19</f>
        <v>1.5197093635235732</v>
      </c>
      <c r="AM19" s="2">
        <f>AL19+預測IC!AM19</f>
        <v>1.5478557666383408</v>
      </c>
      <c r="AN19" s="2">
        <f>AM19+預測IC!AN19</f>
        <v>1.6651781050226018</v>
      </c>
      <c r="AO19" s="2">
        <f>AN19+預測IC!AO19</f>
        <v>1.6886992570089785</v>
      </c>
      <c r="AP19" s="2">
        <f>AO19+預測IC!AP19</f>
        <v>1.7927625325011385</v>
      </c>
      <c r="AQ19" s="2">
        <f>AP19+預測IC!AQ19</f>
        <v>1.7909581773952532</v>
      </c>
      <c r="AR19" s="2">
        <f>AQ19+預測IC!AR19</f>
        <v>1.8205032670736361</v>
      </c>
      <c r="AS19" s="2">
        <f>AR19+預測IC!AS19</f>
        <v>1.8775284992185126</v>
      </c>
      <c r="AT19" s="2">
        <f>AS19+預測IC!AT19</f>
        <v>2.207530724089902</v>
      </c>
      <c r="AU19" s="2">
        <f>AT19+預測IC!AU19</f>
        <v>2.4177306951387636</v>
      </c>
      <c r="AV19" s="2">
        <f>AU19+預測IC!AV19</f>
        <v>2.3276152873714024</v>
      </c>
      <c r="AW19" s="2">
        <f>AV19+預測IC!AW19</f>
        <v>2.3357495069904797</v>
      </c>
      <c r="AX19" s="2">
        <f>AW19+預測IC!AX19</f>
        <v>2.5163697130365712</v>
      </c>
      <c r="AY19" s="2">
        <f>AX19+預測IC!AY19</f>
        <v>2.5025576061606905</v>
      </c>
      <c r="AZ19" s="2">
        <f>AY19+預測IC!AZ19</f>
        <v>2.4314194405923071</v>
      </c>
      <c r="BA19" s="2">
        <f>AZ19+預測IC!BA19</f>
        <v>2.4018202459664493</v>
      </c>
      <c r="BB19" s="2">
        <f>BA19+預測IC!BB19</f>
        <v>2.5877355911710263</v>
      </c>
      <c r="BC19" s="2">
        <f>BB19+預測IC!BC19</f>
        <v>2.6704612123859612</v>
      </c>
      <c r="BD19" s="2">
        <f>BC19+預測IC!BD19</f>
        <v>2.6814875133333977</v>
      </c>
      <c r="BE19" s="2">
        <f>BD19+預測IC!BE19</f>
        <v>2.6004286244871304</v>
      </c>
      <c r="BF19" s="2">
        <f>BE19+預測IC!BF19</f>
        <v>2.7306949356054484</v>
      </c>
      <c r="BG19" s="2">
        <f>BF19+預測IC!BG19</f>
        <v>2.754250368850069</v>
      </c>
      <c r="BH19" s="2">
        <f>BG19+預測IC!BH19</f>
        <v>2.7952507978723773</v>
      </c>
      <c r="BI19" s="2">
        <f>BH19+預測IC!BI19</f>
        <v>2.8476945881874762</v>
      </c>
      <c r="BJ19" s="2">
        <f>BI19+預測IC!BJ19</f>
        <v>2.8771359563536194</v>
      </c>
      <c r="BK19" s="2">
        <f>BJ19+預測IC!BK19</f>
        <v>2.7676035650009863</v>
      </c>
      <c r="BL19" s="2">
        <f>BK19+預測IC!BL19</f>
        <v>2.8347265002427369</v>
      </c>
      <c r="BM19" s="2">
        <f>BL19+預測IC!BM19</f>
        <v>2.8838372815846185</v>
      </c>
      <c r="BN19" s="2">
        <f>BM19+預測IC!BN19</f>
        <v>2.9504642336118714</v>
      </c>
      <c r="BO19" s="2">
        <f>BN19+預測IC!BO19</f>
        <v>2.9294443836230224</v>
      </c>
      <c r="BP19" s="2">
        <f>BO19+預測IC!BP19</f>
        <v>2.9724770918218093</v>
      </c>
      <c r="BQ19" s="2">
        <f>BP19+預測IC!BQ19</f>
        <v>2.8989255256782545</v>
      </c>
      <c r="BR19" s="2">
        <f>BQ19+預測IC!BR19</f>
        <v>2.8912317848586051</v>
      </c>
      <c r="BS19" s="2">
        <f>BR19+預測IC!BS19</f>
        <v>2.9001988464387898</v>
      </c>
      <c r="BT19" s="2">
        <f>BS19+預測IC!BT19</f>
        <v>2.8777135721899687</v>
      </c>
      <c r="BU19" s="2">
        <f>BT19+預測IC!BU19</f>
        <v>2.940206865692506</v>
      </c>
      <c r="BV19" s="2">
        <f>BU19+預測IC!BV19</f>
        <v>2.9898461260664893</v>
      </c>
      <c r="BW19" s="2">
        <f>BV19+預測IC!BW19</f>
        <v>2.9077350234618211</v>
      </c>
      <c r="BX19" s="2">
        <f>BW19+預測IC!BX19</f>
        <v>2.8704941091673364</v>
      </c>
      <c r="BY19" s="2">
        <f>BX19+預測IC!BY19</f>
        <v>2.7758488898075422</v>
      </c>
      <c r="BZ19" s="2">
        <f>BY19+預測IC!BZ19</f>
        <v>2.6311068679791001</v>
      </c>
      <c r="CA19" s="2">
        <f>BZ19+預測IC!CA19</f>
        <v>2.653489776893986</v>
      </c>
      <c r="CB19" s="2">
        <f>CA19+預測IC!CB19</f>
        <v>2.565435640162534</v>
      </c>
      <c r="CC19" s="2">
        <f>CB19+預測IC!CC19</f>
        <v>2.3236723490819755</v>
      </c>
      <c r="CD19" s="2">
        <f>CC19+預測IC!CD19</f>
        <v>2.2984290530109308</v>
      </c>
      <c r="CE19" s="2">
        <f>CD19+預測IC!CE19</f>
        <v>2.1191748051788064</v>
      </c>
      <c r="CF19" s="2">
        <f>CE19+預測IC!CF19</f>
        <v>2.09838487211008</v>
      </c>
      <c r="CG19" s="2">
        <f>CF19+預測IC!CG19</f>
        <v>1.9570884521261616</v>
      </c>
      <c r="CH19" s="2">
        <f>CG19+預測IC!CH19</f>
        <v>2.0874359970576837</v>
      </c>
      <c r="CI19" s="2">
        <f>CH19+預測IC!CI19</f>
        <v>2.0610728647729388</v>
      </c>
      <c r="CJ19" s="2">
        <f>CI19+預測IC!CJ19</f>
        <v>2.1555506326401948</v>
      </c>
      <c r="CK19" s="2">
        <f>CJ19+預測IC!CK19</f>
        <v>2.3077886025715699</v>
      </c>
      <c r="CL19" s="2">
        <f>CK19+預測IC!CL19</f>
        <v>2.4492808496183502</v>
      </c>
      <c r="CM19" s="2">
        <f>CL19+預測IC!CM19</f>
        <v>2.4836257067746392</v>
      </c>
      <c r="CN19" s="2">
        <f>CM19+預測IC!CN19</f>
        <v>2.5602810091638646</v>
      </c>
      <c r="CO19" s="2">
        <f>CN19+預測IC!CO19</f>
        <v>2.3367655893906596</v>
      </c>
      <c r="CP19" s="2">
        <f>CO19+預測IC!CP19</f>
        <v>2.4551411437044486</v>
      </c>
      <c r="CQ19" s="2">
        <f>CP19+預測IC!CQ19</f>
        <v>2.5012701697732709</v>
      </c>
      <c r="CR19" s="2">
        <f>CQ19+預測IC!CR19</f>
        <v>2.3981429128725895</v>
      </c>
      <c r="CS19" s="2">
        <f>CR19+預測IC!CS19</f>
        <v>2.4391121818089863</v>
      </c>
      <c r="CT19" s="2">
        <f>CS19+預測IC!CT19</f>
        <v>2.431467014203808</v>
      </c>
      <c r="CU19" s="2">
        <f>CT19+預測IC!CU19</f>
        <v>2.6022398031751379</v>
      </c>
      <c r="CV19" s="2">
        <f>CU19+預測IC!CV19</f>
        <v>2.4676826323448466</v>
      </c>
      <c r="CW19" s="2">
        <f>CV19+預測IC!CW19</f>
        <v>2.5354136988029383</v>
      </c>
      <c r="CX19" s="2">
        <f>CW19+預測IC!CX19</f>
        <v>2.4318481821841926</v>
      </c>
      <c r="CY19" s="2">
        <f>CX19+預測IC!CY19</f>
        <v>2.3588569668941997</v>
      </c>
      <c r="CZ19" s="2">
        <f>CY19+預測IC!CZ19</f>
        <v>2.3408453159720635</v>
      </c>
      <c r="DA19" s="2">
        <f>CZ19+預測IC!DA19</f>
        <v>2.2756993910386307</v>
      </c>
      <c r="DB19" s="2">
        <f>DA19+預測IC!DB19</f>
        <v>2.3068802009217304</v>
      </c>
      <c r="DC19" s="2">
        <f>DB19+預測IC!DC19</f>
        <v>2.3654744497238287</v>
      </c>
      <c r="DD19" s="2">
        <f>DC19+預測IC!DD19</f>
        <v>2.3974822227557855</v>
      </c>
      <c r="DE19" s="2">
        <f>DD19+預測IC!DE19</f>
        <v>2.4170939967565044</v>
      </c>
      <c r="DF19" s="2">
        <f>DE19+預測IC!DF19</f>
        <v>2.3787347980571907</v>
      </c>
      <c r="DG19" s="2">
        <f>DF19+預測IC!DG19</f>
        <v>2.4944088993326798</v>
      </c>
      <c r="DH19" s="2">
        <f>DG19+預測IC!DH19</f>
        <v>2.4806400806604145</v>
      </c>
      <c r="DI19" s="2">
        <f>DH19+預測IC!DI19</f>
        <v>2.4197324851900892</v>
      </c>
      <c r="DJ19" s="2">
        <f>DI19+預測IC!DJ19</f>
        <v>2.3790721797959806</v>
      </c>
      <c r="DK19" s="2">
        <f>DJ19+預測IC!DK19</f>
        <v>2.4197646011511602</v>
      </c>
      <c r="DL19" s="2">
        <f>DK19+預測IC!DL19</f>
        <v>2.4145749435479247</v>
      </c>
      <c r="DM19" s="2">
        <f>DL19+預測IC!DM19</f>
        <v>2.3716990504116726</v>
      </c>
      <c r="DN19" s="2">
        <f>DM19+預測IC!DN19</f>
        <v>2.5674434418947891</v>
      </c>
      <c r="DO19" s="2">
        <f>DN19+預測IC!DO19</f>
        <v>2.6064540934186713</v>
      </c>
      <c r="DP19" s="2">
        <f>DO19+預測IC!DP19</f>
        <v>2.6341653245678556</v>
      </c>
      <c r="DQ19" s="2">
        <f>DP19+預測IC!DQ19</f>
        <v>2.583717531230735</v>
      </c>
      <c r="DR19" s="2">
        <f>DQ19+預測IC!DR19</f>
        <v>2.5334712852426868</v>
      </c>
      <c r="DS19" s="2">
        <f>DR19+預測IC!DS19</f>
        <v>2.5500315887640652</v>
      </c>
      <c r="DT19" s="2">
        <f>DS19+預測IC!DT19</f>
        <v>2.6239529075800219</v>
      </c>
      <c r="DU19" s="2">
        <f>DT19+預測IC!DU19</f>
        <v>2.4293965702307068</v>
      </c>
      <c r="DV19" s="2">
        <f>DU19+預測IC!DV19</f>
        <v>2.4210010507853563</v>
      </c>
      <c r="DW19" s="2">
        <f>DV19+預測IC!DW19</f>
        <v>2.3809335021425229</v>
      </c>
      <c r="DX19" s="2">
        <f>DW19+預測IC!DX19</f>
        <v>2.4740279411271766</v>
      </c>
      <c r="DY19" s="2">
        <f>DX19+預測IC!DY19</f>
        <v>2.366434922594717</v>
      </c>
      <c r="DZ19" s="2">
        <f>DY19+預測IC!DZ19</f>
        <v>2.2094915549445546</v>
      </c>
      <c r="EA19" s="2">
        <f>DZ19+預測IC!EA19</f>
        <v>2.3792872373909058</v>
      </c>
      <c r="EB19" s="2">
        <f>EA19+預測IC!EB19</f>
        <v>2.4996053367405064</v>
      </c>
      <c r="EC19" s="2">
        <f>EB19+預測IC!EC19</f>
        <v>2.463671344810944</v>
      </c>
      <c r="ED19" s="2">
        <f>EC19+預測IC!ED19</f>
        <v>2.4304201642999139</v>
      </c>
      <c r="EE19" s="2">
        <f>ED19+預測IC!EE19</f>
        <v>2.3708173183920009</v>
      </c>
      <c r="EF19" s="2">
        <f>EE19+預測IC!EF19</f>
        <v>2.297914686872685</v>
      </c>
      <c r="EG19" s="2">
        <f>EF19+預測IC!EG19</f>
        <v>1.8574731864452307</v>
      </c>
      <c r="EH19" s="2">
        <f>EG19+預測IC!EH19</f>
        <v>1.8450921827017861</v>
      </c>
      <c r="EI19" s="2">
        <f>EH19+預測IC!EI19</f>
        <v>1.8512068346802342</v>
      </c>
      <c r="EJ19" s="2">
        <f>EI19+預測IC!EJ19</f>
        <v>1.8920841402678918</v>
      </c>
      <c r="EK19" s="2">
        <f>EJ19+預測IC!EK19</f>
        <v>2.015786399382733</v>
      </c>
      <c r="EL19" s="2">
        <f>EK19+預測IC!EL19</f>
        <v>2.0395545850344172</v>
      </c>
    </row>
    <row r="20" spans="1:142" x14ac:dyDescent="0.3">
      <c r="A20" s="17">
        <v>200</v>
      </c>
      <c r="B20" s="17">
        <f t="shared" si="10"/>
        <v>5</v>
      </c>
      <c r="C20" s="2">
        <v>-7.7247532291167223E-2</v>
      </c>
      <c r="D20" s="2">
        <f>C20+預測IC!D20</f>
        <v>0.1467052251462328</v>
      </c>
      <c r="E20" s="2">
        <f>D20+預測IC!E20</f>
        <v>0.21502584246829887</v>
      </c>
      <c r="F20" s="2">
        <f>E20+預測IC!F20</f>
        <v>0.37902700490485364</v>
      </c>
      <c r="G20" s="2">
        <f>F20+預測IC!G20</f>
        <v>0.24575983323127162</v>
      </c>
      <c r="H20" s="2">
        <f>G20+預測IC!H20</f>
        <v>0.26322170607421991</v>
      </c>
      <c r="I20" s="2">
        <f>H20+預測IC!I20</f>
        <v>4.8993209011088806E-2</v>
      </c>
      <c r="J20" s="2">
        <f>I20+預測IC!J20</f>
        <v>0.27799895437552047</v>
      </c>
      <c r="K20" s="2">
        <f>J20+預測IC!K20</f>
        <v>0.38700624841037429</v>
      </c>
      <c r="L20" s="2">
        <f>K20+預測IC!L20</f>
        <v>0.32363953421465036</v>
      </c>
      <c r="M20" s="2">
        <f>L20+預測IC!M20</f>
        <v>0.36744686352085498</v>
      </c>
      <c r="N20" s="2">
        <f>M20+預測IC!N20</f>
        <v>0.51234690082802925</v>
      </c>
      <c r="O20" s="2">
        <f>N20+預測IC!O20</f>
        <v>0.61183586398994183</v>
      </c>
      <c r="P20" s="2">
        <f>O20+預測IC!P20</f>
        <v>0.66393310762583169</v>
      </c>
      <c r="Q20" s="2">
        <f>P20+預測IC!Q20</f>
        <v>0.82647143535370482</v>
      </c>
      <c r="R20" s="2">
        <f>Q20+預測IC!R20</f>
        <v>0.90311625148355346</v>
      </c>
      <c r="S20" s="2">
        <f>R20+預測IC!S20</f>
        <v>1.180583958355272</v>
      </c>
      <c r="T20" s="2">
        <f>S20+預測IC!T20</f>
        <v>1.2730722003332129</v>
      </c>
      <c r="U20" s="2">
        <f>T20+預測IC!U20</f>
        <v>1.3774457162898641</v>
      </c>
      <c r="V20" s="2">
        <f>U20+預測IC!V20</f>
        <v>1.3045654319263986</v>
      </c>
      <c r="W20" s="2">
        <f>V20+預測IC!W20</f>
        <v>1.471173921169544</v>
      </c>
      <c r="X20" s="2">
        <f>W20+預測IC!X20</f>
        <v>1.3457464512386133</v>
      </c>
      <c r="Y20" s="2">
        <f>X20+預測IC!Y20</f>
        <v>1.3211711225070693</v>
      </c>
      <c r="Z20" s="2">
        <f>Y20+預測IC!Z20</f>
        <v>1.4381300238167793</v>
      </c>
      <c r="AA20" s="2">
        <f>Z20+預測IC!AA20</f>
        <v>1.4112996514586145</v>
      </c>
      <c r="AB20" s="2">
        <f>AA20+預測IC!AB20</f>
        <v>1.2960788055735462</v>
      </c>
      <c r="AC20" s="2">
        <f>AB20+預測IC!AC20</f>
        <v>1.3464349706932377</v>
      </c>
      <c r="AD20" s="2">
        <f>AC20+預測IC!AD20</f>
        <v>1.3057001929739331</v>
      </c>
      <c r="AE20" s="2">
        <f>AD20+預測IC!AE20</f>
        <v>1.4476358555040956</v>
      </c>
      <c r="AF20" s="2">
        <f>AE20+預測IC!AF20</f>
        <v>1.2089518121629774</v>
      </c>
      <c r="AG20" s="2">
        <f>AF20+預測IC!AG20</f>
        <v>1.2366110307028697</v>
      </c>
      <c r="AH20" s="2">
        <f>AG20+預測IC!AH20</f>
        <v>1.2902265303602918</v>
      </c>
      <c r="AI20" s="2">
        <f>AH20+預測IC!AI20</f>
        <v>1.3208652793314124</v>
      </c>
      <c r="AJ20" s="2">
        <f>AI20+預測IC!AJ20</f>
        <v>1.4603162569463548</v>
      </c>
      <c r="AK20" s="2">
        <f>AJ20+預測IC!AK20</f>
        <v>1.446721141450352</v>
      </c>
      <c r="AL20" s="2">
        <f>AK20+預測IC!AL20</f>
        <v>1.5104566824048302</v>
      </c>
      <c r="AM20" s="2">
        <f>AL20+預測IC!AM20</f>
        <v>1.5389397894899175</v>
      </c>
      <c r="AN20" s="2">
        <f>AM20+預測IC!AN20</f>
        <v>1.6597812559631167</v>
      </c>
      <c r="AO20" s="2">
        <f>AN20+預測IC!AO20</f>
        <v>1.6930907580975225</v>
      </c>
      <c r="AP20" s="2">
        <f>AO20+預測IC!AP20</f>
        <v>1.8403628212770831</v>
      </c>
      <c r="AQ20" s="2">
        <f>AP20+預測IC!AQ20</f>
        <v>1.8630808647863459</v>
      </c>
      <c r="AR20" s="2">
        <f>AQ20+預測IC!AR20</f>
        <v>1.8609830725761229</v>
      </c>
      <c r="AS20" s="2">
        <f>AR20+預測IC!AS20</f>
        <v>1.934229428264441</v>
      </c>
      <c r="AT20" s="2">
        <f>AS20+預測IC!AT20</f>
        <v>2.1372920189082132</v>
      </c>
      <c r="AU20" s="2">
        <f>AT20+預測IC!AU20</f>
        <v>2.3393310282016091</v>
      </c>
      <c r="AV20" s="2">
        <f>AU20+預測IC!AV20</f>
        <v>2.2416073486470065</v>
      </c>
      <c r="AW20" s="2">
        <f>AV20+預測IC!AW20</f>
        <v>2.2407512187834713</v>
      </c>
      <c r="AX20" s="2">
        <f>AW20+預測IC!AX20</f>
        <v>2.4197651668041398</v>
      </c>
      <c r="AY20" s="2">
        <f>AX20+預測IC!AY20</f>
        <v>2.4123985169020496</v>
      </c>
      <c r="AZ20" s="2">
        <f>AY20+預測IC!AZ20</f>
        <v>2.3176683090176677</v>
      </c>
      <c r="BA20" s="2">
        <f>AZ20+預測IC!BA20</f>
        <v>2.2693408022012194</v>
      </c>
      <c r="BB20" s="2">
        <f>BA20+預測IC!BB20</f>
        <v>2.504213980230328</v>
      </c>
      <c r="BC20" s="2">
        <f>BB20+預測IC!BC20</f>
        <v>2.5437363803549733</v>
      </c>
      <c r="BD20" s="2">
        <f>BC20+預測IC!BD20</f>
        <v>2.5793469165469687</v>
      </c>
      <c r="BE20" s="2">
        <f>BD20+預測IC!BE20</f>
        <v>2.5251392363073863</v>
      </c>
      <c r="BF20" s="2">
        <f>BE20+預測IC!BF20</f>
        <v>2.6847124041422421</v>
      </c>
      <c r="BG20" s="2">
        <f>BF20+預測IC!BG20</f>
        <v>2.6719133250555527</v>
      </c>
      <c r="BH20" s="2">
        <f>BG20+預測IC!BH20</f>
        <v>2.7012592083199163</v>
      </c>
      <c r="BI20" s="2">
        <f>BH20+預測IC!BI20</f>
        <v>2.7861198960215066</v>
      </c>
      <c r="BJ20" s="2">
        <f>BI20+預測IC!BJ20</f>
        <v>2.8152597670868147</v>
      </c>
      <c r="BK20" s="2">
        <f>BJ20+預測IC!BK20</f>
        <v>2.8167945194410682</v>
      </c>
      <c r="BL20" s="2">
        <f>BK20+預測IC!BL20</f>
        <v>2.8914040431719665</v>
      </c>
      <c r="BM20" s="2">
        <f>BL20+預測IC!BM20</f>
        <v>2.9478849059048806</v>
      </c>
      <c r="BN20" s="2">
        <f>BM20+預測IC!BN20</f>
        <v>3.0433115915767752</v>
      </c>
      <c r="BO20" s="2">
        <f>BN20+預測IC!BO20</f>
        <v>3.0196990287029508</v>
      </c>
      <c r="BP20" s="2">
        <f>BO20+預測IC!BP20</f>
        <v>3.0710057763867726</v>
      </c>
      <c r="BQ20" s="2">
        <f>BP20+預測IC!BQ20</f>
        <v>2.9771401300472928</v>
      </c>
      <c r="BR20" s="2">
        <f>BQ20+預測IC!BR20</f>
        <v>2.9717509722041791</v>
      </c>
      <c r="BS20" s="2">
        <f>BR20+預測IC!BS20</f>
        <v>2.9961156023479596</v>
      </c>
      <c r="BT20" s="2">
        <f>BS20+預測IC!BT20</f>
        <v>2.9600601975465288</v>
      </c>
      <c r="BU20" s="2">
        <f>BT20+預測IC!BU20</f>
        <v>3.0106160164554261</v>
      </c>
      <c r="BV20" s="2">
        <f>BU20+預測IC!BV20</f>
        <v>3.0680635717182989</v>
      </c>
      <c r="BW20" s="2">
        <f>BV20+預測IC!BW20</f>
        <v>2.9463772100601791</v>
      </c>
      <c r="BX20" s="2">
        <f>BW20+預測IC!BX20</f>
        <v>2.92411979493856</v>
      </c>
      <c r="BY20" s="2">
        <f>BX20+預測IC!BY20</f>
        <v>2.8313641244540726</v>
      </c>
      <c r="BZ20" s="2">
        <f>BY20+預測IC!BZ20</f>
        <v>2.6466390369647206</v>
      </c>
      <c r="CA20" s="2">
        <f>BZ20+預測IC!CA20</f>
        <v>2.6639810248957847</v>
      </c>
      <c r="CB20" s="2">
        <f>CA20+預測IC!CB20</f>
        <v>2.61575650601673</v>
      </c>
      <c r="CC20" s="2">
        <f>CB20+預測IC!CC20</f>
        <v>2.3486607721128649</v>
      </c>
      <c r="CD20" s="2">
        <f>CC20+預測IC!CD20</f>
        <v>2.3701789181026522</v>
      </c>
      <c r="CE20" s="2">
        <f>CD20+預測IC!CE20</f>
        <v>2.1672452291593252</v>
      </c>
      <c r="CF20" s="2">
        <f>CE20+預測IC!CF20</f>
        <v>2.1553792090516954</v>
      </c>
      <c r="CG20" s="2">
        <f>CF20+預測IC!CG20</f>
        <v>2.0236654552644184</v>
      </c>
      <c r="CH20" s="2">
        <f>CG20+預測IC!CH20</f>
        <v>2.1583737318082905</v>
      </c>
      <c r="CI20" s="2">
        <f>CH20+預測IC!CI20</f>
        <v>2.1625512051144313</v>
      </c>
      <c r="CJ20" s="2">
        <f>CI20+預測IC!CJ20</f>
        <v>2.3046776501502113</v>
      </c>
      <c r="CK20" s="2">
        <f>CJ20+預測IC!CK20</f>
        <v>2.4180705834483436</v>
      </c>
      <c r="CL20" s="2">
        <f>CK20+預測IC!CL20</f>
        <v>2.5621342489757541</v>
      </c>
      <c r="CM20" s="2">
        <f>CL20+預測IC!CM20</f>
        <v>2.5914538439669066</v>
      </c>
      <c r="CN20" s="2">
        <f>CM20+預測IC!CN20</f>
        <v>2.6701470399320786</v>
      </c>
      <c r="CO20" s="2">
        <f>CN20+預測IC!CO20</f>
        <v>2.3835137781198763</v>
      </c>
      <c r="CP20" s="2">
        <f>CO20+預測IC!CP20</f>
        <v>2.5480254376877793</v>
      </c>
      <c r="CQ20" s="2">
        <f>CP20+預測IC!CQ20</f>
        <v>2.5932020818667962</v>
      </c>
      <c r="CR20" s="2">
        <f>CQ20+預測IC!CR20</f>
        <v>2.4772594765603535</v>
      </c>
      <c r="CS20" s="2">
        <f>CR20+預測IC!CS20</f>
        <v>2.5358334894728807</v>
      </c>
      <c r="CT20" s="2">
        <f>CS20+預測IC!CT20</f>
        <v>2.5014694701445244</v>
      </c>
      <c r="CU20" s="2">
        <f>CT20+預測IC!CU20</f>
        <v>2.6634136374150859</v>
      </c>
      <c r="CV20" s="2">
        <f>CU20+預測IC!CV20</f>
        <v>2.5117240298667918</v>
      </c>
      <c r="CW20" s="2">
        <f>CV20+預測IC!CW20</f>
        <v>2.5653112217266534</v>
      </c>
      <c r="CX20" s="2">
        <f>CW20+預測IC!CX20</f>
        <v>2.4741389910473082</v>
      </c>
      <c r="CY20" s="2">
        <f>CX20+預測IC!CY20</f>
        <v>2.3840136978574562</v>
      </c>
      <c r="CZ20" s="2">
        <f>CY20+預測IC!CZ20</f>
        <v>2.3760131493509813</v>
      </c>
      <c r="DA20" s="2">
        <f>CZ20+預測IC!DA20</f>
        <v>2.3202347983195684</v>
      </c>
      <c r="DB20" s="2">
        <f>DA20+預測IC!DB20</f>
        <v>2.3331452421735133</v>
      </c>
      <c r="DC20" s="2">
        <f>DB20+預測IC!DC20</f>
        <v>2.3677063728337489</v>
      </c>
      <c r="DD20" s="2">
        <f>DC20+預測IC!DD20</f>
        <v>2.4022715349232526</v>
      </c>
      <c r="DE20" s="2">
        <f>DD20+預測IC!DE20</f>
        <v>2.3588453492145138</v>
      </c>
      <c r="DF20" s="2">
        <f>DE20+預測IC!DF20</f>
        <v>2.3254728416289341</v>
      </c>
      <c r="DG20" s="2">
        <f>DF20+預測IC!DG20</f>
        <v>2.4659020923989545</v>
      </c>
      <c r="DH20" s="2">
        <f>DG20+預測IC!DH20</f>
        <v>2.4503816096998161</v>
      </c>
      <c r="DI20" s="2">
        <f>DH20+預測IC!DI20</f>
        <v>2.4228870689052671</v>
      </c>
      <c r="DJ20" s="2">
        <f>DI20+預測IC!DJ20</f>
        <v>2.4071594195050521</v>
      </c>
      <c r="DK20" s="2">
        <f>DJ20+預測IC!DK20</f>
        <v>2.4098882448914112</v>
      </c>
      <c r="DL20" s="2">
        <f>DK20+預測IC!DL20</f>
        <v>2.4153531944663618</v>
      </c>
      <c r="DM20" s="2">
        <f>DL20+預測IC!DM20</f>
        <v>2.3420643789431717</v>
      </c>
      <c r="DN20" s="2">
        <f>DM20+預測IC!DN20</f>
        <v>2.5689066206246363</v>
      </c>
      <c r="DO20" s="2">
        <f>DN20+預測IC!DO20</f>
        <v>2.551051500530169</v>
      </c>
      <c r="DP20" s="2">
        <f>DO20+預測IC!DP20</f>
        <v>2.5876245792244261</v>
      </c>
      <c r="DQ20" s="2">
        <f>DP20+預測IC!DQ20</f>
        <v>2.5460064570340148</v>
      </c>
      <c r="DR20" s="2">
        <f>DQ20+預測IC!DR20</f>
        <v>2.4874018940748752</v>
      </c>
      <c r="DS20" s="2">
        <f>DR20+預測IC!DS20</f>
        <v>2.5256371023227913</v>
      </c>
      <c r="DT20" s="2">
        <f>DS20+預測IC!DT20</f>
        <v>2.5936794894501558</v>
      </c>
      <c r="DU20" s="2">
        <f>DT20+預測IC!DU20</f>
        <v>2.3510236366996882</v>
      </c>
      <c r="DV20" s="2">
        <f>DU20+預測IC!DV20</f>
        <v>2.309235039408271</v>
      </c>
      <c r="DW20" s="2">
        <f>DV20+預測IC!DW20</f>
        <v>2.2598115677515205</v>
      </c>
      <c r="DX20" s="2">
        <f>DW20+預測IC!DX20</f>
        <v>2.3931658305410388</v>
      </c>
      <c r="DY20" s="2">
        <f>DX20+預測IC!DY20</f>
        <v>2.2025672373348093</v>
      </c>
      <c r="DZ20" s="2">
        <f>DY20+預測IC!DZ20</f>
        <v>2.0093644385217595</v>
      </c>
      <c r="EA20" s="2">
        <f>DZ20+預測IC!EA20</f>
        <v>2.208837792327377</v>
      </c>
      <c r="EB20" s="2">
        <f>EA20+預測IC!EB20</f>
        <v>2.3424314335177483</v>
      </c>
      <c r="EC20" s="2">
        <f>EB20+預測IC!EC20</f>
        <v>2.2908703092508902</v>
      </c>
      <c r="ED20" s="2">
        <f>EC20+預測IC!ED20</f>
        <v>2.2825735783813643</v>
      </c>
      <c r="EE20" s="2">
        <f>ED20+預測IC!EE20</f>
        <v>2.2543473128915479</v>
      </c>
      <c r="EF20" s="2">
        <f>EE20+預測IC!EF20</f>
        <v>2.1698885975031255</v>
      </c>
      <c r="EG20" s="2">
        <f>EF20+預測IC!EG20</f>
        <v>1.7163979158870897</v>
      </c>
      <c r="EH20" s="2">
        <f>EG20+預測IC!EH20</f>
        <v>1.7076294748627598</v>
      </c>
      <c r="EI20" s="2">
        <f>EH20+預測IC!EI20</f>
        <v>1.6558871631339913</v>
      </c>
      <c r="EJ20" s="2">
        <f>EI20+預測IC!EJ20</f>
        <v>1.6835962382305154</v>
      </c>
      <c r="EK20" s="2">
        <f>EJ20+預測IC!EK20</f>
        <v>1.8301452609008302</v>
      </c>
      <c r="EL20" s="2">
        <f>EK20+預測IC!EL20</f>
        <v>1.8747431136121084</v>
      </c>
    </row>
    <row r="21" spans="1:142" x14ac:dyDescent="0.3">
      <c r="A21" s="17">
        <v>256</v>
      </c>
      <c r="B21" s="17">
        <f t="shared" si="10"/>
        <v>4</v>
      </c>
      <c r="C21" s="2">
        <v>1.190207271587417E-2</v>
      </c>
      <c r="D21" s="2">
        <f>C21+預測IC!D21</f>
        <v>0.19915039658974448</v>
      </c>
      <c r="E21" s="2">
        <f>D21+預測IC!E21</f>
        <v>0.189534542797163</v>
      </c>
      <c r="F21" s="2">
        <f>E21+預測IC!F21</f>
        <v>0.37357312440329299</v>
      </c>
      <c r="G21" s="2">
        <f>F21+預測IC!G21</f>
        <v>0.31111752139552568</v>
      </c>
      <c r="H21" s="2">
        <f>G21+預測IC!H21</f>
        <v>0.25817245584849419</v>
      </c>
      <c r="I21" s="2">
        <f>H21+預測IC!I21</f>
        <v>4.0818179643484387E-2</v>
      </c>
      <c r="J21" s="2">
        <f>I21+預測IC!J21</f>
        <v>0.32585358196489039</v>
      </c>
      <c r="K21" s="2">
        <f>J21+預測IC!K21</f>
        <v>0.38223940541759011</v>
      </c>
      <c r="L21" s="2">
        <f>K21+預測IC!L21</f>
        <v>0.30923677097218827</v>
      </c>
      <c r="M21" s="2">
        <f>L21+預測IC!M21</f>
        <v>0.27988665292673609</v>
      </c>
      <c r="N21" s="2">
        <f>M21+預測IC!N21</f>
        <v>0.42408954334934357</v>
      </c>
      <c r="O21" s="2">
        <f>N21+預測IC!O21</f>
        <v>0.52579419950278661</v>
      </c>
      <c r="P21" s="2">
        <f>O21+預測IC!P21</f>
        <v>0.61395980578330112</v>
      </c>
      <c r="Q21" s="2">
        <f>P21+預測IC!Q21</f>
        <v>0.78836768917427236</v>
      </c>
      <c r="R21" s="2">
        <f>Q21+預測IC!R21</f>
        <v>0.8925938425309996</v>
      </c>
      <c r="S21" s="2">
        <f>R21+預測IC!S21</f>
        <v>1.1472766450368799</v>
      </c>
      <c r="T21" s="2">
        <f>S21+預測IC!T21</f>
        <v>1.2629956026705844</v>
      </c>
      <c r="U21" s="2">
        <f>T21+預測IC!U21</f>
        <v>1.3757270898157321</v>
      </c>
      <c r="V21" s="2">
        <f>U21+預測IC!V21</f>
        <v>1.3472294037750374</v>
      </c>
      <c r="W21" s="2">
        <f>V21+預測IC!W21</f>
        <v>1.5102852836016143</v>
      </c>
      <c r="X21" s="2">
        <f>W21+預測IC!X21</f>
        <v>1.376455246870502</v>
      </c>
      <c r="Y21" s="2">
        <f>X21+預測IC!Y21</f>
        <v>1.3633163646011444</v>
      </c>
      <c r="Z21" s="2">
        <f>Y21+預測IC!Z21</f>
        <v>1.4951802196942847</v>
      </c>
      <c r="AA21" s="2">
        <f>Z21+預測IC!AA21</f>
        <v>1.5037136162984706</v>
      </c>
      <c r="AB21" s="2">
        <f>AA21+預測IC!AB21</f>
        <v>1.3870036443820311</v>
      </c>
      <c r="AC21" s="2">
        <f>AB21+預測IC!AC21</f>
        <v>1.4490015736444004</v>
      </c>
      <c r="AD21" s="2">
        <f>AC21+預測IC!AD21</f>
        <v>1.3758871491232854</v>
      </c>
      <c r="AE21" s="2">
        <f>AD21+預測IC!AE21</f>
        <v>1.5263210827303175</v>
      </c>
      <c r="AF21" s="2">
        <f>AE21+預測IC!AF21</f>
        <v>1.2835595856701802</v>
      </c>
      <c r="AG21" s="2">
        <f>AF21+預測IC!AG21</f>
        <v>1.3278623634599742</v>
      </c>
      <c r="AH21" s="2">
        <f>AG21+預測IC!AH21</f>
        <v>1.3537703693377128</v>
      </c>
      <c r="AI21" s="2">
        <f>AH21+預測IC!AI21</f>
        <v>1.3310514552125359</v>
      </c>
      <c r="AJ21" s="2">
        <f>AI21+預測IC!AJ21</f>
        <v>1.5580828490081169</v>
      </c>
      <c r="AK21" s="2">
        <f>AJ21+預測IC!AK21</f>
        <v>1.5274394152706856</v>
      </c>
      <c r="AL21" s="2">
        <f>AK21+預測IC!AL21</f>
        <v>1.5928192380037962</v>
      </c>
      <c r="AM21" s="2">
        <f>AL21+預測IC!AM21</f>
        <v>1.5849861294275929</v>
      </c>
      <c r="AN21" s="2">
        <f>AM21+預測IC!AN21</f>
        <v>1.6914172673973946</v>
      </c>
      <c r="AO21" s="2">
        <f>AN21+預測IC!AO21</f>
        <v>1.8717777552574775</v>
      </c>
      <c r="AP21" s="2">
        <f>AO21+預測IC!AP21</f>
        <v>2.0563129216978844</v>
      </c>
      <c r="AQ21" s="2">
        <f>AP21+預測IC!AQ21</f>
        <v>2.1028904878041814</v>
      </c>
      <c r="AR21" s="2">
        <f>AQ21+預測IC!AR21</f>
        <v>2.0646713914936181</v>
      </c>
      <c r="AS21" s="2">
        <f>AR21+預測IC!AS21</f>
        <v>2.1820887121522121</v>
      </c>
      <c r="AT21" s="2">
        <f>AS21+預測IC!AT21</f>
        <v>2.3932727818823656</v>
      </c>
      <c r="AU21" s="2">
        <f>AT21+預測IC!AU21</f>
        <v>2.6541700701106463</v>
      </c>
      <c r="AV21" s="2">
        <f>AU21+預測IC!AV21</f>
        <v>2.5645109492130529</v>
      </c>
      <c r="AW21" s="2">
        <f>AV21+預測IC!AW21</f>
        <v>2.5894140474033729</v>
      </c>
      <c r="AX21" s="2">
        <f>AW21+預測IC!AX21</f>
        <v>2.7467254118219362</v>
      </c>
      <c r="AY21" s="2">
        <f>AX21+預測IC!AY21</f>
        <v>2.7308778480103784</v>
      </c>
      <c r="AZ21" s="2">
        <f>AY21+預測IC!AZ21</f>
        <v>2.5668301197617844</v>
      </c>
      <c r="BA21" s="2">
        <f>AZ21+預測IC!BA21</f>
        <v>2.5187625613601439</v>
      </c>
      <c r="BB21" s="2">
        <f>BA21+預測IC!BB21</f>
        <v>2.795150122626592</v>
      </c>
      <c r="BC21" s="2">
        <f>BB21+預測IC!BC21</f>
        <v>2.8550463234209906</v>
      </c>
      <c r="BD21" s="2">
        <f>BC21+預測IC!BD21</f>
        <v>2.8422166612984694</v>
      </c>
      <c r="BE21" s="2">
        <f>BD21+預測IC!BE21</f>
        <v>2.7054713053905051</v>
      </c>
      <c r="BF21" s="2">
        <f>BE21+預測IC!BF21</f>
        <v>2.9045885218211085</v>
      </c>
      <c r="BG21" s="2">
        <f>BF21+預測IC!BG21</f>
        <v>2.9178328332958001</v>
      </c>
      <c r="BH21" s="2">
        <f>BG21+預測IC!BH21</f>
        <v>2.8697791336779934</v>
      </c>
      <c r="BI21" s="2">
        <f>BH21+預測IC!BI21</f>
        <v>2.9160529023096835</v>
      </c>
      <c r="BJ21" s="2">
        <f>BI21+預測IC!BJ21</f>
        <v>2.9183624925351799</v>
      </c>
      <c r="BK21" s="2">
        <f>BJ21+預測IC!BK21</f>
        <v>2.9231476613504555</v>
      </c>
      <c r="BL21" s="2">
        <f>BK21+預測IC!BL21</f>
        <v>3.0176559439326964</v>
      </c>
      <c r="BM21" s="2">
        <f>BL21+預測IC!BM21</f>
        <v>3.0584512299614173</v>
      </c>
      <c r="BN21" s="2">
        <f>BM21+預測IC!BN21</f>
        <v>3.1822801668220833</v>
      </c>
      <c r="BO21" s="2">
        <f>BN21+預測IC!BO21</f>
        <v>3.2888972073639673</v>
      </c>
      <c r="BP21" s="2">
        <f>BO21+預測IC!BP21</f>
        <v>3.3714493275593354</v>
      </c>
      <c r="BQ21" s="2">
        <f>BP21+預測IC!BQ21</f>
        <v>3.3004024844927682</v>
      </c>
      <c r="BR21" s="2">
        <f>BQ21+預測IC!BR21</f>
        <v>3.3157855152980447</v>
      </c>
      <c r="BS21" s="2">
        <f>BR21+預測IC!BS21</f>
        <v>3.3455441080365387</v>
      </c>
      <c r="BT21" s="2">
        <f>BS21+預測IC!BT21</f>
        <v>3.3337800251430458</v>
      </c>
      <c r="BU21" s="2">
        <f>BT21+預測IC!BU21</f>
        <v>3.5115722807479011</v>
      </c>
      <c r="BV21" s="2">
        <f>BU21+預測IC!BV21</f>
        <v>3.5936712429498692</v>
      </c>
      <c r="BW21" s="2">
        <f>BV21+預測IC!BW21</f>
        <v>3.4489575452131409</v>
      </c>
      <c r="BX21" s="2">
        <f>BW21+預測IC!BX21</f>
        <v>3.4007196414891001</v>
      </c>
      <c r="BY21" s="2">
        <f>BX21+預測IC!BY21</f>
        <v>3.3238380278256994</v>
      </c>
      <c r="BZ21" s="2">
        <f>BY21+預測IC!BZ21</f>
        <v>3.072436249943113</v>
      </c>
      <c r="CA21" s="2">
        <f>BZ21+預測IC!CA21</f>
        <v>3.1367744042588002</v>
      </c>
      <c r="CB21" s="2">
        <f>CA21+預測IC!CB21</f>
        <v>3.1103860216887624</v>
      </c>
      <c r="CC21" s="2">
        <f>CB21+預測IC!CC21</f>
        <v>2.9310672756583971</v>
      </c>
      <c r="CD21" s="2">
        <f>CC21+預測IC!CD21</f>
        <v>2.8763322059523566</v>
      </c>
      <c r="CE21" s="2">
        <f>CD21+預測IC!CE21</f>
        <v>2.5361818320715326</v>
      </c>
      <c r="CF21" s="2">
        <f>CE21+預測IC!CF21</f>
        <v>2.5525539427078399</v>
      </c>
      <c r="CG21" s="2">
        <f>CF21+預測IC!CG21</f>
        <v>2.3996811466358685</v>
      </c>
      <c r="CH21" s="2">
        <f>CG21+預測IC!CH21</f>
        <v>2.5266447652958974</v>
      </c>
      <c r="CI21" s="2">
        <f>CH21+預測IC!CI21</f>
        <v>2.5296485686281662</v>
      </c>
      <c r="CJ21" s="2">
        <f>CI21+預測IC!CJ21</f>
        <v>2.7686962748330255</v>
      </c>
      <c r="CK21" s="2">
        <f>CJ21+預測IC!CK21</f>
        <v>3.0053276071888222</v>
      </c>
      <c r="CL21" s="2">
        <f>CK21+預測IC!CL21</f>
        <v>3.0906584919530014</v>
      </c>
      <c r="CM21" s="2">
        <f>CL21+預測IC!CM21</f>
        <v>3.0994102193398265</v>
      </c>
      <c r="CN21" s="2">
        <f>CM21+預測IC!CN21</f>
        <v>3.2059054397762954</v>
      </c>
      <c r="CO21" s="2">
        <f>CN21+預測IC!CO21</f>
        <v>2.9086455014531345</v>
      </c>
      <c r="CP21" s="2">
        <f>CO21+預測IC!CP21</f>
        <v>3.030855847017742</v>
      </c>
      <c r="CQ21" s="2">
        <f>CP21+預測IC!CQ21</f>
        <v>3.077928267493574</v>
      </c>
      <c r="CR21" s="2">
        <f>CQ21+預測IC!CR21</f>
        <v>2.9582197227563549</v>
      </c>
      <c r="CS21" s="2">
        <f>CR21+預測IC!CS21</f>
        <v>2.9885660537996612</v>
      </c>
      <c r="CT21" s="2">
        <f>CS21+預測IC!CT21</f>
        <v>2.9371150528690331</v>
      </c>
      <c r="CU21" s="2">
        <f>CT21+預測IC!CU21</f>
        <v>3.115051872935152</v>
      </c>
      <c r="CV21" s="2">
        <f>CU21+預測IC!CV21</f>
        <v>2.9146553143168741</v>
      </c>
      <c r="CW21" s="2">
        <f>CV21+預測IC!CW21</f>
        <v>2.9584969036289639</v>
      </c>
      <c r="CX21" s="2">
        <f>CW21+預測IC!CX21</f>
        <v>2.9207030005390928</v>
      </c>
      <c r="CY21" s="2">
        <f>CX21+預測IC!CY21</f>
        <v>2.8100526937247903</v>
      </c>
      <c r="CZ21" s="2">
        <f>CY21+預測IC!CZ21</f>
        <v>2.8189400528823829</v>
      </c>
      <c r="DA21" s="2">
        <f>CZ21+預測IC!DA21</f>
        <v>2.8097492369938206</v>
      </c>
      <c r="DB21" s="2">
        <f>DA21+預測IC!DB21</f>
        <v>2.8434343304698459</v>
      </c>
      <c r="DC21" s="2">
        <f>DB21+預測IC!DC21</f>
        <v>2.8958829804864439</v>
      </c>
      <c r="DD21" s="2">
        <f>DC21+預測IC!DD21</f>
        <v>2.9295541762843214</v>
      </c>
      <c r="DE21" s="2">
        <f>DD21+預測IC!DE21</f>
        <v>2.8764574850038924</v>
      </c>
      <c r="DF21" s="2">
        <f>DE21+預測IC!DF21</f>
        <v>2.8142548717395686</v>
      </c>
      <c r="DG21" s="2">
        <f>DF21+預測IC!DG21</f>
        <v>2.9424854953391573</v>
      </c>
      <c r="DH21" s="2">
        <f>DG21+預測IC!DH21</f>
        <v>2.9390142834259438</v>
      </c>
      <c r="DI21" s="2">
        <f>DH21+預測IC!DI21</f>
        <v>2.8850879887588738</v>
      </c>
      <c r="DJ21" s="2">
        <f>DI21+預測IC!DJ21</f>
        <v>2.9206869582193931</v>
      </c>
      <c r="DK21" s="2">
        <f>DJ21+預測IC!DK21</f>
        <v>2.9422322613690359</v>
      </c>
      <c r="DL21" s="2">
        <f>DK21+預測IC!DL21</f>
        <v>2.9641524499577629</v>
      </c>
      <c r="DM21" s="2">
        <f>DL21+預測IC!DM21</f>
        <v>2.8478999499060915</v>
      </c>
      <c r="DN21" s="2">
        <f>DM21+預測IC!DN21</f>
        <v>3.1698156294728803</v>
      </c>
      <c r="DO21" s="2">
        <f>DN21+預測IC!DO21</f>
        <v>3.1838820396281702</v>
      </c>
      <c r="DP21" s="2">
        <f>DO21+預測IC!DP21</f>
        <v>3.1462352765956947</v>
      </c>
      <c r="DQ21" s="2">
        <f>DP21+預測IC!DQ21</f>
        <v>3.0370269931181397</v>
      </c>
      <c r="DR21" s="2">
        <f>DQ21+預測IC!DR21</f>
        <v>3.0185115629177846</v>
      </c>
      <c r="DS21" s="2">
        <f>DR21+預測IC!DS21</f>
        <v>2.9116861811270067</v>
      </c>
      <c r="DT21" s="2">
        <f>DS21+預測IC!DT21</f>
        <v>2.9037922481131599</v>
      </c>
      <c r="DU21" s="2">
        <f>DT21+預測IC!DU21</f>
        <v>2.58290166391882</v>
      </c>
      <c r="DV21" s="2">
        <f>DU21+預測IC!DV21</f>
        <v>2.530752510720466</v>
      </c>
      <c r="DW21" s="2">
        <f>DV21+預測IC!DW21</f>
        <v>2.4105548542708459</v>
      </c>
      <c r="DX21" s="2">
        <f>DW21+預測IC!DX21</f>
        <v>2.5102794649713811</v>
      </c>
      <c r="DY21" s="2">
        <f>DX21+預測IC!DY21</f>
        <v>2.3900996319975092</v>
      </c>
      <c r="DZ21" s="2">
        <f>DY21+預測IC!DZ21</f>
        <v>2.1803350291111161</v>
      </c>
      <c r="EA21" s="2">
        <f>DZ21+預測IC!EA21</f>
        <v>2.3286210736922697</v>
      </c>
      <c r="EB21" s="2">
        <f>EA21+預測IC!EB21</f>
        <v>2.4176934665973078</v>
      </c>
      <c r="EC21" s="2">
        <f>EB21+預測IC!EC21</f>
        <v>2.3631472595573904</v>
      </c>
      <c r="ED21" s="2">
        <f>EC21+預測IC!ED21</f>
        <v>2.5210817821690075</v>
      </c>
      <c r="EE21" s="2">
        <f>ED21+預測IC!EE21</f>
        <v>2.50866461585679</v>
      </c>
      <c r="EF21" s="2">
        <f>EE21+預測IC!EF21</f>
        <v>2.424247375915924</v>
      </c>
      <c r="EG21" s="2">
        <f>EF21+預測IC!EG21</f>
        <v>1.8542240087637858</v>
      </c>
      <c r="EH21" s="2">
        <f>EG21+預測IC!EH21</f>
        <v>1.8277973391485896</v>
      </c>
      <c r="EI21" s="2">
        <f>EH21+預測IC!EI21</f>
        <v>1.6748245453192945</v>
      </c>
      <c r="EJ21" s="2">
        <f>EI21+預測IC!EJ21</f>
        <v>1.697973512586842</v>
      </c>
      <c r="EK21" s="2">
        <f>EJ21+預測IC!EK21</f>
        <v>1.8525605083441328</v>
      </c>
      <c r="EL21" s="2">
        <f>EK21+預測IC!EL21</f>
        <v>1.8967550608521229</v>
      </c>
    </row>
    <row r="22" spans="1:142" x14ac:dyDescent="0.3">
      <c r="A22" s="17">
        <v>400</v>
      </c>
      <c r="B22" s="17">
        <f t="shared" si="10"/>
        <v>3</v>
      </c>
      <c r="C22" s="2">
        <v>1.083089340061978E-2</v>
      </c>
      <c r="D22" s="2">
        <f>C22+預測IC!D22</f>
        <v>4.7404615808948891E-2</v>
      </c>
      <c r="E22" s="2">
        <f>D22+預測IC!E22</f>
        <v>2.5174203549710762E-2</v>
      </c>
      <c r="F22" s="2">
        <f>E22+預測IC!F22</f>
        <v>9.3005264470988336E-2</v>
      </c>
      <c r="G22" s="2">
        <f>F22+預測IC!G22</f>
        <v>-1.0879098819345762E-2</v>
      </c>
      <c r="H22" s="2">
        <f>G22+預測IC!H22</f>
        <v>-0.24068464331074635</v>
      </c>
      <c r="I22" s="2">
        <f>H22+預測IC!I22</f>
        <v>-0.45764270341886526</v>
      </c>
      <c r="J22" s="2">
        <f>I22+預測IC!J22</f>
        <v>-8.1549232076145339E-2</v>
      </c>
      <c r="K22" s="2">
        <f>J22+預測IC!K22</f>
        <v>1.9111913374206757E-2</v>
      </c>
      <c r="L22" s="2">
        <f>K22+預測IC!L22</f>
        <v>-0.10983685950124913</v>
      </c>
      <c r="M22" s="2">
        <f>L22+預測IC!M22</f>
        <v>-0.1259332460365058</v>
      </c>
      <c r="N22" s="2">
        <f>M22+預測IC!N22</f>
        <v>1.1671710201298313E-2</v>
      </c>
      <c r="O22" s="2">
        <f>N22+預測IC!O22</f>
        <v>0.15515205620557071</v>
      </c>
      <c r="P22" s="2">
        <f>O22+預測IC!P22</f>
        <v>0.24337436230391446</v>
      </c>
      <c r="Q22" s="2">
        <f>P22+預測IC!Q22</f>
        <v>0.52015125613696633</v>
      </c>
      <c r="R22" s="2">
        <f>Q22+預測IC!R22</f>
        <v>0.70653865271703808</v>
      </c>
      <c r="S22" s="2">
        <f>R22+預測IC!S22</f>
        <v>0.77937947923204198</v>
      </c>
      <c r="T22" s="2">
        <f>S22+預測IC!T22</f>
        <v>0.91523662879965306</v>
      </c>
      <c r="U22" s="2">
        <f>T22+預測IC!U22</f>
        <v>1.0045881828429302</v>
      </c>
      <c r="V22" s="2">
        <f>U22+預測IC!V22</f>
        <v>1.0658534100756711</v>
      </c>
      <c r="W22" s="2">
        <f>V22+預測IC!W22</f>
        <v>1.2220960636618257</v>
      </c>
      <c r="X22" s="2">
        <f>W22+預測IC!X22</f>
        <v>1.0918722050689735</v>
      </c>
      <c r="Y22" s="2">
        <f>X22+預測IC!Y22</f>
        <v>0.998653062294659</v>
      </c>
      <c r="Z22" s="2">
        <f>Y22+預測IC!Z22</f>
        <v>1.1251410984010541</v>
      </c>
      <c r="AA22" s="2">
        <f>Z22+預測IC!AA22</f>
        <v>1.1072522263665752</v>
      </c>
      <c r="AB22" s="2">
        <f>AA22+預測IC!AB22</f>
        <v>0.98975065060500989</v>
      </c>
      <c r="AC22" s="2">
        <f>AB22+預測IC!AC22</f>
        <v>1.050978604540469</v>
      </c>
      <c r="AD22" s="2">
        <f>AC22+預測IC!AD22</f>
        <v>0.99298273344812293</v>
      </c>
      <c r="AE22" s="2">
        <f>AD22+預測IC!AE22</f>
        <v>1.1262369851118241</v>
      </c>
      <c r="AF22" s="2">
        <f>AE22+預測IC!AF22</f>
        <v>0.85386473519039441</v>
      </c>
      <c r="AG22" s="2">
        <f>AF22+預測IC!AG22</f>
        <v>0.90670627536612836</v>
      </c>
      <c r="AH22" s="2">
        <f>AG22+預測IC!AH22</f>
        <v>0.63490475035931915</v>
      </c>
      <c r="AI22" s="2">
        <f>AH22+預測IC!AI22</f>
        <v>0.65540435833441757</v>
      </c>
      <c r="AJ22" s="2">
        <f>AI22+預測IC!AJ22</f>
        <v>0.66394947557174522</v>
      </c>
      <c r="AK22" s="2">
        <f>AJ22+預測IC!AK22</f>
        <v>0.76523803631214093</v>
      </c>
      <c r="AL22" s="2">
        <f>AK22+預測IC!AL22</f>
        <v>0.80557900311904129</v>
      </c>
      <c r="AM22" s="2">
        <f>AL22+預測IC!AM22</f>
        <v>0.82655456339686328</v>
      </c>
      <c r="AN22" s="2">
        <f>AM22+預測IC!AN22</f>
        <v>1.003761767131117</v>
      </c>
      <c r="AO22" s="2">
        <f>AN22+預測IC!AO22</f>
        <v>1.2398639207362945</v>
      </c>
      <c r="AP22" s="2">
        <f>AO22+預測IC!AP22</f>
        <v>1.4686952188630908</v>
      </c>
      <c r="AQ22" s="2">
        <f>AP22+預測IC!AQ22</f>
        <v>1.647757612946074</v>
      </c>
      <c r="AR22" s="2">
        <f>AQ22+預測IC!AR22</f>
        <v>1.5229940036064842</v>
      </c>
      <c r="AS22" s="2">
        <f>AR22+預測IC!AS22</f>
        <v>1.5451644857187647</v>
      </c>
      <c r="AT22" s="2">
        <f>AS22+預測IC!AT22</f>
        <v>1.658768830578274</v>
      </c>
      <c r="AU22" s="2">
        <f>AT22+預測IC!AU22</f>
        <v>1.9270926960703618</v>
      </c>
      <c r="AV22" s="2">
        <f>AU22+預測IC!AV22</f>
        <v>1.7993299177519797</v>
      </c>
      <c r="AW22" s="2">
        <f>AV22+預測IC!AW22</f>
        <v>1.816733302374212</v>
      </c>
      <c r="AX22" s="2">
        <f>AW22+預測IC!AX22</f>
        <v>1.7689954614027317</v>
      </c>
      <c r="AY22" s="2">
        <f>AX22+預測IC!AY22</f>
        <v>1.7530881145662298</v>
      </c>
      <c r="AZ22" s="2">
        <f>AY22+預測IC!AZ22</f>
        <v>1.5511869589643574</v>
      </c>
      <c r="BA22" s="2">
        <f>AZ22+預測IC!BA22</f>
        <v>1.4739324145001582</v>
      </c>
      <c r="BB22" s="2">
        <f>BA22+預測IC!BB22</f>
        <v>1.8377542495615091</v>
      </c>
      <c r="BC22" s="2">
        <f>BB22+預測IC!BC22</f>
        <v>1.7222125237488222</v>
      </c>
      <c r="BD22" s="2">
        <f>BC22+預測IC!BD22</f>
        <v>1.7786061416181134</v>
      </c>
      <c r="BE22" s="2">
        <f>BD22+預測IC!BE22</f>
        <v>1.6505382576524534</v>
      </c>
      <c r="BF22" s="2">
        <f>BE22+預測IC!BF22</f>
        <v>1.8496407062008919</v>
      </c>
      <c r="BG22" s="2">
        <f>BF22+預測IC!BG22</f>
        <v>1.895920218369278</v>
      </c>
      <c r="BH22" s="2">
        <f>BG22+預測IC!BH22</f>
        <v>1.7679596760311462</v>
      </c>
      <c r="BI22" s="2">
        <f>BH22+預測IC!BI22</f>
        <v>1.8503051435038205</v>
      </c>
      <c r="BJ22" s="2">
        <f>BI22+預測IC!BJ22</f>
        <v>1.9210197082256715</v>
      </c>
      <c r="BK22" s="2">
        <f>BJ22+預測IC!BK22</f>
        <v>1.9168672588052615</v>
      </c>
      <c r="BL22" s="2">
        <f>BK22+預測IC!BL22</f>
        <v>2.0345242081686892</v>
      </c>
      <c r="BM22" s="2">
        <f>BL22+預測IC!BM22</f>
        <v>2.0369546914142225</v>
      </c>
      <c r="BN22" s="2">
        <f>BM22+預測IC!BN22</f>
        <v>2.1348550206522328</v>
      </c>
      <c r="BO22" s="2">
        <f>BN22+預測IC!BO22</f>
        <v>2.2271327342523661</v>
      </c>
      <c r="BP22" s="2">
        <f>BO22+預測IC!BP22</f>
        <v>2.3072005186546458</v>
      </c>
      <c r="BQ22" s="2">
        <f>BP22+預測IC!BQ22</f>
        <v>2.2524578329255491</v>
      </c>
      <c r="BR22" s="2">
        <f>BQ22+預測IC!BR22</f>
        <v>2.2732848529109035</v>
      </c>
      <c r="BS22" s="2">
        <f>BR22+預測IC!BS22</f>
        <v>2.2292064299122192</v>
      </c>
      <c r="BT22" s="2">
        <f>BS22+預測IC!BT22</f>
        <v>2.3048598491672943</v>
      </c>
      <c r="BU22" s="2">
        <f>BT22+預測IC!BU22</f>
        <v>2.4372121851873652</v>
      </c>
      <c r="BV22" s="2">
        <f>BU22+預測IC!BV22</f>
        <v>2.4844786496992706</v>
      </c>
      <c r="BW22" s="2">
        <f>BV22+預測IC!BW22</f>
        <v>2.3201549266630028</v>
      </c>
      <c r="BX22" s="2">
        <f>BW22+預測IC!BX22</f>
        <v>2.248176908357935</v>
      </c>
      <c r="BY22" s="2">
        <f>BX22+預測IC!BY22</f>
        <v>2.1979094708830158</v>
      </c>
      <c r="BZ22" s="2">
        <f>BY22+預測IC!BZ22</f>
        <v>1.9182801320358611</v>
      </c>
      <c r="CA22" s="2">
        <f>BZ22+預測IC!CA22</f>
        <v>1.964295994429335</v>
      </c>
      <c r="CB22" s="2">
        <f>CA22+預測IC!CB22</f>
        <v>1.8518290734126908</v>
      </c>
      <c r="CC22" s="2">
        <f>CB22+預測IC!CC22</f>
        <v>1.5763842539892605</v>
      </c>
      <c r="CD22" s="2">
        <f>CC22+預測IC!CD22</f>
        <v>1.6921535803093601</v>
      </c>
      <c r="CE22" s="2">
        <f>CD22+預測IC!CE22</f>
        <v>1.2377736597491378</v>
      </c>
      <c r="CF22" s="2">
        <f>CE22+預測IC!CF22</f>
        <v>1.2679003145012178</v>
      </c>
      <c r="CG22" s="2">
        <f>CF22+預測IC!CG22</f>
        <v>0.94397723105544429</v>
      </c>
      <c r="CH22" s="2">
        <f>CG22+預測IC!CH22</f>
        <v>1.0393665291008818</v>
      </c>
      <c r="CI22" s="2">
        <f>CH22+預測IC!CI22</f>
        <v>1.0552269471844196</v>
      </c>
      <c r="CJ22" s="2">
        <f>CI22+預測IC!CJ22</f>
        <v>1.2638962382533745</v>
      </c>
      <c r="CK22" s="2">
        <f>CJ22+預測IC!CK22</f>
        <v>1.4403354464032201</v>
      </c>
      <c r="CL22" s="2">
        <f>CK22+預測IC!CL22</f>
        <v>1.5552470303223143</v>
      </c>
      <c r="CM22" s="2">
        <f>CL22+預測IC!CM22</f>
        <v>1.5197758705566604</v>
      </c>
      <c r="CN22" s="2">
        <f>CM22+預測IC!CN22</f>
        <v>1.488995287173885</v>
      </c>
      <c r="CO22" s="2">
        <f>CN22+預測IC!CO22</f>
        <v>1.0861764436877228</v>
      </c>
      <c r="CP22" s="2">
        <f>CO22+預測IC!CP22</f>
        <v>1.3047057439166034</v>
      </c>
      <c r="CQ22" s="2">
        <f>CP22+預測IC!CQ22</f>
        <v>1.3968716523248983</v>
      </c>
      <c r="CR22" s="2">
        <f>CQ22+預測IC!CR22</f>
        <v>1.2905405786877064</v>
      </c>
      <c r="CS22" s="2">
        <f>CR22+預測IC!CS22</f>
        <v>1.3216326345382612</v>
      </c>
      <c r="CT22" s="2">
        <f>CS22+預測IC!CT22</f>
        <v>1.3165453791841735</v>
      </c>
      <c r="CU22" s="2">
        <f>CT22+預測IC!CU22</f>
        <v>1.509259554035433</v>
      </c>
      <c r="CV22" s="2">
        <f>CU22+預測IC!CV22</f>
        <v>1.2729787412059128</v>
      </c>
      <c r="CW22" s="2">
        <f>CV22+預測IC!CW22</f>
        <v>1.262752194909466</v>
      </c>
      <c r="CX22" s="2">
        <f>CW22+預測IC!CX22</f>
        <v>1.2090837568107953</v>
      </c>
      <c r="CY22" s="2">
        <f>CX22+預測IC!CY22</f>
        <v>1.0735943231563796</v>
      </c>
      <c r="CZ22" s="2">
        <f>CY22+預測IC!CZ22</f>
        <v>1.0713987743639661</v>
      </c>
      <c r="DA22" s="2">
        <f>CZ22+預測IC!DA22</f>
        <v>1.0833116224669885</v>
      </c>
      <c r="DB22" s="2">
        <f>DA22+預測IC!DB22</f>
        <v>1.1022198090746715</v>
      </c>
      <c r="DC22" s="2">
        <f>DB22+預測IC!DC22</f>
        <v>1.1263032689646753</v>
      </c>
      <c r="DD22" s="2">
        <f>DC22+預測IC!DD22</f>
        <v>1.2646579225091488</v>
      </c>
      <c r="DE22" s="2">
        <f>DD22+預測IC!DE22</f>
        <v>1.3002914419871687</v>
      </c>
      <c r="DF22" s="2">
        <f>DE22+預測IC!DF22</f>
        <v>1.2662644818026598</v>
      </c>
      <c r="DG22" s="2">
        <f>DF22+預測IC!DG22</f>
        <v>1.4511016722957497</v>
      </c>
      <c r="DH22" s="2">
        <f>DG22+預測IC!DH22</f>
        <v>1.4455205046624984</v>
      </c>
      <c r="DI22" s="2">
        <f>DH22+預測IC!DI22</f>
        <v>1.4472039419323466</v>
      </c>
      <c r="DJ22" s="2">
        <f>DI22+預測IC!DJ22</f>
        <v>1.4499904417007712</v>
      </c>
      <c r="DK22" s="2">
        <f>DJ22+預測IC!DK22</f>
        <v>1.440736092783889</v>
      </c>
      <c r="DL22" s="2">
        <f>DK22+預測IC!DL22</f>
        <v>1.4738452078758322</v>
      </c>
      <c r="DM22" s="2">
        <f>DL22+預測IC!DM22</f>
        <v>1.4538489162025252</v>
      </c>
      <c r="DN22" s="2">
        <f>DM22+預測IC!DN22</f>
        <v>1.7543446983420348</v>
      </c>
      <c r="DO22" s="2">
        <f>DN22+預測IC!DO22</f>
        <v>1.6928840250568511</v>
      </c>
      <c r="DP22" s="2">
        <f>DO22+預測IC!DP22</f>
        <v>1.6901392811712688</v>
      </c>
      <c r="DQ22" s="2">
        <f>DP22+預測IC!DQ22</f>
        <v>1.4790783394094957</v>
      </c>
      <c r="DR22" s="2">
        <f>DQ22+預測IC!DR22</f>
        <v>1.5363753720704429</v>
      </c>
      <c r="DS22" s="2">
        <f>DR22+預測IC!DS22</f>
        <v>1.3974555480391622</v>
      </c>
      <c r="DT22" s="2">
        <f>DS22+預測IC!DT22</f>
        <v>1.4359246856504631</v>
      </c>
      <c r="DU22" s="2">
        <f>DT22+預測IC!DU22</f>
        <v>1.0364482667959809</v>
      </c>
      <c r="DV22" s="2">
        <f>DU22+預測IC!DV22</f>
        <v>0.94467242803481055</v>
      </c>
      <c r="DW22" s="2">
        <f>DV22+預測IC!DW22</f>
        <v>0.96955011833637517</v>
      </c>
      <c r="DX22" s="2">
        <f>DW22+預測IC!DX22</f>
        <v>1.1468134909240346</v>
      </c>
      <c r="DY22" s="2">
        <f>DX22+預測IC!DY22</f>
        <v>1.0051792337739618</v>
      </c>
      <c r="DZ22" s="2">
        <f>DY22+預測IC!DZ22</f>
        <v>0.8272755468272156</v>
      </c>
      <c r="EA22" s="2">
        <f>DZ22+預測IC!EA22</f>
        <v>0.81060399189698606</v>
      </c>
      <c r="EB22" s="2">
        <f>EA22+預測IC!EB22</f>
        <v>1.0149793521127402</v>
      </c>
      <c r="EC22" s="2">
        <f>EB22+預測IC!EC22</f>
        <v>0.96992557421473924</v>
      </c>
      <c r="ED22" s="2">
        <f>EC22+預測IC!ED22</f>
        <v>1.1536075607188949</v>
      </c>
      <c r="EE22" s="2">
        <f>ED22+預測IC!EE22</f>
        <v>1.1954048211051633</v>
      </c>
      <c r="EF22" s="2">
        <f>EE22+預測IC!EF22</f>
        <v>1.1610499277297635</v>
      </c>
      <c r="EG22" s="2">
        <f>EF22+預測IC!EG22</f>
        <v>0.42334273837968517</v>
      </c>
      <c r="EH22" s="2">
        <f>EG22+預測IC!EH22</f>
        <v>0.41117553078706282</v>
      </c>
      <c r="EI22" s="2">
        <f>EH22+預測IC!EI22</f>
        <v>0.31196967469360071</v>
      </c>
      <c r="EJ22" s="2">
        <f>EI22+預測IC!EJ22</f>
        <v>0.39557140358320186</v>
      </c>
      <c r="EK22" s="2">
        <f>EJ22+預測IC!EK22</f>
        <v>0.64541817011007763</v>
      </c>
      <c r="EL22" s="2">
        <f>EK22+預測IC!EL22</f>
        <v>0.6201109463711697</v>
      </c>
    </row>
    <row r="23" spans="1:142" x14ac:dyDescent="0.3">
      <c r="A23" s="17">
        <v>512</v>
      </c>
      <c r="B23" s="17">
        <f t="shared" si="10"/>
        <v>2</v>
      </c>
      <c r="C23" s="2">
        <v>3.1325684581971477E-2</v>
      </c>
      <c r="D23" s="2">
        <f>C23+預測IC!D23</f>
        <v>5.6898423179088789E-2</v>
      </c>
      <c r="E23" s="2">
        <f>D23+預測IC!E23</f>
        <v>4.1836835492123386E-2</v>
      </c>
      <c r="F23" s="2">
        <f>E23+預測IC!F23</f>
        <v>0.22423291081300209</v>
      </c>
      <c r="G23" s="2">
        <f>F23+預測IC!G23</f>
        <v>0.25120447933737011</v>
      </c>
      <c r="H23" s="2">
        <f>G23+預測IC!H23</f>
        <v>-1.1605761864082687E-2</v>
      </c>
      <c r="I23" s="2">
        <f>H23+預測IC!I23</f>
        <v>-0.15975779046437669</v>
      </c>
      <c r="J23" s="2">
        <f>I23+預測IC!J23</f>
        <v>-4.7722439493616889E-2</v>
      </c>
      <c r="K23" s="2">
        <f>J23+預測IC!K23</f>
        <v>9.3760275764030301E-2</v>
      </c>
      <c r="L23" s="2">
        <f>K23+預測IC!L23</f>
        <v>-0.1386840852784319</v>
      </c>
      <c r="M23" s="2">
        <f>L23+預測IC!M23</f>
        <v>-0.20540940914740574</v>
      </c>
      <c r="N23" s="2">
        <f>M23+預測IC!N23</f>
        <v>-0.10157768787351544</v>
      </c>
      <c r="O23" s="2">
        <f>N23+預測IC!O23</f>
        <v>0.10298669009948665</v>
      </c>
      <c r="P23" s="2">
        <f>O23+預測IC!P23</f>
        <v>0.22032216248791395</v>
      </c>
      <c r="Q23" s="2">
        <f>P23+預測IC!Q23</f>
        <v>0.16075414558739345</v>
      </c>
      <c r="R23" s="2">
        <f>Q23+預測IC!R23</f>
        <v>0.23616752786827958</v>
      </c>
      <c r="S23" s="2">
        <f>R23+預測IC!S23</f>
        <v>0.32017901098775314</v>
      </c>
      <c r="T23" s="2">
        <f>S23+預測IC!T23</f>
        <v>0.35979320015258076</v>
      </c>
      <c r="U23" s="2">
        <f>T23+預測IC!U23</f>
        <v>0.45614601807249427</v>
      </c>
      <c r="V23" s="2">
        <f>U23+預測IC!V23</f>
        <v>0.62143878379638195</v>
      </c>
      <c r="W23" s="2">
        <f>V23+預測IC!W23</f>
        <v>0.75797368735631032</v>
      </c>
      <c r="X23" s="2">
        <f>W23+預測IC!X23</f>
        <v>0.62090227609808213</v>
      </c>
      <c r="Y23" s="2">
        <f>X23+預測IC!Y23</f>
        <v>0.41675482709563622</v>
      </c>
      <c r="Z23" s="2">
        <f>Y23+預測IC!Z23</f>
        <v>0.5289021258191412</v>
      </c>
      <c r="AA23" s="2">
        <f>Z23+預測IC!AA23</f>
        <v>0.47399884974733292</v>
      </c>
      <c r="AB23" s="2">
        <f>AA23+預測IC!AB23</f>
        <v>0.3237573017799833</v>
      </c>
      <c r="AC23" s="2">
        <f>AB23+預測IC!AC23</f>
        <v>0.4964254486582787</v>
      </c>
      <c r="AD23" s="2">
        <f>AC23+預測IC!AD23</f>
        <v>0.47923764506865735</v>
      </c>
      <c r="AE23" s="2">
        <f>AD23+預測IC!AE23</f>
        <v>0.63167418063645409</v>
      </c>
      <c r="AF23" s="2">
        <f>AE23+預測IC!AF23</f>
        <v>0.43990128619250912</v>
      </c>
      <c r="AG23" s="2">
        <f>AF23+預測IC!AG23</f>
        <v>0.53177494383886936</v>
      </c>
      <c r="AH23" s="2">
        <f>AG23+預測IC!AH23</f>
        <v>0.10866019837603508</v>
      </c>
      <c r="AI23" s="2">
        <f>AH23+預測IC!AI23</f>
        <v>0.13890394268644626</v>
      </c>
      <c r="AJ23" s="2">
        <f>AI23+預測IC!AJ23</f>
        <v>0.14700198132466702</v>
      </c>
      <c r="AK23" s="2">
        <f>AJ23+預測IC!AK23</f>
        <v>0.26111308067185801</v>
      </c>
      <c r="AL23" s="2">
        <f>AK23+預測IC!AL23</f>
        <v>0.39254479386439362</v>
      </c>
      <c r="AM23" s="2">
        <f>AL23+預測IC!AM23</f>
        <v>0.38516291412644404</v>
      </c>
      <c r="AN23" s="2">
        <f>AM23+預測IC!AN23</f>
        <v>0.62747761348374476</v>
      </c>
      <c r="AO23" s="2">
        <f>AN23+預測IC!AO23</f>
        <v>0.87388477826623179</v>
      </c>
      <c r="AP23" s="2">
        <f>AO23+預測IC!AP23</f>
        <v>0.69485589196110675</v>
      </c>
      <c r="AQ23" s="2">
        <f>AP23+預測IC!AQ23</f>
        <v>0.88204866909999369</v>
      </c>
      <c r="AR23" s="2">
        <f>AQ23+預測IC!AR23</f>
        <v>0.63525555260926425</v>
      </c>
      <c r="AS23" s="2">
        <f>AR23+預測IC!AS23</f>
        <v>0.69803939626718914</v>
      </c>
      <c r="AT23" s="2">
        <f>AS23+預測IC!AT23</f>
        <v>0.80754529923208929</v>
      </c>
      <c r="AU23" s="2">
        <f>AT23+預測IC!AU23</f>
        <v>1.0583541657161986</v>
      </c>
      <c r="AV23" s="2">
        <f>AU23+預測IC!AV23</f>
        <v>0.96159691531606506</v>
      </c>
      <c r="AW23" s="2">
        <f>AV23+預測IC!AW23</f>
        <v>1.0136238251544678</v>
      </c>
      <c r="AX23" s="2">
        <f>AW23+預測IC!AX23</f>
        <v>0.99881104614592697</v>
      </c>
      <c r="AY23" s="2">
        <f>AX23+預測IC!AY23</f>
        <v>1.2514709295128363</v>
      </c>
      <c r="AZ23" s="2">
        <f>AY23+預測IC!AZ23</f>
        <v>0.95965393727344073</v>
      </c>
      <c r="BA23" s="2">
        <f>AZ23+預測IC!BA23</f>
        <v>0.96930071735354151</v>
      </c>
      <c r="BB23" s="2">
        <f>BA23+預測IC!BB23</f>
        <v>1.5361272434009818</v>
      </c>
      <c r="BC23" s="2">
        <f>BB23+預測IC!BC23</f>
        <v>1.235298994227916</v>
      </c>
      <c r="BD23" s="2">
        <f>BC23+預測IC!BD23</f>
        <v>1.3301298755743662</v>
      </c>
      <c r="BE23" s="2">
        <f>BD23+預測IC!BE23</f>
        <v>1.2058377325484668</v>
      </c>
      <c r="BF23" s="2">
        <f>BE23+預測IC!BF23</f>
        <v>1.4158468454089181</v>
      </c>
      <c r="BG23" s="2">
        <f>BF23+預測IC!BG23</f>
        <v>1.4906083166056707</v>
      </c>
      <c r="BH23" s="2">
        <f>BG23+預測IC!BH23</f>
        <v>1.2871243352503836</v>
      </c>
      <c r="BI23" s="2">
        <f>BH23+預測IC!BI23</f>
        <v>1.4083298588857938</v>
      </c>
      <c r="BJ23" s="2">
        <f>BI23+預測IC!BJ23</f>
        <v>1.4797677680479815</v>
      </c>
      <c r="BK23" s="2">
        <f>BJ23+預測IC!BK23</f>
        <v>1.4808741887912638</v>
      </c>
      <c r="BL23" s="2">
        <f>BK23+預測IC!BL23</f>
        <v>1.5952404789329329</v>
      </c>
      <c r="BM23" s="2">
        <f>BL23+預測IC!BM23</f>
        <v>1.5257450169084823</v>
      </c>
      <c r="BN23" s="2">
        <f>BM23+預測IC!BN23</f>
        <v>1.5304533855838927</v>
      </c>
      <c r="BO23" s="2">
        <f>BN23+預測IC!BO23</f>
        <v>1.7232598165468382</v>
      </c>
      <c r="BP23" s="2">
        <f>BO23+預測IC!BP23</f>
        <v>1.8665493561006867</v>
      </c>
      <c r="BQ23" s="2">
        <f>BP23+預測IC!BQ23</f>
        <v>1.8874412732987724</v>
      </c>
      <c r="BR23" s="2">
        <f>BQ23+預測IC!BR23</f>
        <v>1.911835235622573</v>
      </c>
      <c r="BS23" s="2">
        <f>BR23+預測IC!BS23</f>
        <v>1.9123263362049427</v>
      </c>
      <c r="BT23" s="2">
        <f>BS23+預測IC!BT23</f>
        <v>2.2546799428214683</v>
      </c>
      <c r="BU23" s="2">
        <f>BT23+預測IC!BU23</f>
        <v>2.3939443338353374</v>
      </c>
      <c r="BV23" s="2">
        <f>BU23+預測IC!BV23</f>
        <v>2.4472133843932258</v>
      </c>
      <c r="BW23" s="2">
        <f>BV23+預測IC!BW23</f>
        <v>2.2320834468188755</v>
      </c>
      <c r="BX23" s="2">
        <f>BW23+預測IC!BX23</f>
        <v>2.3118860374106993</v>
      </c>
      <c r="BY23" s="2">
        <f>BX23+預測IC!BY23</f>
        <v>2.2278950167937017</v>
      </c>
      <c r="BZ23" s="2">
        <f>BY23+預測IC!BZ23</f>
        <v>1.875497149728679</v>
      </c>
      <c r="CA23" s="2">
        <f>BZ23+預測IC!CA23</f>
        <v>1.9913451231835473</v>
      </c>
      <c r="CB23" s="2">
        <f>CA23+預測IC!CB23</f>
        <v>1.9334762825830563</v>
      </c>
      <c r="CC23" s="2">
        <f>CB23+預測IC!CC23</f>
        <v>1.4902934133856538</v>
      </c>
      <c r="CD23" s="2">
        <f>CC23+預測IC!CD23</f>
        <v>1.6021569841116465</v>
      </c>
      <c r="CE23" s="2">
        <f>CD23+預測IC!CE23</f>
        <v>1.0420874051359299</v>
      </c>
      <c r="CF23" s="2">
        <f>CE23+預測IC!CF23</f>
        <v>1.1848549510021065</v>
      </c>
      <c r="CG23" s="2">
        <f>CF23+預測IC!CG23</f>
        <v>0.79157820320999805</v>
      </c>
      <c r="CH23" s="2">
        <f>CG23+預測IC!CH23</f>
        <v>0.9224257381187273</v>
      </c>
      <c r="CI23" s="2">
        <f>CH23+預測IC!CI23</f>
        <v>0.91674724588388923</v>
      </c>
      <c r="CJ23" s="2">
        <f>CI23+預測IC!CJ23</f>
        <v>1.1653563595381742</v>
      </c>
      <c r="CK23" s="2">
        <f>CJ23+預測IC!CK23</f>
        <v>1.4801606507459839</v>
      </c>
      <c r="CL23" s="2">
        <f>CK23+預測IC!CL23</f>
        <v>1.8264464845597956</v>
      </c>
      <c r="CM23" s="2">
        <f>CL23+預測IC!CM23</f>
        <v>1.774874154968795</v>
      </c>
      <c r="CN23" s="2">
        <f>CM23+預測IC!CN23</f>
        <v>1.7722717259570457</v>
      </c>
      <c r="CO23" s="2">
        <f>CN23+預測IC!CO23</f>
        <v>1.3353587070195094</v>
      </c>
      <c r="CP23" s="2">
        <f>CO23+預測IC!CP23</f>
        <v>1.5531667421609967</v>
      </c>
      <c r="CQ23" s="2">
        <f>CP23+預測IC!CQ23</f>
        <v>1.6644987970101328</v>
      </c>
      <c r="CR23" s="2">
        <f>CQ23+預測IC!CR23</f>
        <v>1.6463261372774167</v>
      </c>
      <c r="CS23" s="2">
        <f>CR23+預測IC!CS23</f>
        <v>1.741838778323396</v>
      </c>
      <c r="CT23" s="2">
        <f>CS23+預測IC!CT23</f>
        <v>1.9166192357079324</v>
      </c>
      <c r="CU23" s="2">
        <f>CT23+預測IC!CU23</f>
        <v>2.1567635161924263</v>
      </c>
      <c r="CV23" s="2">
        <f>CU23+預測IC!CV23</f>
        <v>1.8469850113634982</v>
      </c>
      <c r="CW23" s="2">
        <f>CV23+預測IC!CW23</f>
        <v>1.8279314822638264</v>
      </c>
      <c r="CX23" s="2">
        <f>CW23+預測IC!CX23</f>
        <v>1.7400916196511902</v>
      </c>
      <c r="CY23" s="2">
        <f>CX23+預測IC!CY23</f>
        <v>1.5679532116677271</v>
      </c>
      <c r="CZ23" s="2">
        <f>CY23+預測IC!CZ23</f>
        <v>1.6142660008641498</v>
      </c>
      <c r="DA23" s="2">
        <f>CZ23+預測IC!DA23</f>
        <v>1.6071407676156593</v>
      </c>
      <c r="DB23" s="2">
        <f>DA23+預測IC!DB23</f>
        <v>1.6060631663147524</v>
      </c>
      <c r="DC23" s="2">
        <f>DB23+預測IC!DC23</f>
        <v>1.4919106934131074</v>
      </c>
      <c r="DD23" s="2">
        <f>DC23+預測IC!DD23</f>
        <v>1.5847093680902606</v>
      </c>
      <c r="DE23" s="2">
        <f>DD23+預測IC!DE23</f>
        <v>1.5753141421386156</v>
      </c>
      <c r="DF23" s="2">
        <f>DE23+預測IC!DF23</f>
        <v>1.5133720150937102</v>
      </c>
      <c r="DG23" s="2">
        <f>DF23+預測IC!DG23</f>
        <v>1.7619456379049072</v>
      </c>
      <c r="DH23" s="2">
        <f>DG23+預測IC!DH23</f>
        <v>1.7246497329880872</v>
      </c>
      <c r="DI23" s="2">
        <f>DH23+預測IC!DI23</f>
        <v>1.7538115752089238</v>
      </c>
      <c r="DJ23" s="2">
        <f>DI23+預測IC!DJ23</f>
        <v>1.7633389694199346</v>
      </c>
      <c r="DK23" s="2">
        <f>DJ23+預測IC!DK23</f>
        <v>1.7206528532577363</v>
      </c>
      <c r="DL23" s="2">
        <f>DK23+預測IC!DL23</f>
        <v>1.7747541303987349</v>
      </c>
      <c r="DM23" s="2">
        <f>DL23+預測IC!DM23</f>
        <v>1.7882074061450419</v>
      </c>
      <c r="DN23" s="2">
        <f>DM23+預測IC!DN23</f>
        <v>2.2324001923690808</v>
      </c>
      <c r="DO23" s="2">
        <f>DN23+預測IC!DO23</f>
        <v>2.1833228654534844</v>
      </c>
      <c r="DP23" s="2">
        <f>DO23+預測IC!DP23</f>
        <v>2.2549513391439922</v>
      </c>
      <c r="DQ23" s="2">
        <f>DP23+預測IC!DQ23</f>
        <v>1.9719086034035049</v>
      </c>
      <c r="DR23" s="2">
        <f>DQ23+預測IC!DR23</f>
        <v>2.0324047604922386</v>
      </c>
      <c r="DS23" s="2">
        <f>DR23+預測IC!DS23</f>
        <v>1.8614561625410375</v>
      </c>
      <c r="DT23" s="2">
        <f>DS23+預測IC!DT23</f>
        <v>1.945319039921813</v>
      </c>
      <c r="DU23" s="2">
        <f>DT23+預測IC!DU23</f>
        <v>1.4113973528374726</v>
      </c>
      <c r="DV23" s="2">
        <f>DU23+預測IC!DV23</f>
        <v>1.4327669992349659</v>
      </c>
      <c r="DW23" s="2">
        <f>DV23+預測IC!DW23</f>
        <v>1.7113433710583827</v>
      </c>
      <c r="DX23" s="2">
        <f>DW23+預測IC!DX23</f>
        <v>2.0307924666868455</v>
      </c>
      <c r="DY23" s="2">
        <f>DX23+預測IC!DY23</f>
        <v>1.7625705373147216</v>
      </c>
      <c r="DZ23" s="2">
        <f>DY23+預測IC!DZ23</f>
        <v>1.6981124884168779</v>
      </c>
      <c r="EA23" s="2">
        <f>DZ23+預測IC!EA23</f>
        <v>1.6693537086404728</v>
      </c>
      <c r="EB23" s="2">
        <f>EA23+預測IC!EB23</f>
        <v>2.0008890872222325</v>
      </c>
      <c r="EC23" s="2">
        <f>EB23+預測IC!EC23</f>
        <v>1.9840431504576608</v>
      </c>
      <c r="ED23" s="2">
        <f>EC23+預測IC!ED23</f>
        <v>2.1783664289795799</v>
      </c>
      <c r="EE23" s="2">
        <f>ED23+預測IC!EE23</f>
        <v>2.2479119870745663</v>
      </c>
      <c r="EF23" s="2">
        <f>EE23+預測IC!EF23</f>
        <v>2.1578569927954461</v>
      </c>
      <c r="EG23" s="2">
        <f>EF23+預測IC!EG23</f>
        <v>2.1275026352981112</v>
      </c>
      <c r="EH23" s="2">
        <f>EG23+預測IC!EH23</f>
        <v>2.2267120069548918</v>
      </c>
      <c r="EI23" s="2">
        <f>EH23+預測IC!EI23</f>
        <v>2.1170182625439651</v>
      </c>
      <c r="EJ23" s="2">
        <f>EI23+預測IC!EJ23</f>
        <v>2.1997823462307822</v>
      </c>
      <c r="EK23" s="2">
        <f>EJ23+預測IC!EK23</f>
        <v>2.51852118355625</v>
      </c>
      <c r="EL23" s="2">
        <f>EK23+預測IC!EL23</f>
        <v>2.4687950992427909</v>
      </c>
    </row>
    <row r="24" spans="1:142" x14ac:dyDescent="0.3">
      <c r="A24" s="17">
        <v>1051</v>
      </c>
      <c r="B24" s="17">
        <f t="shared" si="10"/>
        <v>1</v>
      </c>
      <c r="C24" s="2">
        <v>2.776696731044102E-2</v>
      </c>
      <c r="D24" s="2">
        <f>C24+預測IC!D24</f>
        <v>0.12837688020966961</v>
      </c>
      <c r="E24" s="2">
        <f>D24+預測IC!E24</f>
        <v>0.2102572148200671</v>
      </c>
      <c r="F24" s="2">
        <f>E24+預測IC!F24</f>
        <v>0.41180293369171328</v>
      </c>
      <c r="G24" s="2">
        <f>F24+預測IC!G24</f>
        <v>0.43442532225433095</v>
      </c>
      <c r="H24" s="2">
        <f>G24+預測IC!H24</f>
        <v>8.3603130923292135E-2</v>
      </c>
      <c r="I24" s="2">
        <f>H24+預測IC!I24</f>
        <v>8.5715064126435633E-2</v>
      </c>
      <c r="J24" s="2">
        <f>I24+預測IC!J24</f>
        <v>3.1412908049487806E-2</v>
      </c>
      <c r="K24" s="2">
        <f>J24+預測IC!K24</f>
        <v>8.1857244042976507E-2</v>
      </c>
      <c r="L24" s="2">
        <f>K24+預測IC!L24</f>
        <v>-0.25190220043267009</v>
      </c>
      <c r="M24" s="2">
        <f>L24+預測IC!M24</f>
        <v>-0.39872153933217858</v>
      </c>
      <c r="N24" s="2">
        <f>M24+預測IC!N24</f>
        <v>-0.29352982853633319</v>
      </c>
      <c r="O24" s="2">
        <f>N24+預測IC!O24</f>
        <v>-5.8220635130910192E-2</v>
      </c>
      <c r="P24" s="2">
        <f>O24+預測IC!P24</f>
        <v>1.9515850723147043E-2</v>
      </c>
      <c r="Q24" s="2">
        <f>P24+預測IC!Q24</f>
        <v>-4.1449110923559226E-2</v>
      </c>
      <c r="R24" s="2">
        <f>Q24+預測IC!R24</f>
        <v>6.6916383988631978E-2</v>
      </c>
      <c r="S24" s="2">
        <f>R24+預測IC!S24</f>
        <v>0.16772517927627939</v>
      </c>
      <c r="T24" s="2">
        <f>S24+預測IC!T24</f>
        <v>8.978678277840621E-2</v>
      </c>
      <c r="U24" s="2">
        <f>T24+預測IC!U24</f>
        <v>0.11012851786427269</v>
      </c>
      <c r="V24" s="2">
        <f>U24+預測IC!V24</f>
        <v>0.2266688345811235</v>
      </c>
      <c r="W24" s="2">
        <f>V24+預測IC!W24</f>
        <v>0.86960236318678297</v>
      </c>
      <c r="X24" s="2">
        <f>W24+預測IC!X24</f>
        <v>0.75157993068077911</v>
      </c>
      <c r="Y24" s="2">
        <f>X24+預測IC!Y24</f>
        <v>0.25803994320181389</v>
      </c>
      <c r="Z24" s="2">
        <f>Y24+預測IC!Z24</f>
        <v>0.3374636474510665</v>
      </c>
      <c r="AA24" s="2">
        <f>Z24+預測IC!AA24</f>
        <v>0.35101141568864375</v>
      </c>
      <c r="AB24" s="2">
        <f>AA24+預測IC!AB24</f>
        <v>0.15567179301339995</v>
      </c>
      <c r="AC24" s="2">
        <f>AB24+預測IC!AC24</f>
        <v>0.62985507654468953</v>
      </c>
      <c r="AD24" s="2">
        <f>AC24+預測IC!AD24</f>
        <v>0.16178488602884061</v>
      </c>
      <c r="AE24" s="2">
        <f>AD24+預測IC!AE24</f>
        <v>0.27351616745267604</v>
      </c>
      <c r="AF24" s="2">
        <f>AE24+預測IC!AF24</f>
        <v>0.1986822424540052</v>
      </c>
      <c r="AG24" s="2">
        <f>AF24+預測IC!AG24</f>
        <v>0.33181649299760391</v>
      </c>
      <c r="AH24" s="2">
        <f>AG24+預測IC!AH24</f>
        <v>-0.16829292093071008</v>
      </c>
      <c r="AI24" s="2">
        <f>AH24+預測IC!AI24</f>
        <v>4.6244300710096914E-2</v>
      </c>
      <c r="AJ24" s="2">
        <f>AI24+預測IC!AJ24</f>
        <v>2.7418658825746164E-2</v>
      </c>
      <c r="AK24" s="2">
        <f>AJ24+預測IC!AK24</f>
        <v>0.11230261189393846</v>
      </c>
      <c r="AL24" s="2">
        <f>AK24+預測IC!AL24</f>
        <v>5.7625676403303079E-2</v>
      </c>
      <c r="AM24" s="2">
        <f>AL24+預測IC!AM24</f>
        <v>0.13622417437641615</v>
      </c>
      <c r="AN24" s="2">
        <f>AM24+預測IC!AN24</f>
        <v>0.35741363952184746</v>
      </c>
      <c r="AO24" s="2">
        <f>AN24+預測IC!AO24</f>
        <v>0.46031934209963699</v>
      </c>
      <c r="AP24" s="2">
        <f>AO24+預測IC!AP24</f>
        <v>4.3910808209926266E-2</v>
      </c>
      <c r="AQ24" s="2">
        <f>AP24+預測IC!AQ24</f>
        <v>0.34191419256889416</v>
      </c>
      <c r="AR24" s="2">
        <f>AQ24+預測IC!AR24</f>
        <v>0.11359369958112267</v>
      </c>
      <c r="AS24" s="2">
        <f>AR24+預測IC!AS24</f>
        <v>0.1731078271135304</v>
      </c>
      <c r="AT24" s="2">
        <f>AS24+預測IC!AT24</f>
        <v>0.32387680703921118</v>
      </c>
      <c r="AU24" s="2">
        <f>AT24+預測IC!AU24</f>
        <v>0.55371782271863101</v>
      </c>
      <c r="AV24" s="2">
        <f>AU24+預測IC!AV24</f>
        <v>0.53419560829610702</v>
      </c>
      <c r="AW24" s="2">
        <f>AV24+預測IC!AW24</f>
        <v>0.52920806678506782</v>
      </c>
      <c r="AX24" s="2">
        <f>AW24+預測IC!AX24</f>
        <v>0.64069940370128331</v>
      </c>
      <c r="AY24" s="2">
        <f>AX24+預測IC!AY24</f>
        <v>1.0841728454377826</v>
      </c>
      <c r="AZ24" s="2">
        <f>AY24+預測IC!AZ24</f>
        <v>0.47427328525300572</v>
      </c>
      <c r="BA24" s="2">
        <f>AZ24+預測IC!BA24</f>
        <v>0.42047855316837257</v>
      </c>
      <c r="BB24" s="2">
        <f>BA24+預測IC!BB24</f>
        <v>1.1112550845490445</v>
      </c>
      <c r="BC24" s="2">
        <f>BB24+預測IC!BC24</f>
        <v>0.30803907150466714</v>
      </c>
      <c r="BD24" s="2">
        <f>BC24+預測IC!BD24</f>
        <v>0.49363429075110232</v>
      </c>
      <c r="BE24" s="2">
        <f>BD24+預測IC!BE24</f>
        <v>0.55101482873618246</v>
      </c>
      <c r="BF24" s="2">
        <f>BE24+預測IC!BF24</f>
        <v>0.48664440778671891</v>
      </c>
      <c r="BG24" s="2">
        <f>BF24+預測IC!BG24</f>
        <v>0.51348037365302979</v>
      </c>
      <c r="BH24" s="2">
        <f>BG24+預測IC!BH24</f>
        <v>0.12722503673949481</v>
      </c>
      <c r="BI24" s="2">
        <f>BH24+預測IC!BI24</f>
        <v>0.29649396173221382</v>
      </c>
      <c r="BJ24" s="2">
        <f>BI24+預測IC!BJ24</f>
        <v>0.23133986655242789</v>
      </c>
      <c r="BK24" s="2">
        <f>BJ24+預測IC!BK24</f>
        <v>0.2585780756059326</v>
      </c>
      <c r="BL24" s="2">
        <f>BK24+預測IC!BL24</f>
        <v>0.36468499575709923</v>
      </c>
      <c r="BM24" s="2">
        <f>BL24+預測IC!BM24</f>
        <v>0.44946793559608744</v>
      </c>
      <c r="BN24" s="2">
        <f>BM24+預測IC!BN24</f>
        <v>0.45631727744166223</v>
      </c>
      <c r="BO24" s="2">
        <f>BN24+預測IC!BO24</f>
        <v>0.61742696853730417</v>
      </c>
      <c r="BP24" s="2">
        <f>BO24+預測IC!BP24</f>
        <v>0.74077814966662603</v>
      </c>
      <c r="BQ24" s="2">
        <f>BP24+預測IC!BQ24</f>
        <v>0.75463561609076235</v>
      </c>
      <c r="BR24" s="2">
        <f>BQ24+預測IC!BR24</f>
        <v>0.79699183939418006</v>
      </c>
      <c r="BS24" s="2">
        <f>BR24+預測IC!BS24</f>
        <v>0.93731195335627115</v>
      </c>
      <c r="BT24" s="2">
        <f>BS24+預測IC!BT24</f>
        <v>1.2367763966995344</v>
      </c>
      <c r="BU24" s="2">
        <f>BT24+預測IC!BU24</f>
        <v>1.394328272582013</v>
      </c>
      <c r="BV24" s="2">
        <f>BU24+預測IC!BV24</f>
        <v>1.4405869783226759</v>
      </c>
      <c r="BW24" s="2">
        <f>BV24+預測IC!BW24</f>
        <v>1.2323716808188823</v>
      </c>
      <c r="BX24" s="2">
        <f>BW24+預測IC!BX24</f>
        <v>1.2998064022028726</v>
      </c>
      <c r="BY24" s="2">
        <f>BX24+預測IC!BY24</f>
        <v>1.0094695272574556</v>
      </c>
      <c r="BZ24" s="2">
        <f>BY24+預測IC!BZ24</f>
        <v>0.19551150051493382</v>
      </c>
      <c r="CA24" s="2">
        <f>BZ24+預測IC!CA24</f>
        <v>0.30426458926192212</v>
      </c>
      <c r="CB24" s="2">
        <f>CA24+預測IC!CB24</f>
        <v>0.24678747063551704</v>
      </c>
      <c r="CC24" s="2">
        <f>CB24+預測IC!CC24</f>
        <v>0.46661866383674411</v>
      </c>
      <c r="CD24" s="2">
        <f>CC24+預測IC!CD24</f>
        <v>0.71010072379932743</v>
      </c>
      <c r="CE24" s="2">
        <f>CD24+預測IC!CE24</f>
        <v>0.63642482182735238</v>
      </c>
      <c r="CF24" s="2">
        <f>CE24+預測IC!CF24</f>
        <v>1.0392639158604433</v>
      </c>
      <c r="CG24" s="2">
        <f>CF24+預測IC!CG24</f>
        <v>0.3986792819878251</v>
      </c>
      <c r="CH24" s="2">
        <f>CG24+預測IC!CH24</f>
        <v>0.40725657906839846</v>
      </c>
      <c r="CI24" s="2">
        <f>CH24+預測IC!CI24</f>
        <v>0.28607898972706486</v>
      </c>
      <c r="CJ24" s="2">
        <f>CI24+預測IC!CJ24</f>
        <v>0.69483737035414084</v>
      </c>
      <c r="CK24" s="2">
        <f>CJ24+預測IC!CK24</f>
        <v>0.68604999435713798</v>
      </c>
      <c r="CL24" s="2">
        <f>CK24+預測IC!CL24</f>
        <v>1.091131403131133</v>
      </c>
      <c r="CM24" s="2">
        <f>CL24+預測IC!CM24</f>
        <v>0.85617186326650507</v>
      </c>
      <c r="CN24" s="2">
        <f>CM24+預測IC!CN24</f>
        <v>0.9467205202416884</v>
      </c>
      <c r="CO24" s="2">
        <f>CN24+預測IC!CO24</f>
        <v>0.23099151151632791</v>
      </c>
      <c r="CP24" s="2">
        <f>CO24+預測IC!CP24</f>
        <v>0.49645044718339859</v>
      </c>
      <c r="CQ24" s="2">
        <f>CP24+預測IC!CQ24</f>
        <v>0.6273776453836265</v>
      </c>
      <c r="CR24" s="2">
        <f>CQ24+預測IC!CR24</f>
        <v>0.58977953830226193</v>
      </c>
      <c r="CS24" s="2">
        <f>CR24+預測IC!CS24</f>
        <v>0.71128985061511374</v>
      </c>
      <c r="CT24" s="2">
        <f>CS24+預測IC!CT24</f>
        <v>0.89418643790723018</v>
      </c>
      <c r="CU24" s="2">
        <f>CT24+預測IC!CU24</f>
        <v>0.94691548272088499</v>
      </c>
      <c r="CV24" s="2">
        <f>CU24+預測IC!CV24</f>
        <v>0.68489064403677857</v>
      </c>
      <c r="CW24" s="2">
        <f>CV24+預測IC!CW24</f>
        <v>0.38916758255638678</v>
      </c>
      <c r="CX24" s="2">
        <f>CW24+預測IC!CX24</f>
        <v>0.21109638386281038</v>
      </c>
      <c r="CY24" s="2">
        <f>CX24+預測IC!CY24</f>
        <v>-0.14913166290592733</v>
      </c>
      <c r="CZ24" s="2">
        <f>CY24+預測IC!CZ24</f>
        <v>0.16203567447978595</v>
      </c>
      <c r="DA24" s="2">
        <f>CZ24+預測IC!DA24</f>
        <v>0.1865468786425408</v>
      </c>
      <c r="DB24" s="2">
        <f>DA24+預測IC!DB24</f>
        <v>-1.305189046549729E-2</v>
      </c>
      <c r="DC24" s="2">
        <f>DB24+預測IC!DC24</f>
        <v>-0.20750548875671518</v>
      </c>
      <c r="DD24" s="2">
        <f>DC24+預測IC!DD24</f>
        <v>-0.40335021093915646</v>
      </c>
      <c r="DE24" s="2">
        <f>DD24+預測IC!DE24</f>
        <v>-0.5794129684486915</v>
      </c>
      <c r="DF24" s="2">
        <f>DE24+預測IC!DF24</f>
        <v>-0.47474799242813021</v>
      </c>
      <c r="DG24" s="2">
        <f>DF24+預測IC!DG24</f>
        <v>-0.28563773335387432</v>
      </c>
      <c r="DH24" s="2">
        <f>DG24+預測IC!DH24</f>
        <v>-0.4630623871690287</v>
      </c>
      <c r="DI24" s="2">
        <f>DH24+預測IC!DI24</f>
        <v>-0.82783750245569454</v>
      </c>
      <c r="DJ24" s="2">
        <f>DI24+預測IC!DJ24</f>
        <v>-0.57941283950258371</v>
      </c>
      <c r="DK24" s="2">
        <f>DJ24+預測IC!DK24</f>
        <v>-0.55137247217621754</v>
      </c>
      <c r="DL24" s="2">
        <f>DK24+預測IC!DL24</f>
        <v>-0.50360338616433964</v>
      </c>
      <c r="DM24" s="2">
        <f>DL24+預測IC!DM24</f>
        <v>-0.58501292979791064</v>
      </c>
      <c r="DN24" s="2">
        <f>DM24+預測IC!DN24</f>
        <v>8.2075745804079392E-2</v>
      </c>
      <c r="DO24" s="2">
        <f>DN24+預測IC!DO24</f>
        <v>4.1181456346738775E-2</v>
      </c>
      <c r="DP24" s="2">
        <f>DO24+預測IC!DP24</f>
        <v>-8.4928307766569816E-2</v>
      </c>
      <c r="DQ24" s="2">
        <f>DP24+預測IC!DQ24</f>
        <v>-0.43193940954006027</v>
      </c>
      <c r="DR24" s="2">
        <f>DQ24+預測IC!DR24</f>
        <v>-0.38530209873172944</v>
      </c>
      <c r="DS24" s="2">
        <f>DR24+預測IC!DS24</f>
        <v>-0.80872227901834548</v>
      </c>
      <c r="DT24" s="2">
        <f>DS24+預測IC!DT24</f>
        <v>-0.8030582484505624</v>
      </c>
      <c r="DU24" s="2">
        <f>DT24+預測IC!DU24</f>
        <v>-1.5539966092607642</v>
      </c>
      <c r="DV24" s="2">
        <f>DU24+預測IC!DV24</f>
        <v>-1.7836215653869905</v>
      </c>
      <c r="DW24" s="2">
        <f>DV24+預測IC!DW24</f>
        <v>-1.4002583244417846</v>
      </c>
      <c r="DX24" s="2">
        <f>DW24+預測IC!DX24</f>
        <v>-1.114328840558886</v>
      </c>
      <c r="DY24" s="2">
        <f>DX24+預測IC!DY24</f>
        <v>-1.1463953762888375</v>
      </c>
      <c r="DZ24" s="2">
        <f>DY24+預測IC!DZ24</f>
        <v>-1.1953000405476373</v>
      </c>
      <c r="EA24" s="2">
        <f>DZ24+預測IC!EA24</f>
        <v>-1.2502202243891398</v>
      </c>
      <c r="EB24" s="2">
        <f>EA24+預測IC!EB24</f>
        <v>-0.5650185501698497</v>
      </c>
      <c r="EC24" s="2">
        <f>EB24+預測IC!EC24</f>
        <v>-0.57870272506385223</v>
      </c>
      <c r="ED24" s="2">
        <f>EC24+預測IC!ED24</f>
        <v>-0.49416263249658743</v>
      </c>
      <c r="EE24" s="2">
        <f>ED24+預測IC!EE24</f>
        <v>-0.52982661536755216</v>
      </c>
      <c r="EF24" s="2">
        <f>EE24+預測IC!EF24</f>
        <v>-0.66391369171776682</v>
      </c>
      <c r="EG24" s="2">
        <f>EF24+預測IC!EG24</f>
        <v>-0.59346236733286595</v>
      </c>
      <c r="EH24" s="2">
        <f>EG24+預測IC!EH24</f>
        <v>-0.38807678864035206</v>
      </c>
      <c r="EI24" s="2">
        <f>EH24+預測IC!EI24</f>
        <v>-0.52337143181501711</v>
      </c>
      <c r="EJ24" s="2">
        <f>EI24+預測IC!EJ24</f>
        <v>-0.35345795119304979</v>
      </c>
      <c r="EK24" s="2">
        <f>EJ24+預測IC!EK24</f>
        <v>-0.55138367576419633</v>
      </c>
      <c r="EL24" s="2">
        <f>EK24+預測IC!EL24</f>
        <v>-0.80797516114594625</v>
      </c>
    </row>
    <row r="25" spans="1:142" x14ac:dyDescent="0.3">
      <c r="A25" s="17" t="s">
        <v>154</v>
      </c>
      <c r="B25" s="17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workbookViewId="0">
      <selection activeCell="B22" sqref="B22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6" width="16.19921875" style="12" customWidth="1"/>
    <col min="7" max="16384" width="16.19921875" style="12"/>
  </cols>
  <sheetData>
    <row r="1" spans="1:142" x14ac:dyDescent="0.55000000000000004">
      <c r="A1" s="11" t="s">
        <v>314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1.4921767594186151E-2</v>
      </c>
      <c r="D3" s="13">
        <v>0.19374055664815121</v>
      </c>
      <c r="E3" s="13">
        <v>3.6641284891212558E-2</v>
      </c>
      <c r="F3" s="13">
        <v>2.720037808305234E-2</v>
      </c>
      <c r="G3" s="13">
        <v>4.1572509507104963E-2</v>
      </c>
      <c r="H3" s="13">
        <v>-3.7682778213388252E-2</v>
      </c>
      <c r="I3" s="13">
        <v>-0.14193848136906101</v>
      </c>
      <c r="J3" s="13">
        <v>0.22945654465299789</v>
      </c>
      <c r="K3" s="13">
        <v>4.3442237101088077E-2</v>
      </c>
      <c r="L3" s="13">
        <v>2.0280322863003471E-2</v>
      </c>
      <c r="M3" s="13">
        <v>5.8836120966363772E-2</v>
      </c>
      <c r="N3" s="13">
        <v>-0.15172078456838869</v>
      </c>
      <c r="O3" s="13">
        <v>0.32674605046024302</v>
      </c>
      <c r="P3" s="13">
        <v>0.15440773966925631</v>
      </c>
      <c r="Q3" s="13">
        <v>-0.1077953169647555</v>
      </c>
      <c r="R3" s="13">
        <v>-7.388217884017384E-2</v>
      </c>
      <c r="S3" s="13">
        <v>5.3466577832935007E-2</v>
      </c>
      <c r="T3" s="13">
        <v>-5.5190803448215323E-2</v>
      </c>
      <c r="U3" s="13">
        <v>-0.25838402358278728</v>
      </c>
      <c r="V3" s="13">
        <v>1.8370552657987281E-2</v>
      </c>
      <c r="W3" s="13">
        <v>0.22943515813535009</v>
      </c>
      <c r="X3" s="13">
        <v>-0.17107394554599489</v>
      </c>
      <c r="Y3" s="13">
        <v>0.22961919239615811</v>
      </c>
      <c r="Z3" s="13">
        <v>1.6609176417928001E-2</v>
      </c>
      <c r="AA3" s="13">
        <v>0.42374789292198939</v>
      </c>
      <c r="AB3" s="13">
        <v>-0.21459677754992679</v>
      </c>
      <c r="AC3" s="13">
        <v>4.4537467980128032E-2</v>
      </c>
      <c r="AD3" s="13">
        <v>0.1026363998651266</v>
      </c>
      <c r="AE3" s="13">
        <v>-5.0827700488349413E-2</v>
      </c>
      <c r="AF3" s="13">
        <v>-8.9107468044314797E-2</v>
      </c>
      <c r="AG3" s="13">
        <v>0.1222387206017722</v>
      </c>
      <c r="AH3" s="13">
        <v>-0.1126045230898728</v>
      </c>
      <c r="AI3" s="13">
        <v>0.1314139277105186</v>
      </c>
      <c r="AJ3" s="13">
        <v>0.16749207334460819</v>
      </c>
      <c r="AK3" s="13">
        <v>9.0663364527517804E-2</v>
      </c>
      <c r="AL3" s="13">
        <v>0.19313853511160101</v>
      </c>
      <c r="AM3" s="13">
        <v>7.7111193891363769E-2</v>
      </c>
      <c r="AN3" s="13">
        <v>0.25612014410100881</v>
      </c>
      <c r="AO3" s="13">
        <v>4.9003917759049262E-2</v>
      </c>
      <c r="AP3" s="13">
        <v>4.0886892136553048E-2</v>
      </c>
      <c r="AQ3" s="13">
        <v>-0.1105824318508952</v>
      </c>
      <c r="AR3" s="13">
        <v>2.295475557985116E-2</v>
      </c>
      <c r="AS3" s="13">
        <v>4.8656704163688558E-2</v>
      </c>
      <c r="AT3" s="13">
        <v>-5.42298370960584E-2</v>
      </c>
      <c r="AU3" s="13">
        <v>8.6316820243342141E-2</v>
      </c>
      <c r="AV3" s="13">
        <v>3.9564967369030882E-2</v>
      </c>
      <c r="AW3" s="13">
        <v>-0.19104490996141851</v>
      </c>
      <c r="AX3" s="13">
        <v>9.7109439791782243E-2</v>
      </c>
      <c r="AY3" s="13">
        <v>-1.9067525743759941E-2</v>
      </c>
      <c r="AZ3" s="13">
        <v>-9.1169360226394602E-2</v>
      </c>
      <c r="BA3" s="13">
        <v>0.1659581375266328</v>
      </c>
      <c r="BB3" s="13">
        <v>-4.1157026410981457E-2</v>
      </c>
      <c r="BC3" s="13">
        <v>0.1302099546908265</v>
      </c>
      <c r="BD3" s="13">
        <v>0.20026039215823041</v>
      </c>
      <c r="BE3" s="13">
        <v>-0.1061765229031819</v>
      </c>
      <c r="BF3" s="13">
        <v>3.9767282640800483E-3</v>
      </c>
      <c r="BG3" s="13">
        <v>0.33032254291108359</v>
      </c>
      <c r="BH3" s="13">
        <v>0.31722692640179961</v>
      </c>
      <c r="BI3" s="13">
        <v>1.5898229338183582E-2</v>
      </c>
      <c r="BJ3" s="13">
        <v>8.511805356647012E-2</v>
      </c>
      <c r="BK3" s="13">
        <v>8.5442583147222695E-2</v>
      </c>
      <c r="BL3" s="13">
        <v>6.0053601729861517E-2</v>
      </c>
      <c r="BM3" s="13">
        <v>7.748663263579969E-2</v>
      </c>
      <c r="BN3" s="13">
        <v>6.1035782377288413E-2</v>
      </c>
      <c r="BO3" s="13">
        <v>-0.21386733455172441</v>
      </c>
      <c r="BP3" s="13">
        <v>0.18539731380876759</v>
      </c>
      <c r="BQ3" s="13">
        <v>-5.4154026151144168E-2</v>
      </c>
      <c r="BR3" s="13">
        <v>0.28168982471721238</v>
      </c>
      <c r="BS3" s="13">
        <v>-2.3481657046590498E-2</v>
      </c>
      <c r="BT3" s="13">
        <v>8.9034674698385913E-2</v>
      </c>
      <c r="BU3" s="13">
        <v>0.12734099378758071</v>
      </c>
      <c r="BV3" s="13">
        <v>1.9220333982829459E-2</v>
      </c>
      <c r="BW3" s="13">
        <v>6.6547110474733912E-2</v>
      </c>
      <c r="BX3" s="13">
        <v>-0.1096838899370035</v>
      </c>
      <c r="BY3" s="13">
        <v>0.13853337364861401</v>
      </c>
      <c r="BZ3" s="13">
        <v>-0.10485789127282739</v>
      </c>
      <c r="CA3" s="13">
        <v>-5.0171625061092177E-2</v>
      </c>
      <c r="CB3" s="13">
        <v>-7.0239615583515547E-2</v>
      </c>
      <c r="CC3" s="13">
        <v>-6.024331497796076E-3</v>
      </c>
      <c r="CD3" s="13">
        <v>0.15997201356680449</v>
      </c>
      <c r="CE3" s="13">
        <v>0.21131661843971669</v>
      </c>
      <c r="CF3" s="13">
        <v>-0.10098227382063379</v>
      </c>
      <c r="CG3" s="13">
        <v>0.1099902345124356</v>
      </c>
      <c r="CH3" s="13">
        <v>-1.439263498621912E-2</v>
      </c>
      <c r="CI3" s="13">
        <v>0.22258294087819999</v>
      </c>
      <c r="CJ3" s="13">
        <v>-0.28268220919664089</v>
      </c>
      <c r="CK3" s="13">
        <v>-1.34784744837903E-2</v>
      </c>
      <c r="CL3" s="13">
        <v>-7.7844882578090024E-2</v>
      </c>
      <c r="CM3" s="13">
        <v>0.27379286416098292</v>
      </c>
      <c r="CN3" s="13">
        <v>-0.39000662146638571</v>
      </c>
      <c r="CO3" s="13">
        <v>-0.15858238798621049</v>
      </c>
      <c r="CP3" s="13">
        <v>-2.248687095004737E-2</v>
      </c>
      <c r="CQ3" s="13">
        <v>0.15587953569252869</v>
      </c>
      <c r="CR3" s="13">
        <v>8.1444486195923538E-2</v>
      </c>
      <c r="CS3" s="13">
        <v>-7.4204536967257373E-2</v>
      </c>
      <c r="CT3" s="13">
        <v>-9.2371279974270304E-2</v>
      </c>
      <c r="CU3" s="13">
        <v>-4.3714030096486063E-2</v>
      </c>
      <c r="CV3" s="13">
        <v>2.9888248842323439E-2</v>
      </c>
      <c r="CW3" s="13">
        <v>8.9064660675071017E-2</v>
      </c>
      <c r="CX3" s="13">
        <v>-2.461703398462101E-2</v>
      </c>
      <c r="CY3" s="13">
        <v>7.0863407701809683E-2</v>
      </c>
      <c r="CZ3" s="13">
        <v>4.0860064589465173E-2</v>
      </c>
      <c r="DA3" s="13">
        <v>0.25668575080604511</v>
      </c>
      <c r="DB3" s="13">
        <v>-0.16423592993500721</v>
      </c>
      <c r="DC3" s="13">
        <v>-0.25891871236192893</v>
      </c>
      <c r="DD3" s="13">
        <v>-3.1636234772114302E-2</v>
      </c>
      <c r="DE3" s="13">
        <v>0.16039046409100291</v>
      </c>
      <c r="DF3" s="13">
        <v>-0.1125151400819166</v>
      </c>
      <c r="DG3" s="13">
        <v>-8.2270484337237354E-2</v>
      </c>
      <c r="DH3" s="13">
        <v>-0.1046573993170693</v>
      </c>
      <c r="DI3" s="13">
        <v>4.8360523947053542E-2</v>
      </c>
      <c r="DJ3" s="13">
        <v>-5.7256595305278379E-2</v>
      </c>
      <c r="DK3" s="13">
        <v>4.4306650701811667E-2</v>
      </c>
      <c r="DL3" s="13">
        <v>-1.550485019804199E-2</v>
      </c>
      <c r="DM3" s="13">
        <v>-0.1187372546540391</v>
      </c>
      <c r="DN3" s="13">
        <v>-2.2084537220642689E-2</v>
      </c>
      <c r="DO3" s="13">
        <v>-9.3328814005851163E-2</v>
      </c>
      <c r="DP3" s="13">
        <v>0.16589996047491321</v>
      </c>
      <c r="DQ3" s="13">
        <v>0.19277347134422759</v>
      </c>
      <c r="DR3" s="13">
        <v>-5.3222765204426259E-2</v>
      </c>
      <c r="DS3" s="13">
        <v>0.1285503395605834</v>
      </c>
      <c r="DT3" s="13">
        <v>-0.1271379406682159</v>
      </c>
      <c r="DU3" s="13">
        <v>-0.1216781493648102</v>
      </c>
      <c r="DV3" s="13">
        <v>-7.3321392986254744E-2</v>
      </c>
      <c r="DW3" s="13">
        <v>5.7692105433722801E-2</v>
      </c>
      <c r="DX3" s="13">
        <v>9.0231456054620185E-2</v>
      </c>
      <c r="DY3" s="13">
        <v>-0.13571093332205969</v>
      </c>
      <c r="DZ3" s="13">
        <v>0.208838761875662</v>
      </c>
      <c r="EA3" s="13">
        <v>-0.1042137320006724</v>
      </c>
      <c r="EB3" s="13">
        <v>0.1955228574869389</v>
      </c>
      <c r="EC3" s="13">
        <v>-8.3944738981710995E-2</v>
      </c>
      <c r="ED3" s="13">
        <v>-4.1132651476077212E-2</v>
      </c>
      <c r="EE3" s="13">
        <v>-0.11014068184164311</v>
      </c>
      <c r="EF3" s="13">
        <v>-3.7066133134747589E-2</v>
      </c>
      <c r="EG3" s="13">
        <v>8.0655584908580213E-2</v>
      </c>
      <c r="EH3" s="13">
        <v>0.17418837326470191</v>
      </c>
      <c r="EI3" s="13">
        <v>0.1018806103780743</v>
      </c>
      <c r="EJ3" s="13">
        <v>-7.9899408218633464E-2</v>
      </c>
      <c r="EK3" s="13">
        <v>-0.14702487284735691</v>
      </c>
      <c r="EL3" s="13">
        <v>-0.16515913559204909</v>
      </c>
    </row>
    <row r="4" spans="1:142" x14ac:dyDescent="0.55000000000000004">
      <c r="B4" s="11" t="s">
        <v>144</v>
      </c>
      <c r="C4" s="13">
        <v>-0.14934537097006381</v>
      </c>
      <c r="D4" s="13">
        <v>-0.24734382193855889</v>
      </c>
      <c r="E4" s="13">
        <v>-0.25906123854298002</v>
      </c>
      <c r="F4" s="13">
        <v>-5.5566834479314764E-3</v>
      </c>
      <c r="G4" s="13">
        <v>6.5085215638914562E-2</v>
      </c>
      <c r="H4" s="13">
        <v>-2.9077597804489489E-2</v>
      </c>
      <c r="I4" s="13">
        <v>1.7791287057486119E-2</v>
      </c>
      <c r="J4" s="13">
        <v>4.2466157631261943E-2</v>
      </c>
      <c r="K4" s="13">
        <v>-2.1006648417474238E-2</v>
      </c>
      <c r="L4" s="13">
        <v>-4.4200314609364362E-2</v>
      </c>
      <c r="M4" s="13">
        <v>-5.7877978335193703E-2</v>
      </c>
      <c r="N4" s="13">
        <v>6.4362720925714711E-4</v>
      </c>
      <c r="O4" s="13">
        <v>-0.1888809883423157</v>
      </c>
      <c r="P4" s="13">
        <v>-1.7141672241164582E-2</v>
      </c>
      <c r="Q4" s="13">
        <v>4.9706724765044903E-2</v>
      </c>
      <c r="R4" s="13">
        <v>-9.9157665911262072E-2</v>
      </c>
      <c r="S4" s="13">
        <v>-3.0410739659584959E-2</v>
      </c>
      <c r="T4" s="13">
        <v>0.114883194276155</v>
      </c>
      <c r="U4" s="13">
        <v>1.3221613108109761E-2</v>
      </c>
      <c r="V4" s="13">
        <v>4.8956470682201207E-2</v>
      </c>
      <c r="W4" s="13">
        <v>5.8935588805711703E-2</v>
      </c>
      <c r="X4" s="13">
        <v>-0.16467436985926651</v>
      </c>
      <c r="Y4" s="13">
        <v>-0.18813682472110749</v>
      </c>
      <c r="Z4" s="13">
        <v>6.9656910085143409E-2</v>
      </c>
      <c r="AA4" s="13">
        <v>-1.536607134313428E-2</v>
      </c>
      <c r="AB4" s="13">
        <v>-6.3219850439137915E-2</v>
      </c>
      <c r="AC4" s="13">
        <v>-7.8982007867882231E-2</v>
      </c>
      <c r="AD4" s="13">
        <v>-3.0272546555867311E-2</v>
      </c>
      <c r="AE4" s="13">
        <v>2.4342450678682681E-2</v>
      </c>
      <c r="AF4" s="13">
        <v>0.1338387609531928</v>
      </c>
      <c r="AG4" s="13">
        <v>-6.1601099916954283E-2</v>
      </c>
      <c r="AH4" s="13">
        <v>-9.2544715844580239E-2</v>
      </c>
      <c r="AI4" s="13">
        <v>-2.606557636825713E-2</v>
      </c>
      <c r="AJ4" s="13">
        <v>1.835980120122116E-2</v>
      </c>
      <c r="AK4" s="13">
        <v>4.9856794173347652E-2</v>
      </c>
      <c r="AL4" s="13">
        <v>-6.0623931441821099E-3</v>
      </c>
      <c r="AM4" s="13">
        <v>-0.1593670046856257</v>
      </c>
      <c r="AN4" s="13">
        <v>-3.9146401437225357E-2</v>
      </c>
      <c r="AO4" s="13">
        <v>-4.5070029117612258E-2</v>
      </c>
      <c r="AP4" s="13">
        <v>7.5288047421649296E-2</v>
      </c>
      <c r="AQ4" s="13">
        <v>-9.8196075774527714E-2</v>
      </c>
      <c r="AR4" s="13">
        <v>8.6383001174560547E-2</v>
      </c>
      <c r="AS4" s="13">
        <v>6.8813106450374306E-2</v>
      </c>
      <c r="AT4" s="13">
        <v>4.6704563833854351E-2</v>
      </c>
      <c r="AU4" s="13">
        <v>-4.2570548354721183E-2</v>
      </c>
      <c r="AV4" s="13">
        <v>-0.22195205322781139</v>
      </c>
      <c r="AW4" s="13">
        <v>8.2172494215541292E-2</v>
      </c>
      <c r="AX4" s="13">
        <v>1.6883596650064451E-2</v>
      </c>
      <c r="AY4" s="13">
        <v>0.12907394968742911</v>
      </c>
      <c r="AZ4" s="13">
        <v>1.508250262297395E-3</v>
      </c>
      <c r="BA4" s="13">
        <v>-0.1115044795953537</v>
      </c>
      <c r="BB4" s="13">
        <v>-0.21525994170681531</v>
      </c>
      <c r="BC4" s="13">
        <v>-5.7482345433534483E-2</v>
      </c>
      <c r="BD4" s="13">
        <v>1.083671471935332E-3</v>
      </c>
      <c r="BE4" s="13">
        <v>1.8778916647853802E-2</v>
      </c>
      <c r="BF4" s="13">
        <v>0.11348943166465381</v>
      </c>
      <c r="BG4" s="13">
        <v>-7.8526304322265261E-2</v>
      </c>
      <c r="BH4" s="13">
        <v>-3.2954977512261507E-2</v>
      </c>
      <c r="BI4" s="13">
        <v>-9.9003271360800227E-2</v>
      </c>
      <c r="BJ4" s="13">
        <v>-0.14670768531275341</v>
      </c>
      <c r="BK4" s="13">
        <v>-4.9944347042302439E-2</v>
      </c>
      <c r="BL4" s="13">
        <v>-2.2928882525524941E-2</v>
      </c>
      <c r="BM4" s="13">
        <v>-4.5938779058463552E-2</v>
      </c>
      <c r="BN4" s="13">
        <v>-7.3256914922144034E-3</v>
      </c>
      <c r="BO4" s="13">
        <v>8.7168037873448512E-2</v>
      </c>
      <c r="BP4" s="13">
        <v>1.6127596174072781E-2</v>
      </c>
      <c r="BQ4" s="13">
        <v>-6.7799319304640449E-2</v>
      </c>
      <c r="BR4" s="13">
        <v>-9.3122366228293174E-3</v>
      </c>
      <c r="BS4" s="13">
        <v>-6.5299244722263339E-2</v>
      </c>
      <c r="BT4" s="13">
        <v>-4.2502825413810903E-2</v>
      </c>
      <c r="BU4" s="13">
        <v>9.3104858610283614E-2</v>
      </c>
      <c r="BV4" s="13">
        <v>9.3350611010009743E-2</v>
      </c>
      <c r="BW4" s="13">
        <v>-1.348973955166066E-2</v>
      </c>
      <c r="BX4" s="13">
        <v>-7.2291287752442202E-2</v>
      </c>
      <c r="BY4" s="13">
        <v>-0.1549745966812619</v>
      </c>
      <c r="BZ4" s="13">
        <v>0.17456977446855679</v>
      </c>
      <c r="CA4" s="13">
        <v>3.7233528920198822E-2</v>
      </c>
      <c r="CB4" s="13">
        <v>5.5557309971007378E-2</v>
      </c>
      <c r="CC4" s="13">
        <v>-0.17750462011175289</v>
      </c>
      <c r="CD4" s="13">
        <v>-0.1189267299677006</v>
      </c>
      <c r="CE4" s="13">
        <v>-1.354023404963556E-2</v>
      </c>
      <c r="CF4" s="13">
        <v>-0.12741231664868199</v>
      </c>
      <c r="CG4" s="13">
        <v>7.3406859508121869E-2</v>
      </c>
      <c r="CH4" s="13">
        <v>7.2685158287379537E-2</v>
      </c>
      <c r="CI4" s="13">
        <v>-5.4480084800218258E-2</v>
      </c>
      <c r="CJ4" s="13">
        <v>3.8731428402540402E-2</v>
      </c>
      <c r="CK4" s="13">
        <v>1.4180109180314201E-2</v>
      </c>
      <c r="CL4" s="13">
        <v>-0.1089911061285367</v>
      </c>
      <c r="CM4" s="13">
        <v>-0.1233186062772607</v>
      </c>
      <c r="CN4" s="13">
        <v>0.25398200550881528</v>
      </c>
      <c r="CO4" s="13">
        <v>1.6527103051004129E-2</v>
      </c>
      <c r="CP4" s="13">
        <v>1.5216844239471781E-3</v>
      </c>
      <c r="CQ4" s="13">
        <v>-6.7959331453504745E-2</v>
      </c>
      <c r="CR4" s="13">
        <v>-0.2349573288111291</v>
      </c>
      <c r="CS4" s="13">
        <v>-0.20790819007173231</v>
      </c>
      <c r="CT4" s="13">
        <v>-1.428661144924348E-4</v>
      </c>
      <c r="CU4" s="13">
        <v>2.2028281849749479E-2</v>
      </c>
      <c r="CV4" s="13">
        <v>6.8023844934248956E-2</v>
      </c>
      <c r="CW4" s="13">
        <v>-8.8837317713291952E-2</v>
      </c>
      <c r="CX4" s="13">
        <v>5.261585949558345E-2</v>
      </c>
      <c r="CY4" s="13">
        <v>-0.14906969604344769</v>
      </c>
      <c r="CZ4" s="13">
        <v>-0.11103945205987389</v>
      </c>
      <c r="DA4" s="13">
        <v>-0.14434138369070479</v>
      </c>
      <c r="DB4" s="13">
        <v>2.7151747986042811E-3</v>
      </c>
      <c r="DC4" s="13">
        <v>-9.785482280361002E-2</v>
      </c>
      <c r="DD4" s="13">
        <v>0.10722226194647889</v>
      </c>
      <c r="DE4" s="13">
        <v>4.7121438754965439E-2</v>
      </c>
      <c r="DF4" s="13">
        <v>-1.9291062828386881E-2</v>
      </c>
      <c r="DG4" s="13">
        <v>1.7896408714275221E-3</v>
      </c>
      <c r="DH4" s="13">
        <v>0.17350442691012449</v>
      </c>
      <c r="DI4" s="13">
        <v>-3.4040341553568609E-2</v>
      </c>
      <c r="DJ4" s="13">
        <v>-9.993613472354923E-2</v>
      </c>
      <c r="DK4" s="13">
        <v>-0.1324523127849897</v>
      </c>
      <c r="DL4" s="13">
        <v>9.327990828282573E-2</v>
      </c>
      <c r="DM4" s="13">
        <v>0.1781012365160777</v>
      </c>
      <c r="DN4" s="13">
        <v>0.1328839469177652</v>
      </c>
      <c r="DO4" s="13">
        <v>-0.12491951193503149</v>
      </c>
      <c r="DP4" s="13">
        <v>-9.4650070989063195E-2</v>
      </c>
      <c r="DQ4" s="13">
        <v>-0.14995782586822409</v>
      </c>
      <c r="DR4" s="13">
        <v>4.4038724417266202E-2</v>
      </c>
      <c r="DS4" s="13">
        <v>4.5916039994949642E-2</v>
      </c>
      <c r="DT4" s="13">
        <v>-0.1600946018805747</v>
      </c>
      <c r="DU4" s="13">
        <v>1.4044107423149651E-2</v>
      </c>
      <c r="DV4" s="13">
        <v>3.474390636907998E-2</v>
      </c>
      <c r="DW4" s="13">
        <v>1.257520949773294E-2</v>
      </c>
      <c r="DX4" s="13">
        <v>-0.1453929875597364</v>
      </c>
      <c r="DY4" s="13">
        <v>6.2173227234248778E-2</v>
      </c>
      <c r="DZ4" s="13">
        <v>-5.2117914994026293E-2</v>
      </c>
      <c r="EA4" s="13">
        <v>-0.25996993215089498</v>
      </c>
      <c r="EB4" s="13">
        <v>-0.1120594852816517</v>
      </c>
      <c r="EC4" s="13">
        <v>-7.1121647901357221E-2</v>
      </c>
      <c r="ED4" s="13">
        <v>3.3989099845969761E-2</v>
      </c>
      <c r="EE4" s="13">
        <v>0.2120879988342281</v>
      </c>
      <c r="EF4" s="13">
        <v>0.17540569835811759</v>
      </c>
      <c r="EG4" s="13">
        <v>-0.1265662473774363</v>
      </c>
      <c r="EH4" s="13">
        <v>-0.14481844562859611</v>
      </c>
      <c r="EI4" s="13">
        <v>-0.15568399081828771</v>
      </c>
      <c r="EJ4" s="13">
        <v>0.20106066923392871</v>
      </c>
      <c r="EK4" s="13">
        <v>0.24000764460967791</v>
      </c>
      <c r="EL4" s="13">
        <v>0.19398234319787019</v>
      </c>
    </row>
    <row r="5" spans="1:142" x14ac:dyDescent="0.55000000000000004">
      <c r="B5" s="14" t="s">
        <v>145</v>
      </c>
      <c r="C5" s="13">
        <v>-0.35602255303624453</v>
      </c>
      <c r="D5" s="13">
        <v>-4.0090857958738978E-2</v>
      </c>
      <c r="E5" s="13">
        <v>0.52768591000883824</v>
      </c>
      <c r="F5" s="13">
        <v>9.1621703543451838E-2</v>
      </c>
      <c r="G5" s="13">
        <v>-0.33444541912551767</v>
      </c>
      <c r="H5" s="13">
        <v>0.35557807934338981</v>
      </c>
      <c r="I5" s="13">
        <v>0.1153369311545601</v>
      </c>
      <c r="J5" s="13">
        <v>-9.1390222966754614E-2</v>
      </c>
      <c r="K5" s="13">
        <v>0.37641590593379309</v>
      </c>
      <c r="L5" s="13">
        <v>-0.39095115876105019</v>
      </c>
      <c r="M5" s="13">
        <v>0.16570120474983141</v>
      </c>
      <c r="N5" s="13">
        <v>-0.26143467111761082</v>
      </c>
      <c r="O5" s="13">
        <v>-6.1069485866542261E-2</v>
      </c>
      <c r="P5" s="13">
        <v>0.26091415721504319</v>
      </c>
      <c r="Q5" s="13">
        <v>4.0937433053001369E-2</v>
      </c>
      <c r="R5" s="13">
        <v>-0.13738348482797161</v>
      </c>
      <c r="S5" s="13">
        <v>0.32196519062115619</v>
      </c>
      <c r="T5" s="13">
        <v>0.1577185559806982</v>
      </c>
      <c r="U5" s="13">
        <v>-3.1493048898479467E-2</v>
      </c>
      <c r="V5" s="13">
        <v>0.20272926171313391</v>
      </c>
      <c r="W5" s="13">
        <v>-0.37900040700733478</v>
      </c>
      <c r="X5" s="13">
        <v>-0.1240504049428721</v>
      </c>
      <c r="Y5" s="13">
        <v>-0.6091363947557743</v>
      </c>
      <c r="Z5" s="13">
        <v>-8.7419029003689655E-2</v>
      </c>
      <c r="AA5" s="13">
        <v>2.4492818663441569E-2</v>
      </c>
      <c r="AB5" s="13">
        <v>7.8777301474168532E-2</v>
      </c>
      <c r="AC5" s="13">
        <v>-0.1144491391906407</v>
      </c>
      <c r="AD5" s="13">
        <v>0.24384130060927259</v>
      </c>
      <c r="AE5" s="13">
        <v>8.2451056568350709E-2</v>
      </c>
      <c r="AF5" s="13">
        <v>0.18824065512069871</v>
      </c>
      <c r="AG5" s="13">
        <v>9.4710949320840843E-2</v>
      </c>
      <c r="AH5" s="13">
        <v>-0.3051658563382863</v>
      </c>
      <c r="AI5" s="13">
        <v>0.15762471600367869</v>
      </c>
      <c r="AJ5" s="13">
        <v>-0.68021373773600025</v>
      </c>
      <c r="AK5" s="13">
        <v>2.3239308843977121E-2</v>
      </c>
      <c r="AL5" s="13">
        <v>-8.7587780261718207E-2</v>
      </c>
      <c r="AM5" s="13">
        <v>0.1083584048978386</v>
      </c>
      <c r="AN5" s="13">
        <v>0.1116944474577185</v>
      </c>
      <c r="AO5" s="13">
        <v>0.25326788161785452</v>
      </c>
      <c r="AP5" s="13">
        <v>0.20792985272972619</v>
      </c>
      <c r="AQ5" s="13">
        <v>0.26625784896468052</v>
      </c>
      <c r="AR5" s="13">
        <v>9.3532219454879356E-2</v>
      </c>
      <c r="AS5" s="13">
        <v>-0.1422532223975255</v>
      </c>
      <c r="AT5" s="13">
        <v>0.16459019868234889</v>
      </c>
      <c r="AU5" s="13">
        <v>-0.29628044254228481</v>
      </c>
      <c r="AV5" s="13">
        <v>-7.967283675179572E-2</v>
      </c>
      <c r="AW5" s="13">
        <v>-2.106163766695986E-2</v>
      </c>
      <c r="AX5" s="13">
        <v>-0.16039194510643379</v>
      </c>
      <c r="AY5" s="13">
        <v>2.907561231396269E-2</v>
      </c>
      <c r="AZ5" s="13">
        <v>0.23443646192314299</v>
      </c>
      <c r="BA5" s="13">
        <v>-1.954356893773998E-2</v>
      </c>
      <c r="BB5" s="13">
        <v>5.5326597607753797E-2</v>
      </c>
      <c r="BC5" s="13">
        <v>-5.9611055683955687E-2</v>
      </c>
      <c r="BD5" s="13">
        <v>-9.5611407368703827E-2</v>
      </c>
      <c r="BE5" s="13">
        <v>0.17767650991380921</v>
      </c>
      <c r="BF5" s="13">
        <v>-0.30632321099993309</v>
      </c>
      <c r="BG5" s="13">
        <v>-0.27950975427210151</v>
      </c>
      <c r="BH5" s="13">
        <v>-6.5627292150386804E-2</v>
      </c>
      <c r="BI5" s="13">
        <v>6.7576225048905147E-2</v>
      </c>
      <c r="BJ5" s="13">
        <v>-0.377766382042375</v>
      </c>
      <c r="BK5" s="13">
        <v>0.1710576050513124</v>
      </c>
      <c r="BL5" s="13">
        <v>-0.15901657189760751</v>
      </c>
      <c r="BM5" s="13">
        <v>0.29566311964252062</v>
      </c>
      <c r="BN5" s="13">
        <v>-9.1185424305069637E-3</v>
      </c>
      <c r="BO5" s="13">
        <v>-0.18708382872534479</v>
      </c>
      <c r="BP5" s="13">
        <v>-4.4541684300456783E-2</v>
      </c>
      <c r="BQ5" s="13">
        <v>-0.2644041519976843</v>
      </c>
      <c r="BR5" s="13">
        <v>-0.17935638398747261</v>
      </c>
      <c r="BS5" s="13">
        <v>9.3255604107027268E-2</v>
      </c>
      <c r="BT5" s="13">
        <v>0.25391019577751839</v>
      </c>
      <c r="BU5" s="13">
        <v>-0.2208865037169013</v>
      </c>
      <c r="BV5" s="13">
        <v>0.1113375442569535</v>
      </c>
      <c r="BW5" s="13">
        <v>-2.6110149941585441E-2</v>
      </c>
      <c r="BX5" s="13">
        <v>7.8321917624137663E-2</v>
      </c>
      <c r="BY5" s="13">
        <v>3.6568448160119997E-2</v>
      </c>
      <c r="BZ5" s="13">
        <v>-0.1016560299453321</v>
      </c>
      <c r="CA5" s="13">
        <v>3.7823772175184511E-2</v>
      </c>
      <c r="CB5" s="13">
        <v>-1.2533175044593611E-2</v>
      </c>
      <c r="CC5" s="13">
        <v>-0.28837910471559852</v>
      </c>
      <c r="CD5" s="13">
        <v>0.34067466598778878</v>
      </c>
      <c r="CE5" s="13">
        <v>-6.0100560923931345E-4</v>
      </c>
      <c r="CF5" s="13">
        <v>-0.1296863733007578</v>
      </c>
      <c r="CG5" s="13">
        <v>0.15976746637967629</v>
      </c>
      <c r="CH5" s="13">
        <v>-0.23825235796998209</v>
      </c>
      <c r="CI5" s="13">
        <v>-2.8759770853779679E-2</v>
      </c>
      <c r="CJ5" s="13">
        <v>-0.19238587368076349</v>
      </c>
      <c r="CK5" s="13">
        <v>9.3012092996989273E-2</v>
      </c>
      <c r="CL5" s="13">
        <v>1.8732272151867381E-2</v>
      </c>
      <c r="CM5" s="13">
        <v>-1.440590191637958E-2</v>
      </c>
      <c r="CN5" s="13">
        <v>-0.24513143201832141</v>
      </c>
      <c r="CO5" s="13">
        <v>0.62382678445663653</v>
      </c>
      <c r="CP5" s="13">
        <v>9.8069367239007818E-2</v>
      </c>
      <c r="CQ5" s="13">
        <v>-0.34398023521672633</v>
      </c>
      <c r="CR5" s="13">
        <v>0.23965589513689431</v>
      </c>
      <c r="CS5" s="13">
        <v>-0.1630146077158017</v>
      </c>
      <c r="CT5" s="13">
        <v>0.20917057102557721</v>
      </c>
      <c r="CU5" s="13">
        <v>-0.13994756491628749</v>
      </c>
      <c r="CV5" s="13">
        <v>-0.14628801332363431</v>
      </c>
      <c r="CW5" s="13">
        <v>0.31017320529162662</v>
      </c>
      <c r="CX5" s="13">
        <v>0.25353915592821968</v>
      </c>
      <c r="CY5" s="13">
        <v>-0.79527742145542657</v>
      </c>
      <c r="CZ5" s="13">
        <v>0.80355177224477214</v>
      </c>
      <c r="DA5" s="13">
        <v>-7.1187531558581735E-2</v>
      </c>
      <c r="DB5" s="13">
        <v>0.14203914410752261</v>
      </c>
      <c r="DC5" s="13">
        <v>0.17684959747890239</v>
      </c>
      <c r="DD5" s="13">
        <v>-0.2347694823541964</v>
      </c>
      <c r="DE5" s="13">
        <v>-7.8915349004452157E-2</v>
      </c>
      <c r="DF5" s="13">
        <v>-0.10893182959170521</v>
      </c>
      <c r="DG5" s="13">
        <v>-0.50647317879216458</v>
      </c>
      <c r="DH5" s="13">
        <v>0.17758880086016901</v>
      </c>
      <c r="DI5" s="13">
        <v>0.24345215756039101</v>
      </c>
      <c r="DJ5" s="13">
        <v>-0.63199691128278157</v>
      </c>
      <c r="DK5" s="13">
        <v>0.76553812905546981</v>
      </c>
      <c r="DL5" s="13">
        <v>0.1134987555126632</v>
      </c>
      <c r="DM5" s="13">
        <v>-0.45407241147436012</v>
      </c>
      <c r="DN5" s="13">
        <v>0.5381646260587134</v>
      </c>
      <c r="DO5" s="13">
        <v>-0.26009015152361792</v>
      </c>
      <c r="DP5" s="13">
        <v>-6.8906334924896576E-2</v>
      </c>
      <c r="DQ5" s="13">
        <v>-0.20285821236619811</v>
      </c>
      <c r="DR5" s="13">
        <v>2.45178389892888E-2</v>
      </c>
      <c r="DS5" s="13">
        <v>-0.16671516537849729</v>
      </c>
      <c r="DT5" s="13">
        <v>0.33878844679546338</v>
      </c>
      <c r="DU5" s="13">
        <v>-0.59979946723464084</v>
      </c>
      <c r="DV5" s="13">
        <v>0.83514380187623793</v>
      </c>
      <c r="DW5" s="13">
        <v>-9.255748547327998E-2</v>
      </c>
      <c r="DX5" s="13">
        <v>-0.13301905739887071</v>
      </c>
      <c r="DY5" s="13">
        <v>0.4235750632459292</v>
      </c>
      <c r="DZ5" s="13">
        <v>0.30902986430062002</v>
      </c>
      <c r="EA5" s="13">
        <v>0.18643694757575269</v>
      </c>
      <c r="EB5" s="13">
        <v>-0.89458161361561928</v>
      </c>
      <c r="EC5" s="13">
        <v>4.6089797399945322E-2</v>
      </c>
      <c r="ED5" s="13">
        <v>-0.19737598163049891</v>
      </c>
      <c r="EE5" s="13">
        <v>0.32955546848400757</v>
      </c>
      <c r="EF5" s="13">
        <v>-0.1298161213028215</v>
      </c>
      <c r="EG5" s="13">
        <v>0.41590935608064328</v>
      </c>
      <c r="EH5" s="13">
        <v>-0.1780246200952896</v>
      </c>
      <c r="EI5" s="13">
        <v>-0.30056728540568339</v>
      </c>
      <c r="EJ5" s="13">
        <v>0.3783868000433685</v>
      </c>
      <c r="EK5" s="13">
        <v>-0.30609793068418661</v>
      </c>
      <c r="EL5" s="13">
        <v>0.1794159444225098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315</v>
      </c>
      <c r="B13" s="11" t="s">
        <v>143</v>
      </c>
      <c r="C13" s="12">
        <f t="shared" ref="C13:AH13" si="0">(C3-C9)^2</f>
        <v>9.5300079475289061E-3</v>
      </c>
      <c r="D13" s="12">
        <f t="shared" si="0"/>
        <v>2.5486035589421224E-2</v>
      </c>
      <c r="E13" s="12">
        <f t="shared" si="0"/>
        <v>5.0032344718203073E-3</v>
      </c>
      <c r="F13" s="12">
        <f t="shared" si="0"/>
        <v>1.8713436882453315E-3</v>
      </c>
      <c r="G13" s="12">
        <f t="shared" si="0"/>
        <v>2.0080274333442319E-3</v>
      </c>
      <c r="H13" s="12">
        <f t="shared" si="0"/>
        <v>5.7129229754819769E-3</v>
      </c>
      <c r="I13" s="12">
        <f t="shared" si="0"/>
        <v>0.11459504978756099</v>
      </c>
      <c r="J13" s="12">
        <f t="shared" si="0"/>
        <v>1.1174295893553532E-2</v>
      </c>
      <c r="K13" s="12">
        <f t="shared" si="0"/>
        <v>2.1986997857586245E-3</v>
      </c>
      <c r="L13" s="12">
        <f t="shared" si="0"/>
        <v>1.297069076911087E-3</v>
      </c>
      <c r="M13" s="12">
        <f t="shared" si="0"/>
        <v>8.4836481948032984E-3</v>
      </c>
      <c r="N13" s="12">
        <f t="shared" si="0"/>
        <v>8.2395086446164625E-2</v>
      </c>
      <c r="O13" s="12">
        <f t="shared" si="0"/>
        <v>8.8239142220278718E-2</v>
      </c>
      <c r="P13" s="12">
        <f t="shared" si="0"/>
        <v>5.3050653795170911E-2</v>
      </c>
      <c r="Q13" s="12">
        <f t="shared" si="0"/>
        <v>2.0292962538174149E-3</v>
      </c>
      <c r="R13" s="12">
        <f t="shared" si="0"/>
        <v>1.1710908773340422E-2</v>
      </c>
      <c r="S13" s="12">
        <f t="shared" si="0"/>
        <v>2.8209136805397762E-2</v>
      </c>
      <c r="T13" s="12">
        <f t="shared" si="0"/>
        <v>5.3611968168403934E-3</v>
      </c>
      <c r="U13" s="12">
        <f t="shared" si="0"/>
        <v>5.7710449974986325E-2</v>
      </c>
      <c r="V13" s="12">
        <f t="shared" si="0"/>
        <v>6.2273678352431916E-3</v>
      </c>
      <c r="W13" s="12">
        <f t="shared" si="0"/>
        <v>2.7208204887038085E-2</v>
      </c>
      <c r="X13" s="12">
        <f t="shared" si="0"/>
        <v>9.2280921220879414E-2</v>
      </c>
      <c r="Y13" s="12">
        <f t="shared" si="0"/>
        <v>0.14038667979097499</v>
      </c>
      <c r="Z13" s="12">
        <f t="shared" si="0"/>
        <v>2.0514502704909229E-2</v>
      </c>
      <c r="AA13" s="12">
        <f t="shared" si="0"/>
        <v>0.2531977277431085</v>
      </c>
      <c r="AB13" s="12">
        <f t="shared" si="0"/>
        <v>7.8433910850366245E-2</v>
      </c>
      <c r="AC13" s="12">
        <f t="shared" si="0"/>
        <v>4.0806677490657197E-3</v>
      </c>
      <c r="AD13" s="12">
        <f t="shared" si="0"/>
        <v>4.5527819622518968E-3</v>
      </c>
      <c r="AE13" s="12">
        <f t="shared" si="0"/>
        <v>6.6857234463365833E-3</v>
      </c>
      <c r="AF13" s="12">
        <f t="shared" si="0"/>
        <v>2.8316391447539349E-2</v>
      </c>
      <c r="AG13" s="12">
        <f t="shared" si="0"/>
        <v>6.3546743773878036E-4</v>
      </c>
      <c r="AH13" s="12">
        <f t="shared" si="0"/>
        <v>4.874628085138534E-2</v>
      </c>
      <c r="AI13" s="12">
        <f t="shared" ref="AI13:BN13" si="1">(AI3-AI9)^2</f>
        <v>9.9817846848676926E-3</v>
      </c>
      <c r="AJ13" s="12">
        <f t="shared" si="1"/>
        <v>9.83419289854209E-3</v>
      </c>
      <c r="AK13" s="12">
        <f t="shared" si="1"/>
        <v>2.3733515045252025E-3</v>
      </c>
      <c r="AL13" s="12">
        <f t="shared" si="1"/>
        <v>3.6689789821663071E-2</v>
      </c>
      <c r="AM13" s="12">
        <f t="shared" si="1"/>
        <v>1.5905770546633335E-3</v>
      </c>
      <c r="AN13" s="12">
        <f t="shared" si="1"/>
        <v>5.2754201004601336E-3</v>
      </c>
      <c r="AO13" s="12">
        <f t="shared" si="1"/>
        <v>3.9223353286986359E-3</v>
      </c>
      <c r="AP13" s="12">
        <f t="shared" si="1"/>
        <v>2.16838680773969E-2</v>
      </c>
      <c r="AQ13" s="12">
        <f t="shared" si="1"/>
        <v>6.9978606884250373E-3</v>
      </c>
      <c r="AR13" s="12">
        <f t="shared" si="1"/>
        <v>3.6411413947426972E-4</v>
      </c>
      <c r="AS13" s="12">
        <f t="shared" si="1"/>
        <v>8.9760864557204801E-4</v>
      </c>
      <c r="AT13" s="12">
        <f t="shared" si="1"/>
        <v>1.0997788855778734E-2</v>
      </c>
      <c r="AU13" s="12">
        <f t="shared" si="1"/>
        <v>6.7099969119670407E-4</v>
      </c>
      <c r="AV13" s="12">
        <f t="shared" si="1"/>
        <v>7.8569758762044237E-3</v>
      </c>
      <c r="AW13" s="12">
        <f t="shared" si="1"/>
        <v>5.4010884214801297E-2</v>
      </c>
      <c r="AX13" s="12">
        <f t="shared" si="1"/>
        <v>1.2683328010981228E-3</v>
      </c>
      <c r="AY13" s="12">
        <f t="shared" si="1"/>
        <v>5.4307032522279081E-3</v>
      </c>
      <c r="AZ13" s="12">
        <f t="shared" si="1"/>
        <v>1.1420375396042159E-2</v>
      </c>
      <c r="BA13" s="12">
        <f t="shared" si="1"/>
        <v>2.3491016090240208E-2</v>
      </c>
      <c r="BB13" s="12">
        <f t="shared" si="1"/>
        <v>2.1173172554091842E-2</v>
      </c>
      <c r="BC13" s="12">
        <f t="shared" si="1"/>
        <v>1.0488488387891624E-2</v>
      </c>
      <c r="BD13" s="12">
        <f t="shared" si="1"/>
        <v>3.4031420575747089E-2</v>
      </c>
      <c r="BE13" s="12">
        <f t="shared" si="1"/>
        <v>2.557327436783868E-2</v>
      </c>
      <c r="BF13" s="12">
        <f t="shared" si="1"/>
        <v>2.2434560056906368E-2</v>
      </c>
      <c r="BG13" s="12">
        <f t="shared" si="1"/>
        <v>3.3508297985496524E-2</v>
      </c>
      <c r="BH13" s="12">
        <f t="shared" si="1"/>
        <v>6.6799189372603263E-2</v>
      </c>
      <c r="BI13" s="12">
        <f t="shared" si="1"/>
        <v>5.4445706843569003E-3</v>
      </c>
      <c r="BJ13" s="12">
        <f t="shared" si="1"/>
        <v>1.5965298378336736E-2</v>
      </c>
      <c r="BK13" s="12">
        <f t="shared" si="1"/>
        <v>2.9301671930785832E-2</v>
      </c>
      <c r="BL13" s="12">
        <f t="shared" si="1"/>
        <v>2.8734298283917646E-5</v>
      </c>
      <c r="BM13" s="12">
        <f t="shared" si="1"/>
        <v>1.1849407953880014E-2</v>
      </c>
      <c r="BN13" s="12">
        <f t="shared" si="1"/>
        <v>6.5926523550894559E-4</v>
      </c>
      <c r="BO13" s="12">
        <f t="shared" ref="BO13:CT13" si="2">(BO3-BO9)^2</f>
        <v>8.5014009276780586E-2</v>
      </c>
      <c r="BP13" s="12">
        <f t="shared" si="2"/>
        <v>3.9974572779558085E-2</v>
      </c>
      <c r="BQ13" s="12">
        <f t="shared" si="2"/>
        <v>1.1801061527288756E-2</v>
      </c>
      <c r="BR13" s="12">
        <f t="shared" si="2"/>
        <v>8.62419385452462E-2</v>
      </c>
      <c r="BS13" s="12">
        <f t="shared" si="2"/>
        <v>7.2536021375409791E-3</v>
      </c>
      <c r="BT13" s="12">
        <f t="shared" si="2"/>
        <v>5.1015217750938913E-3</v>
      </c>
      <c r="BU13" s="12">
        <f t="shared" si="2"/>
        <v>1.5769833015043901E-2</v>
      </c>
      <c r="BV13" s="12">
        <f t="shared" si="2"/>
        <v>3.6821952300679678E-3</v>
      </c>
      <c r="BW13" s="12">
        <f t="shared" si="2"/>
        <v>8.584668664734502E-3</v>
      </c>
      <c r="BX13" s="12">
        <f t="shared" si="2"/>
        <v>1.7380800474426642E-2</v>
      </c>
      <c r="BY13" s="12">
        <f t="shared" si="2"/>
        <v>4.376928361480472E-2</v>
      </c>
      <c r="BZ13" s="12">
        <f t="shared" si="2"/>
        <v>4.2489375779005051E-2</v>
      </c>
      <c r="CA13" s="12">
        <f t="shared" si="2"/>
        <v>3.7812237742108194E-3</v>
      </c>
      <c r="CB13" s="12">
        <f t="shared" si="2"/>
        <v>8.3872329850419886E-3</v>
      </c>
      <c r="CC13" s="12">
        <f t="shared" si="2"/>
        <v>1.6594685286070229E-6</v>
      </c>
      <c r="CD13" s="12">
        <f t="shared" si="2"/>
        <v>3.8333718326852908E-4</v>
      </c>
      <c r="CE13" s="12">
        <f t="shared" si="2"/>
        <v>2.2502692848831576E-2</v>
      </c>
      <c r="CF13" s="12">
        <f t="shared" si="2"/>
        <v>3.7089770986929969E-2</v>
      </c>
      <c r="CG13" s="12">
        <f t="shared" si="2"/>
        <v>1.5124643839380168E-4</v>
      </c>
      <c r="CH13" s="12">
        <f t="shared" si="2"/>
        <v>2.9425889104426211E-2</v>
      </c>
      <c r="CI13" s="12">
        <f t="shared" si="2"/>
        <v>9.6864191993377771E-2</v>
      </c>
      <c r="CJ13" s="12">
        <f t="shared" si="2"/>
        <v>7.1688259516110561E-2</v>
      </c>
      <c r="CK13" s="12">
        <f t="shared" si="2"/>
        <v>2.671526405833746E-3</v>
      </c>
      <c r="CL13" s="12">
        <f t="shared" si="2"/>
        <v>0.15610671067380683</v>
      </c>
      <c r="CM13" s="12">
        <f t="shared" si="2"/>
        <v>0.10480942244412338</v>
      </c>
      <c r="CN13" s="12">
        <f t="shared" si="2"/>
        <v>0.12359414865358644</v>
      </c>
      <c r="CO13" s="12">
        <f t="shared" si="2"/>
        <v>2.537432353779839E-2</v>
      </c>
      <c r="CP13" s="12">
        <f t="shared" si="2"/>
        <v>2.7955655816932084E-2</v>
      </c>
      <c r="CQ13" s="12">
        <f t="shared" si="2"/>
        <v>4.3435235233199551E-5</v>
      </c>
      <c r="CR13" s="12">
        <f t="shared" si="2"/>
        <v>1.4700481047161647E-2</v>
      </c>
      <c r="CS13" s="12">
        <f t="shared" si="2"/>
        <v>7.6499915929194708E-4</v>
      </c>
      <c r="CT13" s="12">
        <f t="shared" si="2"/>
        <v>1.6003500880776692E-2</v>
      </c>
      <c r="CU13" s="12">
        <f t="shared" ref="CU13:DZ13" si="3">(CU3-CU9)^2</f>
        <v>2.9745240582258834E-2</v>
      </c>
      <c r="CV13" s="12">
        <f t="shared" si="3"/>
        <v>3.0524244456417992E-6</v>
      </c>
      <c r="CW13" s="12">
        <f t="shared" si="3"/>
        <v>2.2915462704638E-3</v>
      </c>
      <c r="CX13" s="12">
        <f t="shared" si="3"/>
        <v>3.5273525509771204E-2</v>
      </c>
      <c r="CY13" s="12">
        <f t="shared" si="3"/>
        <v>1.299108385349918E-2</v>
      </c>
      <c r="CZ13" s="12">
        <f t="shared" si="3"/>
        <v>3.2115640673781323E-2</v>
      </c>
      <c r="DA13" s="12">
        <f t="shared" si="3"/>
        <v>8.8869262746150507E-2</v>
      </c>
      <c r="DB13" s="12">
        <f t="shared" si="3"/>
        <v>2.3255626484316397E-2</v>
      </c>
      <c r="DC13" s="12">
        <f t="shared" si="3"/>
        <v>0.13446139801938897</v>
      </c>
      <c r="DD13" s="12">
        <f t="shared" si="3"/>
        <v>9.7733487214411736E-3</v>
      </c>
      <c r="DE13" s="12">
        <f t="shared" si="3"/>
        <v>4.0211315150320448E-2</v>
      </c>
      <c r="DF13" s="12">
        <f t="shared" si="3"/>
        <v>2.2174796427484364E-2</v>
      </c>
      <c r="DG13" s="12">
        <f t="shared" si="3"/>
        <v>2.4934198562262002E-4</v>
      </c>
      <c r="DH13" s="12">
        <f t="shared" si="3"/>
        <v>8.5768993872059641E-3</v>
      </c>
      <c r="DI13" s="12">
        <f t="shared" si="3"/>
        <v>1.8980875766354155E-2</v>
      </c>
      <c r="DJ13" s="12">
        <f t="shared" si="3"/>
        <v>1.2599944571452623E-2</v>
      </c>
      <c r="DK13" s="12">
        <f t="shared" si="3"/>
        <v>1.0300877620384468E-2</v>
      </c>
      <c r="DL13" s="12">
        <f t="shared" si="3"/>
        <v>1.898732774960622E-4</v>
      </c>
      <c r="DM13" s="12">
        <f t="shared" si="3"/>
        <v>7.6272843531703495E-3</v>
      </c>
      <c r="DN13" s="12">
        <f t="shared" si="3"/>
        <v>1.1341858120715094E-2</v>
      </c>
      <c r="DO13" s="12">
        <f t="shared" si="3"/>
        <v>2.0022145720539977E-2</v>
      </c>
      <c r="DP13" s="12">
        <f t="shared" si="3"/>
        <v>5.708337010855026E-3</v>
      </c>
      <c r="DQ13" s="12">
        <f t="shared" si="3"/>
        <v>9.7001018094308222E-2</v>
      </c>
      <c r="DR13" s="12">
        <f t="shared" si="3"/>
        <v>2.6807621394356777E-2</v>
      </c>
      <c r="DS13" s="12">
        <f t="shared" si="3"/>
        <v>4.0951576550025862E-2</v>
      </c>
      <c r="DT13" s="12">
        <f t="shared" si="3"/>
        <v>4.32602855425916E-4</v>
      </c>
      <c r="DU13" s="12">
        <f t="shared" si="3"/>
        <v>1.7239997583171813E-2</v>
      </c>
      <c r="DV13" s="12">
        <f t="shared" si="3"/>
        <v>4.7303036350966318E-2</v>
      </c>
      <c r="DW13" s="12">
        <f t="shared" si="3"/>
        <v>7.6287030876528376E-4</v>
      </c>
      <c r="DX13" s="12">
        <f t="shared" si="3"/>
        <v>4.0245028415983174E-2</v>
      </c>
      <c r="DY13" s="12">
        <f t="shared" si="3"/>
        <v>6.9917226460968637E-2</v>
      </c>
      <c r="DZ13" s="12">
        <f t="shared" si="3"/>
        <v>6.8701058819320537E-2</v>
      </c>
      <c r="EA13" s="12">
        <f t="shared" ref="EA13:EL13" si="4">(EA3-EA9)^2</f>
        <v>7.6989927057766541E-2</v>
      </c>
      <c r="EB13" s="12">
        <f t="shared" si="4"/>
        <v>3.3583647022944974E-2</v>
      </c>
      <c r="EC13" s="12">
        <f t="shared" si="4"/>
        <v>2.6006475076726439E-2</v>
      </c>
      <c r="ED13" s="12">
        <f t="shared" si="4"/>
        <v>1.5368830285652633E-2</v>
      </c>
      <c r="EE13" s="12">
        <f t="shared" si="4"/>
        <v>3.5243726096374196E-2</v>
      </c>
      <c r="EF13" s="12">
        <f t="shared" si="4"/>
        <v>8.7898964982883708E-3</v>
      </c>
      <c r="EG13" s="12">
        <f t="shared" si="4"/>
        <v>9.036177951715435E-3</v>
      </c>
      <c r="EH13" s="12">
        <f t="shared" si="4"/>
        <v>5.0591314969472348E-2</v>
      </c>
      <c r="EI13" s="12">
        <f t="shared" si="4"/>
        <v>1.8187296453375065E-2</v>
      </c>
      <c r="EJ13" s="12">
        <f t="shared" si="4"/>
        <v>9.0580699026107953E-3</v>
      </c>
      <c r="EK13" s="12">
        <f t="shared" si="4"/>
        <v>4.9607853650221086E-2</v>
      </c>
      <c r="EL13" s="12">
        <f t="shared" si="4"/>
        <v>2.8837326201370563E-3</v>
      </c>
    </row>
    <row r="14" spans="1:142" x14ac:dyDescent="0.55000000000000004">
      <c r="B14" s="11" t="s">
        <v>144</v>
      </c>
      <c r="C14" s="12">
        <f t="shared" ref="C14:AH14" si="5">(C4-C10)^2</f>
        <v>1.3532595282641573E-2</v>
      </c>
      <c r="D14" s="12">
        <f t="shared" si="5"/>
        <v>2.3722154132393061E-4</v>
      </c>
      <c r="E14" s="12">
        <f t="shared" si="5"/>
        <v>3.2531801069683654E-2</v>
      </c>
      <c r="F14" s="12">
        <f t="shared" si="5"/>
        <v>5.0784848526775903E-3</v>
      </c>
      <c r="G14" s="12">
        <f t="shared" si="5"/>
        <v>1.5646243251430131E-2</v>
      </c>
      <c r="H14" s="12">
        <f t="shared" si="5"/>
        <v>3.8075108205678958E-3</v>
      </c>
      <c r="I14" s="12">
        <f t="shared" si="5"/>
        <v>2.2405779848661189E-3</v>
      </c>
      <c r="J14" s="12">
        <f t="shared" si="5"/>
        <v>6.9116054602736548E-4</v>
      </c>
      <c r="K14" s="12">
        <f t="shared" si="5"/>
        <v>5.9653942822480239E-4</v>
      </c>
      <c r="L14" s="12">
        <f t="shared" si="5"/>
        <v>1.8645847811067033E-2</v>
      </c>
      <c r="M14" s="12">
        <f t="shared" si="5"/>
        <v>4.0209822732809085E-3</v>
      </c>
      <c r="N14" s="12">
        <f t="shared" si="5"/>
        <v>4.1319987210027102E-2</v>
      </c>
      <c r="O14" s="12">
        <f t="shared" si="5"/>
        <v>1.7806713841220692E-2</v>
      </c>
      <c r="P14" s="12">
        <f t="shared" si="5"/>
        <v>6.4258035566469307E-3</v>
      </c>
      <c r="Q14" s="12">
        <f t="shared" si="5"/>
        <v>1.0167534943588125E-2</v>
      </c>
      <c r="R14" s="12">
        <f t="shared" si="5"/>
        <v>9.3162531466446808E-3</v>
      </c>
      <c r="S14" s="12">
        <f t="shared" si="5"/>
        <v>2.1839278289066906E-2</v>
      </c>
      <c r="T14" s="12">
        <f t="shared" si="5"/>
        <v>7.527668317880435E-3</v>
      </c>
      <c r="U14" s="12">
        <f t="shared" si="5"/>
        <v>1.2494958986912367E-4</v>
      </c>
      <c r="V14" s="12">
        <f t="shared" si="5"/>
        <v>2.1610552825067487E-3</v>
      </c>
      <c r="W14" s="12">
        <f t="shared" si="5"/>
        <v>3.543715148146525E-2</v>
      </c>
      <c r="X14" s="12">
        <f t="shared" si="5"/>
        <v>7.4806547294654123E-3</v>
      </c>
      <c r="Y14" s="12">
        <f t="shared" si="5"/>
        <v>2.9360055427819158E-2</v>
      </c>
      <c r="Z14" s="12">
        <f t="shared" si="5"/>
        <v>8.3562967129008729E-3</v>
      </c>
      <c r="AA14" s="12">
        <f t="shared" si="5"/>
        <v>5.1023653507752866E-3</v>
      </c>
      <c r="AB14" s="12">
        <f t="shared" si="5"/>
        <v>1.3739901093633732E-3</v>
      </c>
      <c r="AC14" s="12">
        <f t="shared" si="5"/>
        <v>7.1175497070142908E-5</v>
      </c>
      <c r="AD14" s="12">
        <f t="shared" si="5"/>
        <v>2.4922344653487805E-4</v>
      </c>
      <c r="AE14" s="12">
        <f t="shared" si="5"/>
        <v>1.1811690672517427E-2</v>
      </c>
      <c r="AF14" s="12">
        <f t="shared" si="5"/>
        <v>4.978097921331754E-2</v>
      </c>
      <c r="AG14" s="12">
        <f t="shared" si="5"/>
        <v>5.1999607352260186E-6</v>
      </c>
      <c r="AH14" s="12">
        <f t="shared" si="5"/>
        <v>1.391040971191622E-3</v>
      </c>
      <c r="AI14" s="12">
        <f t="shared" ref="AI14:BN14" si="6">(AI4-AI10)^2</f>
        <v>7.0011940771978797E-5</v>
      </c>
      <c r="AJ14" s="12">
        <f t="shared" si="6"/>
        <v>3.7525971753683298E-4</v>
      </c>
      <c r="AK14" s="12">
        <f t="shared" si="6"/>
        <v>1.5821778839744318E-3</v>
      </c>
      <c r="AL14" s="12">
        <f t="shared" si="6"/>
        <v>1.2955292254780015E-2</v>
      </c>
      <c r="AM14" s="12">
        <f t="shared" si="6"/>
        <v>2.3763391096053774E-2</v>
      </c>
      <c r="AN14" s="12">
        <f t="shared" si="6"/>
        <v>4.7882945530888701E-3</v>
      </c>
      <c r="AO14" s="12">
        <f t="shared" si="6"/>
        <v>1.7665458008177414E-4</v>
      </c>
      <c r="AP14" s="12">
        <f t="shared" si="6"/>
        <v>4.1548843461696435E-3</v>
      </c>
      <c r="AQ14" s="12">
        <f t="shared" si="6"/>
        <v>1.15270025340807E-2</v>
      </c>
      <c r="AR14" s="12">
        <f t="shared" si="6"/>
        <v>6.9408580288691959E-5</v>
      </c>
      <c r="AS14" s="12">
        <f t="shared" si="6"/>
        <v>8.6891278876370937E-3</v>
      </c>
      <c r="AT14" s="12">
        <f t="shared" si="6"/>
        <v>1.997317740927831E-3</v>
      </c>
      <c r="AU14" s="12">
        <f t="shared" si="6"/>
        <v>1.5520185403980893E-2</v>
      </c>
      <c r="AV14" s="12">
        <f t="shared" si="6"/>
        <v>6.5497255275657834E-2</v>
      </c>
      <c r="AW14" s="12">
        <f t="shared" si="6"/>
        <v>9.8028677588185079E-3</v>
      </c>
      <c r="AX14" s="12">
        <f t="shared" si="6"/>
        <v>2.6615326787321541E-3</v>
      </c>
      <c r="AY14" s="12">
        <f t="shared" si="6"/>
        <v>1.5348911587133987E-2</v>
      </c>
      <c r="AZ14" s="12">
        <f t="shared" si="6"/>
        <v>1.4700306369664164E-2</v>
      </c>
      <c r="BA14" s="12">
        <f t="shared" si="6"/>
        <v>5.6208106878069704E-4</v>
      </c>
      <c r="BB14" s="12">
        <f t="shared" si="6"/>
        <v>5.3936319422856066E-2</v>
      </c>
      <c r="BC14" s="12">
        <f t="shared" si="6"/>
        <v>6.4893840665345868E-3</v>
      </c>
      <c r="BD14" s="12">
        <f t="shared" si="6"/>
        <v>1.4659933360993241E-2</v>
      </c>
      <c r="BE14" s="12">
        <f t="shared" si="6"/>
        <v>1.2221206097930428E-2</v>
      </c>
      <c r="BF14" s="12">
        <f t="shared" si="6"/>
        <v>9.3662748548429368E-3</v>
      </c>
      <c r="BG14" s="12">
        <f t="shared" si="6"/>
        <v>3.1606385811904854E-3</v>
      </c>
      <c r="BH14" s="12">
        <f t="shared" si="6"/>
        <v>5.2212270025896162E-3</v>
      </c>
      <c r="BI14" s="12">
        <f t="shared" si="6"/>
        <v>2.2070219405135194E-6</v>
      </c>
      <c r="BJ14" s="12">
        <f t="shared" si="6"/>
        <v>1.9996467086079652E-3</v>
      </c>
      <c r="BK14" s="12">
        <f t="shared" si="6"/>
        <v>2.2446031726611797E-2</v>
      </c>
      <c r="BL14" s="12">
        <f t="shared" si="6"/>
        <v>1.0010311863111813E-4</v>
      </c>
      <c r="BM14" s="12">
        <f t="shared" si="6"/>
        <v>5.2166354279980544E-3</v>
      </c>
      <c r="BN14" s="12">
        <f t="shared" si="6"/>
        <v>1.3149480718368542E-2</v>
      </c>
      <c r="BO14" s="12">
        <f t="shared" ref="BO14:CT14" si="7">(BO4-BO10)^2</f>
        <v>1.2718059592398374E-2</v>
      </c>
      <c r="BP14" s="12">
        <f t="shared" si="7"/>
        <v>1.1296325966060955E-2</v>
      </c>
      <c r="BQ14" s="12">
        <f t="shared" si="7"/>
        <v>4.9993114105104856E-4</v>
      </c>
      <c r="BR14" s="12">
        <f t="shared" si="7"/>
        <v>3.8386377375261307E-3</v>
      </c>
      <c r="BS14" s="12">
        <f t="shared" si="7"/>
        <v>7.8378427579723063E-6</v>
      </c>
      <c r="BT14" s="12">
        <f t="shared" si="7"/>
        <v>1.8145735321452881E-2</v>
      </c>
      <c r="BU14" s="12">
        <f t="shared" si="7"/>
        <v>1.0414693844186086E-4</v>
      </c>
      <c r="BV14" s="12">
        <f t="shared" si="7"/>
        <v>1.8131090422041644E-2</v>
      </c>
      <c r="BW14" s="12">
        <f t="shared" si="7"/>
        <v>7.3721872914269369E-3</v>
      </c>
      <c r="BX14" s="12">
        <f t="shared" si="7"/>
        <v>1.1659766589718187E-3</v>
      </c>
      <c r="BY14" s="12">
        <f t="shared" si="7"/>
        <v>7.153593088221312E-2</v>
      </c>
      <c r="BZ14" s="12">
        <f t="shared" si="7"/>
        <v>4.5135026846247026E-2</v>
      </c>
      <c r="CA14" s="12">
        <f t="shared" si="7"/>
        <v>1.6583137645159205E-2</v>
      </c>
      <c r="CB14" s="12">
        <f t="shared" si="7"/>
        <v>3.2468388564144059E-2</v>
      </c>
      <c r="CC14" s="12">
        <f t="shared" si="7"/>
        <v>1.3410722616133732E-2</v>
      </c>
      <c r="CD14" s="12">
        <f t="shared" si="7"/>
        <v>1.8540221838043377E-3</v>
      </c>
      <c r="CE14" s="12">
        <f t="shared" si="7"/>
        <v>4.3159709542222896E-2</v>
      </c>
      <c r="CF14" s="12">
        <f t="shared" si="7"/>
        <v>1.8519923185709698E-2</v>
      </c>
      <c r="CG14" s="12">
        <f t="shared" si="7"/>
        <v>1.7322739411859732E-3</v>
      </c>
      <c r="CH14" s="12">
        <f t="shared" si="7"/>
        <v>1.2210089596105743E-2</v>
      </c>
      <c r="CI14" s="12">
        <f t="shared" si="7"/>
        <v>1.0822064719994936E-2</v>
      </c>
      <c r="CJ14" s="12">
        <f t="shared" si="7"/>
        <v>2.4168143108919166E-3</v>
      </c>
      <c r="CK14" s="12">
        <f t="shared" si="7"/>
        <v>9.5110196415999926E-3</v>
      </c>
      <c r="CL14" s="12">
        <f t="shared" si="7"/>
        <v>3.0879130862542354E-3</v>
      </c>
      <c r="CM14" s="12">
        <f t="shared" si="7"/>
        <v>9.8405316616625479E-2</v>
      </c>
      <c r="CN14" s="12">
        <f t="shared" si="7"/>
        <v>3.832361298772391E-2</v>
      </c>
      <c r="CO14" s="12">
        <f t="shared" si="7"/>
        <v>2.5342608671399879E-2</v>
      </c>
      <c r="CP14" s="12">
        <f t="shared" si="7"/>
        <v>1.6204726147004988E-3</v>
      </c>
      <c r="CQ14" s="12">
        <f t="shared" si="7"/>
        <v>1.0299899506335315E-2</v>
      </c>
      <c r="CR14" s="12">
        <f t="shared" si="7"/>
        <v>2.2544146694653308E-2</v>
      </c>
      <c r="CS14" s="12">
        <f t="shared" si="7"/>
        <v>2.9976531760075323E-2</v>
      </c>
      <c r="CT14" s="12">
        <f t="shared" si="7"/>
        <v>1.4197695659730366E-2</v>
      </c>
      <c r="CU14" s="12">
        <f t="shared" ref="CU14:DZ14" si="8">(CU4-CU10)^2</f>
        <v>1.5859080259654284E-3</v>
      </c>
      <c r="CV14" s="12">
        <f t="shared" si="8"/>
        <v>6.8654436051215958E-3</v>
      </c>
      <c r="CW14" s="12">
        <f t="shared" si="8"/>
        <v>1.8078017075063512E-3</v>
      </c>
      <c r="CX14" s="12">
        <f t="shared" si="8"/>
        <v>2.2275726492026776E-2</v>
      </c>
      <c r="CY14" s="12">
        <f t="shared" si="8"/>
        <v>4.9329988555258724E-3</v>
      </c>
      <c r="CZ14" s="12">
        <f t="shared" si="8"/>
        <v>1.0299591182976584E-2</v>
      </c>
      <c r="DA14" s="12">
        <f t="shared" si="8"/>
        <v>9.397818788871164E-4</v>
      </c>
      <c r="DB14" s="12">
        <f t="shared" si="8"/>
        <v>3.4527987018839704E-2</v>
      </c>
      <c r="DC14" s="12">
        <f t="shared" si="8"/>
        <v>3.064171364115032E-3</v>
      </c>
      <c r="DD14" s="12">
        <f t="shared" si="8"/>
        <v>6.3051009540492763E-3</v>
      </c>
      <c r="DE14" s="12">
        <f t="shared" si="8"/>
        <v>4.6166961648387225E-4</v>
      </c>
      <c r="DF14" s="12">
        <f t="shared" si="8"/>
        <v>1.2951304596662782E-2</v>
      </c>
      <c r="DG14" s="12">
        <f t="shared" si="8"/>
        <v>4.8712120967215007E-2</v>
      </c>
      <c r="DH14" s="12">
        <f t="shared" si="8"/>
        <v>9.2576100346037415E-2</v>
      </c>
      <c r="DI14" s="12">
        <f t="shared" si="8"/>
        <v>5.7231483534430144E-3</v>
      </c>
      <c r="DJ14" s="12">
        <f t="shared" si="8"/>
        <v>1.1104072983612962E-4</v>
      </c>
      <c r="DK14" s="12">
        <f t="shared" si="8"/>
        <v>4.7527359201979362E-2</v>
      </c>
      <c r="DL14" s="12">
        <f t="shared" si="8"/>
        <v>1.7208893464342411E-2</v>
      </c>
      <c r="DM14" s="12">
        <f t="shared" si="8"/>
        <v>8.9398162937246312E-3</v>
      </c>
      <c r="DN14" s="12">
        <f t="shared" si="8"/>
        <v>3.5324676691306227E-2</v>
      </c>
      <c r="DO14" s="12">
        <f t="shared" si="8"/>
        <v>1.1232643272528289E-3</v>
      </c>
      <c r="DP14" s="12">
        <f t="shared" si="8"/>
        <v>2.6737008020720162E-3</v>
      </c>
      <c r="DQ14" s="12">
        <f t="shared" si="8"/>
        <v>4.9525046539882156E-2</v>
      </c>
      <c r="DR14" s="12">
        <f t="shared" si="8"/>
        <v>6.5645171149840689E-3</v>
      </c>
      <c r="DS14" s="12">
        <f t="shared" si="8"/>
        <v>4.1781308977949204E-2</v>
      </c>
      <c r="DT14" s="12">
        <f t="shared" si="8"/>
        <v>6.9488447596748907E-3</v>
      </c>
      <c r="DU14" s="12">
        <f t="shared" si="8"/>
        <v>1.7550736405050681E-2</v>
      </c>
      <c r="DV14" s="12">
        <f t="shared" si="8"/>
        <v>6.5176320850323819E-4</v>
      </c>
      <c r="DW14" s="12">
        <f t="shared" si="8"/>
        <v>1.9787975961884946E-2</v>
      </c>
      <c r="DX14" s="12">
        <f t="shared" si="8"/>
        <v>7.6744974837232105E-3</v>
      </c>
      <c r="DY14" s="12">
        <f t="shared" si="8"/>
        <v>2.7457793732802441E-2</v>
      </c>
      <c r="DZ14" s="12">
        <f t="shared" si="8"/>
        <v>1.2753617828167011E-6</v>
      </c>
      <c r="EA14" s="12">
        <f t="shared" ref="EA14:EL14" si="9">(EA4-EA10)^2</f>
        <v>2.2188697575383932E-2</v>
      </c>
      <c r="EB14" s="12">
        <f t="shared" si="9"/>
        <v>2.9945458416817112E-3</v>
      </c>
      <c r="EC14" s="12">
        <f t="shared" si="9"/>
        <v>1.5447699529531164E-2</v>
      </c>
      <c r="ED14" s="12">
        <f t="shared" si="9"/>
        <v>4.7881783645215941E-4</v>
      </c>
      <c r="EE14" s="12">
        <f t="shared" si="9"/>
        <v>3.4492075246316165E-3</v>
      </c>
      <c r="EF14" s="12">
        <f t="shared" si="9"/>
        <v>8.3889627008170986E-2</v>
      </c>
      <c r="EG14" s="12">
        <f t="shared" si="9"/>
        <v>6.8162577357569641E-3</v>
      </c>
      <c r="EH14" s="12">
        <f t="shared" si="9"/>
        <v>2.6361612967803393E-2</v>
      </c>
      <c r="EI14" s="12">
        <f t="shared" si="9"/>
        <v>5.8619559038353079E-2</v>
      </c>
      <c r="EJ14" s="12">
        <f t="shared" si="9"/>
        <v>4.3388731776576933E-3</v>
      </c>
      <c r="EK14" s="12">
        <f t="shared" si="9"/>
        <v>1.2658371701982229E-2</v>
      </c>
      <c r="EL14" s="12">
        <f t="shared" si="9"/>
        <v>5.0348836568766167E-2</v>
      </c>
    </row>
    <row r="15" spans="1:142" x14ac:dyDescent="0.55000000000000004">
      <c r="B15" s="14" t="s">
        <v>145</v>
      </c>
      <c r="C15" s="12">
        <f t="shared" ref="C15:AH15" si="10">(C5-C11)^2</f>
        <v>0.11016264844807609</v>
      </c>
      <c r="D15" s="12">
        <f t="shared" si="10"/>
        <v>3.2468961923311834E-2</v>
      </c>
      <c r="E15" s="12">
        <f t="shared" si="10"/>
        <v>0.28426894557207172</v>
      </c>
      <c r="F15" s="12">
        <f t="shared" si="10"/>
        <v>1.9513202129600268E-2</v>
      </c>
      <c r="G15" s="12">
        <f t="shared" si="10"/>
        <v>0.18749065447918073</v>
      </c>
      <c r="H15" s="12">
        <f t="shared" si="10"/>
        <v>0.12358848489995573</v>
      </c>
      <c r="I15" s="12">
        <f t="shared" si="10"/>
        <v>2.8808221436019119E-2</v>
      </c>
      <c r="J15" s="12">
        <f t="shared" si="10"/>
        <v>8.2093645558368716E-3</v>
      </c>
      <c r="K15" s="12">
        <f t="shared" si="10"/>
        <v>0.11863220153812898</v>
      </c>
      <c r="L15" s="12">
        <f t="shared" si="10"/>
        <v>0.14879986114294941</v>
      </c>
      <c r="M15" s="12">
        <f t="shared" si="10"/>
        <v>6.7102359324986687E-3</v>
      </c>
      <c r="N15" s="12">
        <f t="shared" si="10"/>
        <v>4.1828509539926804E-2</v>
      </c>
      <c r="O15" s="12">
        <f t="shared" si="10"/>
        <v>1.6790952068665002E-2</v>
      </c>
      <c r="P15" s="12">
        <f t="shared" si="10"/>
        <v>5.3965525081969661E-2</v>
      </c>
      <c r="Q15" s="12">
        <f t="shared" si="10"/>
        <v>6.7165957988553674E-4</v>
      </c>
      <c r="R15" s="12">
        <f t="shared" si="10"/>
        <v>1.8274072068659115E-2</v>
      </c>
      <c r="S15" s="12">
        <f t="shared" si="10"/>
        <v>3.5217889488130955E-2</v>
      </c>
      <c r="T15" s="12">
        <f t="shared" si="10"/>
        <v>7.1826572196131749E-4</v>
      </c>
      <c r="U15" s="12">
        <f t="shared" si="10"/>
        <v>1.9915727273570267E-3</v>
      </c>
      <c r="V15" s="12">
        <f t="shared" si="10"/>
        <v>3.1168524570098274E-2</v>
      </c>
      <c r="W15" s="12">
        <f t="shared" si="10"/>
        <v>8.1055785429713686E-2</v>
      </c>
      <c r="X15" s="12">
        <f t="shared" si="10"/>
        <v>3.1425711449782366E-2</v>
      </c>
      <c r="Y15" s="12">
        <f t="shared" si="10"/>
        <v>0.51490001986254574</v>
      </c>
      <c r="Z15" s="12">
        <f t="shared" si="10"/>
        <v>2.9513040162151161E-3</v>
      </c>
      <c r="AA15" s="12">
        <f t="shared" si="10"/>
        <v>8.5615080605891489E-3</v>
      </c>
      <c r="AB15" s="12">
        <f t="shared" si="10"/>
        <v>1.0192385672169102E-2</v>
      </c>
      <c r="AC15" s="12">
        <f t="shared" si="10"/>
        <v>7.8333810859787219E-4</v>
      </c>
      <c r="AD15" s="12">
        <f t="shared" si="10"/>
        <v>4.9451275155599814E-2</v>
      </c>
      <c r="AE15" s="12">
        <f t="shared" si="10"/>
        <v>5.1505281377786979E-3</v>
      </c>
      <c r="AF15" s="12">
        <f t="shared" si="10"/>
        <v>0.11204424168831104</v>
      </c>
      <c r="AG15" s="12">
        <f t="shared" si="10"/>
        <v>2.008640123488159E-2</v>
      </c>
      <c r="AH15" s="12">
        <f t="shared" si="10"/>
        <v>0.1055314565357837</v>
      </c>
      <c r="AI15" s="12">
        <f t="shared" ref="AI15:BN15" si="11">(AI5-AI11)^2</f>
        <v>1.3998581160772829E-2</v>
      </c>
      <c r="AJ15" s="12">
        <f t="shared" si="11"/>
        <v>0.42718016651342844</v>
      </c>
      <c r="AK15" s="12">
        <f t="shared" si="11"/>
        <v>2.3391162037193652E-3</v>
      </c>
      <c r="AL15" s="12">
        <f t="shared" si="11"/>
        <v>2.5141881139971472E-4</v>
      </c>
      <c r="AM15" s="12">
        <f t="shared" si="11"/>
        <v>2.1583165186318388E-3</v>
      </c>
      <c r="AN15" s="12">
        <f t="shared" si="11"/>
        <v>1.2224387978265186E-3</v>
      </c>
      <c r="AO15" s="12">
        <f t="shared" si="11"/>
        <v>2.3803910233952938E-2</v>
      </c>
      <c r="AP15" s="12">
        <f t="shared" si="11"/>
        <v>2.3670794707028538E-2</v>
      </c>
      <c r="AQ15" s="12">
        <f t="shared" si="11"/>
        <v>8.7918026488826864E-2</v>
      </c>
      <c r="AR15" s="12">
        <f t="shared" si="11"/>
        <v>8.6644660118562027E-3</v>
      </c>
      <c r="AS15" s="12">
        <f t="shared" si="11"/>
        <v>4.5133933718221074E-2</v>
      </c>
      <c r="AT15" s="12">
        <f t="shared" si="11"/>
        <v>9.4140894592102236E-5</v>
      </c>
      <c r="AU15" s="12">
        <f t="shared" si="11"/>
        <v>4.6179765050755557E-2</v>
      </c>
      <c r="AV15" s="12">
        <f t="shared" si="11"/>
        <v>5.3097506410616092E-2</v>
      </c>
      <c r="AW15" s="12">
        <f t="shared" si="11"/>
        <v>6.1564981622451382E-3</v>
      </c>
      <c r="AX15" s="12">
        <f t="shared" si="11"/>
        <v>1.2034589484988733E-5</v>
      </c>
      <c r="AY15" s="12">
        <f t="shared" si="11"/>
        <v>3.2471318054159303E-4</v>
      </c>
      <c r="AZ15" s="12">
        <f t="shared" si="11"/>
        <v>8.5003997403660006E-2</v>
      </c>
      <c r="BA15" s="12">
        <f t="shared" si="11"/>
        <v>8.2246568165553201E-6</v>
      </c>
      <c r="BB15" s="12">
        <f t="shared" si="11"/>
        <v>4.3294303449285712E-2</v>
      </c>
      <c r="BC15" s="12">
        <f t="shared" si="11"/>
        <v>6.8193323446621573E-3</v>
      </c>
      <c r="BD15" s="12">
        <f t="shared" si="11"/>
        <v>9.3417393816911075E-3</v>
      </c>
      <c r="BE15" s="12">
        <f t="shared" si="11"/>
        <v>9.6586407482362927E-2</v>
      </c>
      <c r="BF15" s="12">
        <f t="shared" si="11"/>
        <v>1.2147022134087932E-2</v>
      </c>
      <c r="BG15" s="12">
        <f t="shared" si="11"/>
        <v>8.2258845913704397E-3</v>
      </c>
      <c r="BH15" s="12">
        <f t="shared" si="11"/>
        <v>1.2312907138811483E-3</v>
      </c>
      <c r="BI15" s="12">
        <f t="shared" si="11"/>
        <v>3.7387100296077377E-2</v>
      </c>
      <c r="BJ15" s="12">
        <f t="shared" si="11"/>
        <v>0.13455668155036765</v>
      </c>
      <c r="BK15" s="12">
        <f t="shared" si="11"/>
        <v>5.4105796921828035E-2</v>
      </c>
      <c r="BL15" s="12">
        <f t="shared" si="11"/>
        <v>7.3239196843380945E-5</v>
      </c>
      <c r="BM15" s="12">
        <f t="shared" si="11"/>
        <v>2.8244289537257539E-2</v>
      </c>
      <c r="BN15" s="12">
        <f t="shared" si="11"/>
        <v>7.6532057252785417E-5</v>
      </c>
      <c r="BO15" s="12">
        <f t="shared" ref="BO15:CT15" si="12">(BO5-BO11)^2</f>
        <v>2.6166256655928546E-2</v>
      </c>
      <c r="BP15" s="12">
        <f t="shared" si="12"/>
        <v>7.1559615079599265E-3</v>
      </c>
      <c r="BQ15" s="12">
        <f t="shared" si="12"/>
        <v>4.9346866290451305E-2</v>
      </c>
      <c r="BR15" s="12">
        <f t="shared" si="12"/>
        <v>0.12833484755512592</v>
      </c>
      <c r="BS15" s="12">
        <f t="shared" si="12"/>
        <v>3.7011853247648246E-2</v>
      </c>
      <c r="BT15" s="12">
        <f t="shared" si="12"/>
        <v>4.5518300859914235E-2</v>
      </c>
      <c r="BU15" s="12">
        <f t="shared" si="12"/>
        <v>8.0728924860131154E-2</v>
      </c>
      <c r="BV15" s="12">
        <f t="shared" si="12"/>
        <v>4.306432337999571E-2</v>
      </c>
      <c r="BW15" s="12">
        <f t="shared" si="12"/>
        <v>1.2089597226684293E-2</v>
      </c>
      <c r="BX15" s="12">
        <f t="shared" si="12"/>
        <v>6.9461971691988202E-3</v>
      </c>
      <c r="BY15" s="12">
        <f t="shared" si="12"/>
        <v>5.7413115421636862E-3</v>
      </c>
      <c r="BZ15" s="12">
        <f t="shared" si="12"/>
        <v>1.8463134798108089E-2</v>
      </c>
      <c r="CA15" s="12">
        <f t="shared" si="12"/>
        <v>1.0386076969264163E-3</v>
      </c>
      <c r="CB15" s="12">
        <f t="shared" si="12"/>
        <v>1.3101545931037165E-3</v>
      </c>
      <c r="CC15" s="12">
        <f t="shared" si="12"/>
        <v>0.14616650944654203</v>
      </c>
      <c r="CD15" s="12">
        <f t="shared" si="12"/>
        <v>0.13733593525441207</v>
      </c>
      <c r="CE15" s="12">
        <f t="shared" si="12"/>
        <v>1.128935053345086E-2</v>
      </c>
      <c r="CF15" s="12">
        <f t="shared" si="12"/>
        <v>5.0556396651339312E-3</v>
      </c>
      <c r="CG15" s="12">
        <f t="shared" si="12"/>
        <v>7.7468462839424768E-2</v>
      </c>
      <c r="CH15" s="12">
        <f t="shared" si="12"/>
        <v>3.6266210202088971E-2</v>
      </c>
      <c r="CI15" s="12">
        <f t="shared" si="12"/>
        <v>1.0759282663598004E-3</v>
      </c>
      <c r="CJ15" s="12">
        <f t="shared" si="12"/>
        <v>0.17623647587160224</v>
      </c>
      <c r="CK15" s="12">
        <f t="shared" si="12"/>
        <v>1.6181879531143894E-3</v>
      </c>
      <c r="CL15" s="12">
        <f t="shared" si="12"/>
        <v>4.6350825495485216E-4</v>
      </c>
      <c r="CM15" s="12">
        <f t="shared" si="12"/>
        <v>3.5394731955497487E-3</v>
      </c>
      <c r="CN15" s="12">
        <f t="shared" si="12"/>
        <v>0.2420896086828819</v>
      </c>
      <c r="CO15" s="12">
        <f t="shared" si="12"/>
        <v>0.53037372791614545</v>
      </c>
      <c r="CP15" s="12">
        <f t="shared" si="12"/>
        <v>1.3242914227577493E-2</v>
      </c>
      <c r="CQ15" s="12">
        <f t="shared" si="12"/>
        <v>1.8372590751524885E-2</v>
      </c>
      <c r="CR15" s="12">
        <f t="shared" si="12"/>
        <v>0.10472335386959103</v>
      </c>
      <c r="CS15" s="12">
        <f t="shared" si="12"/>
        <v>6.2318076295906417E-2</v>
      </c>
      <c r="CT15" s="12">
        <f t="shared" si="12"/>
        <v>5.5439330625825747E-2</v>
      </c>
      <c r="CU15" s="12">
        <f t="shared" ref="CU15:DZ15" si="13">(CU5-CU11)^2</f>
        <v>2.555754512553322E-2</v>
      </c>
      <c r="CV15" s="12">
        <f t="shared" si="13"/>
        <v>0.14945034775487917</v>
      </c>
      <c r="CW15" s="12">
        <f t="shared" si="13"/>
        <v>4.7783269112132314E-2</v>
      </c>
      <c r="CX15" s="12">
        <f t="shared" si="13"/>
        <v>0.12440113571082576</v>
      </c>
      <c r="CY15" s="12">
        <f t="shared" si="13"/>
        <v>0.81529909070967488</v>
      </c>
      <c r="CZ15" s="12">
        <f t="shared" si="13"/>
        <v>0.73581563586357823</v>
      </c>
      <c r="DA15" s="12">
        <f t="shared" si="13"/>
        <v>2.3629752647211393E-2</v>
      </c>
      <c r="DB15" s="12">
        <f t="shared" si="13"/>
        <v>3.0570646440124507E-5</v>
      </c>
      <c r="DC15" s="12">
        <f t="shared" si="13"/>
        <v>3.6395098124620863E-2</v>
      </c>
      <c r="DD15" s="12">
        <f t="shared" si="13"/>
        <v>9.0200308798522137E-3</v>
      </c>
      <c r="DE15" s="12">
        <f t="shared" si="13"/>
        <v>2.3101023415185985E-4</v>
      </c>
      <c r="DF15" s="12">
        <f t="shared" si="13"/>
        <v>2.6166878481615374E-2</v>
      </c>
      <c r="DG15" s="12">
        <f t="shared" si="13"/>
        <v>9.4363804835477724E-2</v>
      </c>
      <c r="DH15" s="12">
        <f t="shared" si="13"/>
        <v>5.6926513976185622E-3</v>
      </c>
      <c r="DI15" s="12">
        <f t="shared" si="13"/>
        <v>4.2303999057832276E-2</v>
      </c>
      <c r="DJ15" s="12">
        <f t="shared" si="13"/>
        <v>0.48642939609493713</v>
      </c>
      <c r="DK15" s="12">
        <f t="shared" si="13"/>
        <v>0.49827152500565103</v>
      </c>
      <c r="DL15" s="12">
        <f t="shared" si="13"/>
        <v>3.2990117806426706E-4</v>
      </c>
      <c r="DM15" s="12">
        <f t="shared" si="13"/>
        <v>0.24458793532055284</v>
      </c>
      <c r="DN15" s="12">
        <f t="shared" si="13"/>
        <v>0.28587268337632138</v>
      </c>
      <c r="DO15" s="12">
        <f t="shared" si="13"/>
        <v>2.3710366226713867E-2</v>
      </c>
      <c r="DP15" s="12">
        <f t="shared" si="13"/>
        <v>3.0935729508473599E-2</v>
      </c>
      <c r="DQ15" s="12">
        <f t="shared" si="13"/>
        <v>0.17363486840004361</v>
      </c>
      <c r="DR15" s="12">
        <f t="shared" si="13"/>
        <v>1.8572711229447304E-4</v>
      </c>
      <c r="DS15" s="12">
        <f t="shared" si="13"/>
        <v>9.0501411550120425E-2</v>
      </c>
      <c r="DT15" s="12">
        <f t="shared" si="13"/>
        <v>4.6060258792716947E-2</v>
      </c>
      <c r="DU15" s="12">
        <f t="shared" si="13"/>
        <v>0.4595421135470566</v>
      </c>
      <c r="DV15" s="12">
        <f t="shared" si="13"/>
        <v>0.79042631394946739</v>
      </c>
      <c r="DW15" s="12">
        <f t="shared" si="13"/>
        <v>4.7237075398908444E-3</v>
      </c>
      <c r="DX15" s="12">
        <f t="shared" si="13"/>
        <v>3.981373410336142E-2</v>
      </c>
      <c r="DY15" s="12">
        <f t="shared" si="13"/>
        <v>0.16338876077619593</v>
      </c>
      <c r="DZ15" s="12">
        <f t="shared" si="13"/>
        <v>8.4262395240870328E-2</v>
      </c>
      <c r="EA15" s="12">
        <f t="shared" ref="EA15:EL15" si="14">(EA5-EA11)^2</f>
        <v>0.22088147431934338</v>
      </c>
      <c r="EB15" s="12">
        <f t="shared" si="14"/>
        <v>0.57864807061241097</v>
      </c>
      <c r="EC15" s="12">
        <f t="shared" si="14"/>
        <v>4.7340212681646274E-3</v>
      </c>
      <c r="ED15" s="12">
        <f t="shared" si="14"/>
        <v>5.8555783801559534E-2</v>
      </c>
      <c r="EE15" s="12">
        <f t="shared" si="14"/>
        <v>0.21032906751824104</v>
      </c>
      <c r="EF15" s="12">
        <f t="shared" si="14"/>
        <v>4.1054223424116711E-3</v>
      </c>
      <c r="EG15" s="12">
        <f t="shared" si="14"/>
        <v>0.28422993087409004</v>
      </c>
      <c r="EH15" s="12">
        <f t="shared" si="14"/>
        <v>2.2945318106387259E-2</v>
      </c>
      <c r="EI15" s="12">
        <f t="shared" si="14"/>
        <v>7.1583927823778232E-2</v>
      </c>
      <c r="EJ15" s="12">
        <f t="shared" si="14"/>
        <v>0.11049616040301714</v>
      </c>
      <c r="EK15" s="12">
        <f t="shared" si="14"/>
        <v>5.6103795054750084E-2</v>
      </c>
      <c r="EL15" s="12">
        <f t="shared" si="14"/>
        <v>2.7136502778546557E-2</v>
      </c>
    </row>
    <row r="17" spans="1:142" x14ac:dyDescent="0.55000000000000004">
      <c r="A17" s="12" t="s">
        <v>316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317</v>
      </c>
      <c r="B21" s="12">
        <f>1-SUM(C13:EL15)/SUM(C17:EL19)</f>
        <v>-3.7103394505812526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7"/>
      <c r="B12" s="17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7"/>
      <c r="B13" s="17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7"/>
      <c r="B14" s="17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7"/>
      <c r="B15" s="17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7"/>
      <c r="B16" s="17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7"/>
      <c r="B17" s="17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7"/>
      <c r="B18" s="17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7"/>
      <c r="B19" s="17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7"/>
      <c r="B20" s="17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7"/>
      <c r="B21" s="17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7"/>
      <c r="B22" s="17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7"/>
      <c r="B23" s="17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7"/>
      <c r="B24" s="17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7"/>
      <c r="B25" s="17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15" workbookViewId="0">
      <selection activeCell="C33" sqref="C33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21" width="22.59765625" bestFit="1" customWidth="1"/>
    <col min="22" max="22" width="21.3984375" bestFit="1" customWidth="1"/>
    <col min="23" max="43" width="22.59765625" bestFit="1" customWidth="1"/>
    <col min="44" max="44" width="21.3984375" bestFit="1" customWidth="1"/>
    <col min="45" max="142" width="22.59765625" bestFit="1" customWidth="1"/>
  </cols>
  <sheetData>
    <row r="1" spans="1:142" ht="25" customHeight="1" x14ac:dyDescent="0.55000000000000004">
      <c r="A1" s="11" t="s">
        <v>314</v>
      </c>
    </row>
    <row r="2" spans="1:142" ht="25" customHeight="1" x14ac:dyDescent="0.55000000000000004">
      <c r="A2" s="11" t="s">
        <v>318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1.4921767594186151E-2</v>
      </c>
      <c r="D3" s="13">
        <v>0.19374055664815121</v>
      </c>
      <c r="E3" s="13">
        <v>3.6641284891212558E-2</v>
      </c>
      <c r="F3" s="13">
        <v>2.720037808305234E-2</v>
      </c>
      <c r="G3" s="13">
        <v>4.1572509507104963E-2</v>
      </c>
      <c r="H3" s="13">
        <v>-3.7682778213388252E-2</v>
      </c>
      <c r="I3" s="13">
        <v>-0.14193848136906101</v>
      </c>
      <c r="J3" s="13">
        <v>0.22945654465299789</v>
      </c>
      <c r="K3" s="13">
        <v>4.3442237101088077E-2</v>
      </c>
      <c r="L3" s="13">
        <v>2.0280322863003471E-2</v>
      </c>
      <c r="M3" s="13">
        <v>5.8836120966363772E-2</v>
      </c>
      <c r="N3" s="13">
        <v>-0.15172078456838869</v>
      </c>
      <c r="O3" s="13">
        <v>0.32674605046024302</v>
      </c>
      <c r="P3" s="13">
        <v>0.15440773966925631</v>
      </c>
      <c r="Q3" s="13">
        <v>-0.1077953169647555</v>
      </c>
      <c r="R3" s="13">
        <v>-7.388217884017384E-2</v>
      </c>
      <c r="S3" s="13">
        <v>5.3466577832935007E-2</v>
      </c>
      <c r="T3" s="13">
        <v>-5.5190803448215323E-2</v>
      </c>
      <c r="U3" s="13">
        <v>-0.25838402358278728</v>
      </c>
      <c r="V3" s="13">
        <v>1.8370552657987281E-2</v>
      </c>
      <c r="W3" s="13">
        <v>0.22943515813535009</v>
      </c>
      <c r="X3" s="13">
        <v>-0.17107394554599489</v>
      </c>
      <c r="Y3" s="13">
        <v>0.22961919239615811</v>
      </c>
      <c r="Z3" s="13">
        <v>1.6609176417928001E-2</v>
      </c>
      <c r="AA3" s="13">
        <v>0.42374789292198939</v>
      </c>
      <c r="AB3" s="13">
        <v>-0.21459677754992679</v>
      </c>
      <c r="AC3" s="13">
        <v>4.4537467980128032E-2</v>
      </c>
      <c r="AD3" s="13">
        <v>0.1026363998651266</v>
      </c>
      <c r="AE3" s="13">
        <v>-5.0827700488349413E-2</v>
      </c>
      <c r="AF3" s="13">
        <v>-8.9107468044314797E-2</v>
      </c>
      <c r="AG3" s="13">
        <v>0.1222387206017722</v>
      </c>
      <c r="AH3" s="13">
        <v>-0.1126045230898728</v>
      </c>
      <c r="AI3" s="13">
        <v>0.1314139277105186</v>
      </c>
      <c r="AJ3" s="13">
        <v>0.16749207334460819</v>
      </c>
      <c r="AK3" s="13">
        <v>9.0663364527517804E-2</v>
      </c>
      <c r="AL3" s="13">
        <v>0.19313853511160101</v>
      </c>
      <c r="AM3" s="13">
        <v>7.7111193891363769E-2</v>
      </c>
      <c r="AN3" s="13">
        <v>0.25612014410100881</v>
      </c>
      <c r="AO3" s="13">
        <v>4.9003917759049262E-2</v>
      </c>
      <c r="AP3" s="13">
        <v>4.0886892136553048E-2</v>
      </c>
      <c r="AQ3" s="13">
        <v>-0.1105824318508952</v>
      </c>
      <c r="AR3" s="13">
        <v>2.295475557985116E-2</v>
      </c>
      <c r="AS3" s="13">
        <v>4.8656704163688558E-2</v>
      </c>
      <c r="AT3" s="13">
        <v>-5.42298370960584E-2</v>
      </c>
      <c r="AU3" s="13">
        <v>8.6316820243342141E-2</v>
      </c>
      <c r="AV3" s="13">
        <v>3.9564967369030882E-2</v>
      </c>
      <c r="AW3" s="13">
        <v>-0.19104490996141851</v>
      </c>
      <c r="AX3" s="13">
        <v>9.7109439791782243E-2</v>
      </c>
      <c r="AY3" s="13">
        <v>-1.9067525743759941E-2</v>
      </c>
      <c r="AZ3" s="13">
        <v>-9.1169360226394602E-2</v>
      </c>
      <c r="BA3" s="13">
        <v>0.1659581375266328</v>
      </c>
      <c r="BB3" s="13">
        <v>-4.1157026410981457E-2</v>
      </c>
      <c r="BC3" s="13">
        <v>0.1302099546908265</v>
      </c>
      <c r="BD3" s="13">
        <v>0.20026039215823041</v>
      </c>
      <c r="BE3" s="13">
        <v>-0.1061765229031819</v>
      </c>
      <c r="BF3" s="13">
        <v>3.9767282640800483E-3</v>
      </c>
      <c r="BG3" s="13">
        <v>0.33032254291108359</v>
      </c>
      <c r="BH3" s="13">
        <v>0.31722692640179961</v>
      </c>
      <c r="BI3" s="13">
        <v>1.5898229338183582E-2</v>
      </c>
      <c r="BJ3" s="13">
        <v>8.511805356647012E-2</v>
      </c>
      <c r="BK3" s="13">
        <v>8.5442583147222695E-2</v>
      </c>
      <c r="BL3" s="13">
        <v>6.0053601729861517E-2</v>
      </c>
      <c r="BM3" s="13">
        <v>7.748663263579969E-2</v>
      </c>
      <c r="BN3" s="13">
        <v>6.1035782377288413E-2</v>
      </c>
      <c r="BO3" s="13">
        <v>-0.21386733455172441</v>
      </c>
      <c r="BP3" s="13">
        <v>0.18539731380876759</v>
      </c>
      <c r="BQ3" s="13">
        <v>-5.4154026151144168E-2</v>
      </c>
      <c r="BR3" s="13">
        <v>0.28168982471721238</v>
      </c>
      <c r="BS3" s="13">
        <v>-2.3481657046590498E-2</v>
      </c>
      <c r="BT3" s="13">
        <v>8.9034674698385913E-2</v>
      </c>
      <c r="BU3" s="13">
        <v>0.12734099378758071</v>
      </c>
      <c r="BV3" s="13">
        <v>1.9220333982829459E-2</v>
      </c>
      <c r="BW3" s="13">
        <v>6.6547110474733912E-2</v>
      </c>
      <c r="BX3" s="13">
        <v>-0.1096838899370035</v>
      </c>
      <c r="BY3" s="13">
        <v>0.13853337364861401</v>
      </c>
      <c r="BZ3" s="13">
        <v>-0.10485789127282739</v>
      </c>
      <c r="CA3" s="13">
        <v>-5.0171625061092177E-2</v>
      </c>
      <c r="CB3" s="13">
        <v>-7.0239615583515547E-2</v>
      </c>
      <c r="CC3" s="13">
        <v>-6.024331497796076E-3</v>
      </c>
      <c r="CD3" s="13">
        <v>0.15997201356680449</v>
      </c>
      <c r="CE3" s="13">
        <v>0.21131661843971669</v>
      </c>
      <c r="CF3" s="13">
        <v>-0.10098227382063379</v>
      </c>
      <c r="CG3" s="13">
        <v>0.1099902345124356</v>
      </c>
      <c r="CH3" s="13">
        <v>-1.439263498621912E-2</v>
      </c>
      <c r="CI3" s="13">
        <v>0.22258294087819999</v>
      </c>
      <c r="CJ3" s="13">
        <v>-0.28268220919664089</v>
      </c>
      <c r="CK3" s="13">
        <v>-1.34784744837903E-2</v>
      </c>
      <c r="CL3" s="13">
        <v>-7.7844882578090024E-2</v>
      </c>
      <c r="CM3" s="13">
        <v>0.27379286416098292</v>
      </c>
      <c r="CN3" s="13">
        <v>-0.39000662146638571</v>
      </c>
      <c r="CO3" s="13">
        <v>-0.15858238798621049</v>
      </c>
      <c r="CP3" s="13">
        <v>-2.248687095004737E-2</v>
      </c>
      <c r="CQ3" s="13">
        <v>0.15587953569252869</v>
      </c>
      <c r="CR3" s="13">
        <v>8.1444486195923538E-2</v>
      </c>
      <c r="CS3" s="13">
        <v>-7.4204536967257373E-2</v>
      </c>
      <c r="CT3" s="13">
        <v>-9.2371279974270304E-2</v>
      </c>
      <c r="CU3" s="13">
        <v>-4.3714030096486063E-2</v>
      </c>
      <c r="CV3" s="13">
        <v>2.9888248842323439E-2</v>
      </c>
      <c r="CW3" s="13">
        <v>8.9064660675071017E-2</v>
      </c>
      <c r="CX3" s="13">
        <v>-2.461703398462101E-2</v>
      </c>
      <c r="CY3" s="13">
        <v>7.0863407701809683E-2</v>
      </c>
      <c r="CZ3" s="13">
        <v>4.0860064589465173E-2</v>
      </c>
      <c r="DA3" s="13">
        <v>0.25668575080604511</v>
      </c>
      <c r="DB3" s="13">
        <v>-0.16423592993500721</v>
      </c>
      <c r="DC3" s="13">
        <v>-0.25891871236192893</v>
      </c>
      <c r="DD3" s="13">
        <v>-3.1636234772114302E-2</v>
      </c>
      <c r="DE3" s="13">
        <v>0.16039046409100291</v>
      </c>
      <c r="DF3" s="13">
        <v>-0.1125151400819166</v>
      </c>
      <c r="DG3" s="13">
        <v>-8.2270484337237354E-2</v>
      </c>
      <c r="DH3" s="13">
        <v>-0.1046573993170693</v>
      </c>
      <c r="DI3" s="13">
        <v>4.8360523947053542E-2</v>
      </c>
      <c r="DJ3" s="13">
        <v>-5.7256595305278379E-2</v>
      </c>
      <c r="DK3" s="13">
        <v>4.4306650701811667E-2</v>
      </c>
      <c r="DL3" s="13">
        <v>-1.550485019804199E-2</v>
      </c>
      <c r="DM3" s="13">
        <v>-0.1187372546540391</v>
      </c>
      <c r="DN3" s="13">
        <v>-2.2084537220642689E-2</v>
      </c>
      <c r="DO3" s="13">
        <v>-9.3328814005851163E-2</v>
      </c>
      <c r="DP3" s="13">
        <v>0.16589996047491321</v>
      </c>
      <c r="DQ3" s="13">
        <v>0.19277347134422759</v>
      </c>
      <c r="DR3" s="13">
        <v>-5.3222765204426259E-2</v>
      </c>
      <c r="DS3" s="13">
        <v>0.1285503395605834</v>
      </c>
      <c r="DT3" s="13">
        <v>-0.1271379406682159</v>
      </c>
      <c r="DU3" s="13">
        <v>-0.1216781493648102</v>
      </c>
      <c r="DV3" s="13">
        <v>-7.3321392986254744E-2</v>
      </c>
      <c r="DW3" s="13">
        <v>5.7692105433722801E-2</v>
      </c>
      <c r="DX3" s="13">
        <v>9.0231456054620185E-2</v>
      </c>
      <c r="DY3" s="13">
        <v>-0.13571093332205969</v>
      </c>
      <c r="DZ3" s="13">
        <v>0.208838761875662</v>
      </c>
      <c r="EA3" s="13">
        <v>-0.1042137320006724</v>
      </c>
      <c r="EB3" s="13">
        <v>0.1955228574869389</v>
      </c>
      <c r="EC3" s="13">
        <v>-8.3944738981710995E-2</v>
      </c>
      <c r="ED3" s="13">
        <v>-4.1132651476077212E-2</v>
      </c>
      <c r="EE3" s="13">
        <v>-0.11014068184164311</v>
      </c>
      <c r="EF3" s="13">
        <v>-3.7066133134747589E-2</v>
      </c>
      <c r="EG3" s="13">
        <v>8.0655584908580213E-2</v>
      </c>
      <c r="EH3" s="13">
        <v>0.17418837326470191</v>
      </c>
      <c r="EI3" s="13">
        <v>0.1018806103780743</v>
      </c>
      <c r="EJ3" s="13">
        <v>-7.9899408218633464E-2</v>
      </c>
      <c r="EK3" s="13">
        <v>-0.14702487284735691</v>
      </c>
      <c r="EL3" s="13">
        <v>-0.16515913559204909</v>
      </c>
    </row>
    <row r="4" spans="1:142" ht="25" customHeight="1" x14ac:dyDescent="0.55000000000000004">
      <c r="B4" s="11" t="s">
        <v>144</v>
      </c>
      <c r="C4" s="13">
        <v>-0.14934537097006381</v>
      </c>
      <c r="D4" s="13">
        <v>-0.24734382193855889</v>
      </c>
      <c r="E4" s="13">
        <v>-0.25906123854298002</v>
      </c>
      <c r="F4" s="13">
        <v>-5.5566834479314764E-3</v>
      </c>
      <c r="G4" s="13">
        <v>6.5085215638914562E-2</v>
      </c>
      <c r="H4" s="13">
        <v>-2.9077597804489489E-2</v>
      </c>
      <c r="I4" s="13">
        <v>1.7791287057486119E-2</v>
      </c>
      <c r="J4" s="13">
        <v>4.2466157631261943E-2</v>
      </c>
      <c r="K4" s="13">
        <v>-2.1006648417474238E-2</v>
      </c>
      <c r="L4" s="13">
        <v>-4.4200314609364362E-2</v>
      </c>
      <c r="M4" s="13">
        <v>-5.7877978335193703E-2</v>
      </c>
      <c r="N4" s="13">
        <v>6.4362720925714711E-4</v>
      </c>
      <c r="O4" s="13">
        <v>-0.1888809883423157</v>
      </c>
      <c r="P4" s="13">
        <v>-1.7141672241164582E-2</v>
      </c>
      <c r="Q4" s="13">
        <v>4.9706724765044903E-2</v>
      </c>
      <c r="R4" s="13">
        <v>-9.9157665911262072E-2</v>
      </c>
      <c r="S4" s="13">
        <v>-3.0410739659584959E-2</v>
      </c>
      <c r="T4" s="13">
        <v>0.114883194276155</v>
      </c>
      <c r="U4" s="13">
        <v>1.3221613108109761E-2</v>
      </c>
      <c r="V4" s="13">
        <v>4.8956470682201207E-2</v>
      </c>
      <c r="W4" s="13">
        <v>5.8935588805711703E-2</v>
      </c>
      <c r="X4" s="13">
        <v>-0.16467436985926651</v>
      </c>
      <c r="Y4" s="13">
        <v>-0.18813682472110749</v>
      </c>
      <c r="Z4" s="13">
        <v>6.9656910085143409E-2</v>
      </c>
      <c r="AA4" s="13">
        <v>-1.536607134313428E-2</v>
      </c>
      <c r="AB4" s="13">
        <v>-6.3219850439137915E-2</v>
      </c>
      <c r="AC4" s="13">
        <v>-7.8982007867882231E-2</v>
      </c>
      <c r="AD4" s="13">
        <v>-3.0272546555867311E-2</v>
      </c>
      <c r="AE4" s="13">
        <v>2.4342450678682681E-2</v>
      </c>
      <c r="AF4" s="13">
        <v>0.1338387609531928</v>
      </c>
      <c r="AG4" s="13">
        <v>-6.1601099916954283E-2</v>
      </c>
      <c r="AH4" s="13">
        <v>-9.2544715844580239E-2</v>
      </c>
      <c r="AI4" s="13">
        <v>-2.606557636825713E-2</v>
      </c>
      <c r="AJ4" s="13">
        <v>1.835980120122116E-2</v>
      </c>
      <c r="AK4" s="13">
        <v>4.9856794173347652E-2</v>
      </c>
      <c r="AL4" s="13">
        <v>-6.0623931441821099E-3</v>
      </c>
      <c r="AM4" s="13">
        <v>-0.1593670046856257</v>
      </c>
      <c r="AN4" s="13">
        <v>-3.9146401437225357E-2</v>
      </c>
      <c r="AO4" s="13">
        <v>-4.5070029117612258E-2</v>
      </c>
      <c r="AP4" s="13">
        <v>7.5288047421649296E-2</v>
      </c>
      <c r="AQ4" s="13">
        <v>-9.8196075774527714E-2</v>
      </c>
      <c r="AR4" s="13">
        <v>8.6383001174560547E-2</v>
      </c>
      <c r="AS4" s="13">
        <v>6.8813106450374306E-2</v>
      </c>
      <c r="AT4" s="13">
        <v>4.6704563833854351E-2</v>
      </c>
      <c r="AU4" s="13">
        <v>-4.2570548354721183E-2</v>
      </c>
      <c r="AV4" s="13">
        <v>-0.22195205322781139</v>
      </c>
      <c r="AW4" s="13">
        <v>8.2172494215541292E-2</v>
      </c>
      <c r="AX4" s="13">
        <v>1.6883596650064451E-2</v>
      </c>
      <c r="AY4" s="13">
        <v>0.12907394968742911</v>
      </c>
      <c r="AZ4" s="13">
        <v>1.508250262297395E-3</v>
      </c>
      <c r="BA4" s="13">
        <v>-0.1115044795953537</v>
      </c>
      <c r="BB4" s="13">
        <v>-0.21525994170681531</v>
      </c>
      <c r="BC4" s="13">
        <v>-5.7482345433534483E-2</v>
      </c>
      <c r="BD4" s="13">
        <v>1.083671471935332E-3</v>
      </c>
      <c r="BE4" s="13">
        <v>1.8778916647853802E-2</v>
      </c>
      <c r="BF4" s="13">
        <v>0.11348943166465381</v>
      </c>
      <c r="BG4" s="13">
        <v>-7.8526304322265261E-2</v>
      </c>
      <c r="BH4" s="13">
        <v>-3.2954977512261507E-2</v>
      </c>
      <c r="BI4" s="13">
        <v>-9.9003271360800227E-2</v>
      </c>
      <c r="BJ4" s="13">
        <v>-0.14670768531275341</v>
      </c>
      <c r="BK4" s="13">
        <v>-4.9944347042302439E-2</v>
      </c>
      <c r="BL4" s="13">
        <v>-2.2928882525524941E-2</v>
      </c>
      <c r="BM4" s="13">
        <v>-4.5938779058463552E-2</v>
      </c>
      <c r="BN4" s="13">
        <v>-7.3256914922144034E-3</v>
      </c>
      <c r="BO4" s="13">
        <v>8.7168037873448512E-2</v>
      </c>
      <c r="BP4" s="13">
        <v>1.6127596174072781E-2</v>
      </c>
      <c r="BQ4" s="13">
        <v>-6.7799319304640449E-2</v>
      </c>
      <c r="BR4" s="13">
        <v>-9.3122366228293174E-3</v>
      </c>
      <c r="BS4" s="13">
        <v>-6.5299244722263339E-2</v>
      </c>
      <c r="BT4" s="13">
        <v>-4.2502825413810903E-2</v>
      </c>
      <c r="BU4" s="13">
        <v>9.3104858610283614E-2</v>
      </c>
      <c r="BV4" s="13">
        <v>9.3350611010009743E-2</v>
      </c>
      <c r="BW4" s="13">
        <v>-1.348973955166066E-2</v>
      </c>
      <c r="BX4" s="13">
        <v>-7.2291287752442202E-2</v>
      </c>
      <c r="BY4" s="13">
        <v>-0.1549745966812619</v>
      </c>
      <c r="BZ4" s="13">
        <v>0.17456977446855679</v>
      </c>
      <c r="CA4" s="13">
        <v>3.7233528920198822E-2</v>
      </c>
      <c r="CB4" s="13">
        <v>5.5557309971007378E-2</v>
      </c>
      <c r="CC4" s="13">
        <v>-0.17750462011175289</v>
      </c>
      <c r="CD4" s="13">
        <v>-0.1189267299677006</v>
      </c>
      <c r="CE4" s="13">
        <v>-1.354023404963556E-2</v>
      </c>
      <c r="CF4" s="13">
        <v>-0.12741231664868199</v>
      </c>
      <c r="CG4" s="13">
        <v>7.3406859508121869E-2</v>
      </c>
      <c r="CH4" s="13">
        <v>7.2685158287379537E-2</v>
      </c>
      <c r="CI4" s="13">
        <v>-5.4480084800218258E-2</v>
      </c>
      <c r="CJ4" s="13">
        <v>3.8731428402540402E-2</v>
      </c>
      <c r="CK4" s="13">
        <v>1.4180109180314201E-2</v>
      </c>
      <c r="CL4" s="13">
        <v>-0.1089911061285367</v>
      </c>
      <c r="CM4" s="13">
        <v>-0.1233186062772607</v>
      </c>
      <c r="CN4" s="13">
        <v>0.25398200550881528</v>
      </c>
      <c r="CO4" s="13">
        <v>1.6527103051004129E-2</v>
      </c>
      <c r="CP4" s="13">
        <v>1.5216844239471781E-3</v>
      </c>
      <c r="CQ4" s="13">
        <v>-6.7959331453504745E-2</v>
      </c>
      <c r="CR4" s="13">
        <v>-0.2349573288111291</v>
      </c>
      <c r="CS4" s="13">
        <v>-0.20790819007173231</v>
      </c>
      <c r="CT4" s="13">
        <v>-1.428661144924348E-4</v>
      </c>
      <c r="CU4" s="13">
        <v>2.2028281849749479E-2</v>
      </c>
      <c r="CV4" s="13">
        <v>6.8023844934248956E-2</v>
      </c>
      <c r="CW4" s="13">
        <v>-8.8837317713291952E-2</v>
      </c>
      <c r="CX4" s="13">
        <v>5.261585949558345E-2</v>
      </c>
      <c r="CY4" s="13">
        <v>-0.14906969604344769</v>
      </c>
      <c r="CZ4" s="13">
        <v>-0.11103945205987389</v>
      </c>
      <c r="DA4" s="13">
        <v>-0.14434138369070479</v>
      </c>
      <c r="DB4" s="13">
        <v>2.7151747986042811E-3</v>
      </c>
      <c r="DC4" s="13">
        <v>-9.785482280361002E-2</v>
      </c>
      <c r="DD4" s="13">
        <v>0.10722226194647889</v>
      </c>
      <c r="DE4" s="13">
        <v>4.7121438754965439E-2</v>
      </c>
      <c r="DF4" s="13">
        <v>-1.9291062828386881E-2</v>
      </c>
      <c r="DG4" s="13">
        <v>1.7896408714275221E-3</v>
      </c>
      <c r="DH4" s="13">
        <v>0.17350442691012449</v>
      </c>
      <c r="DI4" s="13">
        <v>-3.4040341553568609E-2</v>
      </c>
      <c r="DJ4" s="13">
        <v>-9.993613472354923E-2</v>
      </c>
      <c r="DK4" s="13">
        <v>-0.1324523127849897</v>
      </c>
      <c r="DL4" s="13">
        <v>9.327990828282573E-2</v>
      </c>
      <c r="DM4" s="13">
        <v>0.1781012365160777</v>
      </c>
      <c r="DN4" s="13">
        <v>0.1328839469177652</v>
      </c>
      <c r="DO4" s="13">
        <v>-0.12491951193503149</v>
      </c>
      <c r="DP4" s="13">
        <v>-9.4650070989063195E-2</v>
      </c>
      <c r="DQ4" s="13">
        <v>-0.14995782586822409</v>
      </c>
      <c r="DR4" s="13">
        <v>4.4038724417266202E-2</v>
      </c>
      <c r="DS4" s="13">
        <v>4.5916039994949642E-2</v>
      </c>
      <c r="DT4" s="13">
        <v>-0.1600946018805747</v>
      </c>
      <c r="DU4" s="13">
        <v>1.4044107423149651E-2</v>
      </c>
      <c r="DV4" s="13">
        <v>3.474390636907998E-2</v>
      </c>
      <c r="DW4" s="13">
        <v>1.257520949773294E-2</v>
      </c>
      <c r="DX4" s="13">
        <v>-0.1453929875597364</v>
      </c>
      <c r="DY4" s="13">
        <v>6.2173227234248778E-2</v>
      </c>
      <c r="DZ4" s="13">
        <v>-5.2117914994026293E-2</v>
      </c>
      <c r="EA4" s="13">
        <v>-0.25996993215089498</v>
      </c>
      <c r="EB4" s="13">
        <v>-0.1120594852816517</v>
      </c>
      <c r="EC4" s="13">
        <v>-7.1121647901357221E-2</v>
      </c>
      <c r="ED4" s="13">
        <v>3.3989099845969761E-2</v>
      </c>
      <c r="EE4" s="13">
        <v>0.2120879988342281</v>
      </c>
      <c r="EF4" s="13">
        <v>0.17540569835811759</v>
      </c>
      <c r="EG4" s="13">
        <v>-0.1265662473774363</v>
      </c>
      <c r="EH4" s="13">
        <v>-0.14481844562859611</v>
      </c>
      <c r="EI4" s="13">
        <v>-0.15568399081828771</v>
      </c>
      <c r="EJ4" s="13">
        <v>0.20106066923392871</v>
      </c>
      <c r="EK4" s="13">
        <v>0.24000764460967791</v>
      </c>
      <c r="EL4" s="13">
        <v>0.19398234319787019</v>
      </c>
    </row>
    <row r="5" spans="1:142" ht="25" customHeight="1" x14ac:dyDescent="0.55000000000000004">
      <c r="B5" s="14" t="s">
        <v>145</v>
      </c>
      <c r="C5" s="13">
        <v>-0.35602255303624453</v>
      </c>
      <c r="D5" s="13">
        <v>-4.0090857958738978E-2</v>
      </c>
      <c r="E5" s="13">
        <v>0.52768591000883824</v>
      </c>
      <c r="F5" s="13">
        <v>9.1621703543451838E-2</v>
      </c>
      <c r="G5" s="13">
        <v>-0.33444541912551767</v>
      </c>
      <c r="H5" s="13">
        <v>0.35557807934338981</v>
      </c>
      <c r="I5" s="13">
        <v>0.1153369311545601</v>
      </c>
      <c r="J5" s="13">
        <v>-9.1390222966754614E-2</v>
      </c>
      <c r="K5" s="13">
        <v>0.37641590593379309</v>
      </c>
      <c r="L5" s="13">
        <v>-0.39095115876105019</v>
      </c>
      <c r="M5" s="13">
        <v>0.16570120474983141</v>
      </c>
      <c r="N5" s="13">
        <v>-0.26143467111761082</v>
      </c>
      <c r="O5" s="13">
        <v>-6.1069485866542261E-2</v>
      </c>
      <c r="P5" s="13">
        <v>0.26091415721504319</v>
      </c>
      <c r="Q5" s="13">
        <v>4.0937433053001369E-2</v>
      </c>
      <c r="R5" s="13">
        <v>-0.13738348482797161</v>
      </c>
      <c r="S5" s="13">
        <v>0.32196519062115619</v>
      </c>
      <c r="T5" s="13">
        <v>0.1577185559806982</v>
      </c>
      <c r="U5" s="13">
        <v>-3.1493048898479467E-2</v>
      </c>
      <c r="V5" s="13">
        <v>0.20272926171313391</v>
      </c>
      <c r="W5" s="13">
        <v>-0.37900040700733478</v>
      </c>
      <c r="X5" s="13">
        <v>-0.1240504049428721</v>
      </c>
      <c r="Y5" s="13">
        <v>-0.6091363947557743</v>
      </c>
      <c r="Z5" s="13">
        <v>-8.7419029003689655E-2</v>
      </c>
      <c r="AA5" s="13">
        <v>2.4492818663441569E-2</v>
      </c>
      <c r="AB5" s="13">
        <v>7.8777301474168532E-2</v>
      </c>
      <c r="AC5" s="13">
        <v>-0.1144491391906407</v>
      </c>
      <c r="AD5" s="13">
        <v>0.24384130060927259</v>
      </c>
      <c r="AE5" s="13">
        <v>8.2451056568350709E-2</v>
      </c>
      <c r="AF5" s="13">
        <v>0.18824065512069871</v>
      </c>
      <c r="AG5" s="13">
        <v>9.4710949320840843E-2</v>
      </c>
      <c r="AH5" s="13">
        <v>-0.3051658563382863</v>
      </c>
      <c r="AI5" s="13">
        <v>0.15762471600367869</v>
      </c>
      <c r="AJ5" s="13">
        <v>-0.68021373773600025</v>
      </c>
      <c r="AK5" s="13">
        <v>2.3239308843977121E-2</v>
      </c>
      <c r="AL5" s="13">
        <v>-8.7587780261718207E-2</v>
      </c>
      <c r="AM5" s="13">
        <v>0.1083584048978386</v>
      </c>
      <c r="AN5" s="13">
        <v>0.1116944474577185</v>
      </c>
      <c r="AO5" s="13">
        <v>0.25326788161785452</v>
      </c>
      <c r="AP5" s="13">
        <v>0.20792985272972619</v>
      </c>
      <c r="AQ5" s="13">
        <v>0.26625784896468052</v>
      </c>
      <c r="AR5" s="13">
        <v>9.3532219454879356E-2</v>
      </c>
      <c r="AS5" s="13">
        <v>-0.1422532223975255</v>
      </c>
      <c r="AT5" s="13">
        <v>0.16459019868234889</v>
      </c>
      <c r="AU5" s="13">
        <v>-0.29628044254228481</v>
      </c>
      <c r="AV5" s="13">
        <v>-7.967283675179572E-2</v>
      </c>
      <c r="AW5" s="13">
        <v>-2.106163766695986E-2</v>
      </c>
      <c r="AX5" s="13">
        <v>-0.16039194510643379</v>
      </c>
      <c r="AY5" s="13">
        <v>2.907561231396269E-2</v>
      </c>
      <c r="AZ5" s="13">
        <v>0.23443646192314299</v>
      </c>
      <c r="BA5" s="13">
        <v>-1.954356893773998E-2</v>
      </c>
      <c r="BB5" s="13">
        <v>5.5326597607753797E-2</v>
      </c>
      <c r="BC5" s="13">
        <v>-5.9611055683955687E-2</v>
      </c>
      <c r="BD5" s="13">
        <v>-9.5611407368703827E-2</v>
      </c>
      <c r="BE5" s="13">
        <v>0.17767650991380921</v>
      </c>
      <c r="BF5" s="13">
        <v>-0.30632321099993309</v>
      </c>
      <c r="BG5" s="13">
        <v>-0.27950975427210151</v>
      </c>
      <c r="BH5" s="13">
        <v>-6.5627292150386804E-2</v>
      </c>
      <c r="BI5" s="13">
        <v>6.7576225048905147E-2</v>
      </c>
      <c r="BJ5" s="13">
        <v>-0.377766382042375</v>
      </c>
      <c r="BK5" s="13">
        <v>0.1710576050513124</v>
      </c>
      <c r="BL5" s="13">
        <v>-0.15901657189760751</v>
      </c>
      <c r="BM5" s="13">
        <v>0.29566311964252062</v>
      </c>
      <c r="BN5" s="13">
        <v>-9.1185424305069637E-3</v>
      </c>
      <c r="BO5" s="13">
        <v>-0.18708382872534479</v>
      </c>
      <c r="BP5" s="13">
        <v>-4.4541684300456783E-2</v>
      </c>
      <c r="BQ5" s="13">
        <v>-0.2644041519976843</v>
      </c>
      <c r="BR5" s="13">
        <v>-0.17935638398747261</v>
      </c>
      <c r="BS5" s="13">
        <v>9.3255604107027268E-2</v>
      </c>
      <c r="BT5" s="13">
        <v>0.25391019577751839</v>
      </c>
      <c r="BU5" s="13">
        <v>-0.2208865037169013</v>
      </c>
      <c r="BV5" s="13">
        <v>0.1113375442569535</v>
      </c>
      <c r="BW5" s="13">
        <v>-2.6110149941585441E-2</v>
      </c>
      <c r="BX5" s="13">
        <v>7.8321917624137663E-2</v>
      </c>
      <c r="BY5" s="13">
        <v>3.6568448160119997E-2</v>
      </c>
      <c r="BZ5" s="13">
        <v>-0.1016560299453321</v>
      </c>
      <c r="CA5" s="13">
        <v>3.7823772175184511E-2</v>
      </c>
      <c r="CB5" s="13">
        <v>-1.2533175044593611E-2</v>
      </c>
      <c r="CC5" s="13">
        <v>-0.28837910471559852</v>
      </c>
      <c r="CD5" s="13">
        <v>0.34067466598778878</v>
      </c>
      <c r="CE5" s="13">
        <v>-6.0100560923931345E-4</v>
      </c>
      <c r="CF5" s="13">
        <v>-0.1296863733007578</v>
      </c>
      <c r="CG5" s="13">
        <v>0.15976746637967629</v>
      </c>
      <c r="CH5" s="13">
        <v>-0.23825235796998209</v>
      </c>
      <c r="CI5" s="13">
        <v>-2.8759770853779679E-2</v>
      </c>
      <c r="CJ5" s="13">
        <v>-0.19238587368076349</v>
      </c>
      <c r="CK5" s="13">
        <v>9.3012092996989273E-2</v>
      </c>
      <c r="CL5" s="13">
        <v>1.8732272151867381E-2</v>
      </c>
      <c r="CM5" s="13">
        <v>-1.440590191637958E-2</v>
      </c>
      <c r="CN5" s="13">
        <v>-0.24513143201832141</v>
      </c>
      <c r="CO5" s="13">
        <v>0.62382678445663653</v>
      </c>
      <c r="CP5" s="13">
        <v>9.8069367239007818E-2</v>
      </c>
      <c r="CQ5" s="13">
        <v>-0.34398023521672633</v>
      </c>
      <c r="CR5" s="13">
        <v>0.23965589513689431</v>
      </c>
      <c r="CS5" s="13">
        <v>-0.1630146077158017</v>
      </c>
      <c r="CT5" s="13">
        <v>0.20917057102557721</v>
      </c>
      <c r="CU5" s="13">
        <v>-0.13994756491628749</v>
      </c>
      <c r="CV5" s="13">
        <v>-0.14628801332363431</v>
      </c>
      <c r="CW5" s="13">
        <v>0.31017320529162662</v>
      </c>
      <c r="CX5" s="13">
        <v>0.25353915592821968</v>
      </c>
      <c r="CY5" s="13">
        <v>-0.79527742145542657</v>
      </c>
      <c r="CZ5" s="13">
        <v>0.80355177224477214</v>
      </c>
      <c r="DA5" s="13">
        <v>-7.1187531558581735E-2</v>
      </c>
      <c r="DB5" s="13">
        <v>0.14203914410752261</v>
      </c>
      <c r="DC5" s="13">
        <v>0.17684959747890239</v>
      </c>
      <c r="DD5" s="13">
        <v>-0.2347694823541964</v>
      </c>
      <c r="DE5" s="13">
        <v>-7.8915349004452157E-2</v>
      </c>
      <c r="DF5" s="13">
        <v>-0.10893182959170521</v>
      </c>
      <c r="DG5" s="13">
        <v>-0.50647317879216458</v>
      </c>
      <c r="DH5" s="13">
        <v>0.17758880086016901</v>
      </c>
      <c r="DI5" s="13">
        <v>0.24345215756039101</v>
      </c>
      <c r="DJ5" s="13">
        <v>-0.63199691128278157</v>
      </c>
      <c r="DK5" s="13">
        <v>0.76553812905546981</v>
      </c>
      <c r="DL5" s="13">
        <v>0.1134987555126632</v>
      </c>
      <c r="DM5" s="13">
        <v>-0.45407241147436012</v>
      </c>
      <c r="DN5" s="13">
        <v>0.5381646260587134</v>
      </c>
      <c r="DO5" s="13">
        <v>-0.26009015152361792</v>
      </c>
      <c r="DP5" s="13">
        <v>-6.8906334924896576E-2</v>
      </c>
      <c r="DQ5" s="13">
        <v>-0.20285821236619811</v>
      </c>
      <c r="DR5" s="13">
        <v>2.45178389892888E-2</v>
      </c>
      <c r="DS5" s="13">
        <v>-0.16671516537849729</v>
      </c>
      <c r="DT5" s="13">
        <v>0.33878844679546338</v>
      </c>
      <c r="DU5" s="13">
        <v>-0.59979946723464084</v>
      </c>
      <c r="DV5" s="13">
        <v>0.83514380187623793</v>
      </c>
      <c r="DW5" s="13">
        <v>-9.255748547327998E-2</v>
      </c>
      <c r="DX5" s="13">
        <v>-0.13301905739887071</v>
      </c>
      <c r="DY5" s="13">
        <v>0.4235750632459292</v>
      </c>
      <c r="DZ5" s="13">
        <v>0.30902986430062002</v>
      </c>
      <c r="EA5" s="13">
        <v>0.18643694757575269</v>
      </c>
      <c r="EB5" s="13">
        <v>-0.89458161361561928</v>
      </c>
      <c r="EC5" s="13">
        <v>4.6089797399945322E-2</v>
      </c>
      <c r="ED5" s="13">
        <v>-0.19737598163049891</v>
      </c>
      <c r="EE5" s="13">
        <v>0.32955546848400757</v>
      </c>
      <c r="EF5" s="13">
        <v>-0.1298161213028215</v>
      </c>
      <c r="EG5" s="13">
        <v>0.41590935608064328</v>
      </c>
      <c r="EH5" s="13">
        <v>-0.1780246200952896</v>
      </c>
      <c r="EI5" s="13">
        <v>-0.30056728540568339</v>
      </c>
      <c r="EJ5" s="13">
        <v>0.3783868000433685</v>
      </c>
      <c r="EK5" s="13">
        <v>-0.30609793068418661</v>
      </c>
      <c r="EL5" s="13">
        <v>0.1794159444225098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319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320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0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0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0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0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0</v>
      </c>
      <c r="AG13" s="12">
        <f t="shared" si="0"/>
        <v>1</v>
      </c>
      <c r="AH13" s="12">
        <f t="shared" si="0"/>
        <v>0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0</v>
      </c>
      <c r="AU13" s="12">
        <f t="shared" si="1"/>
        <v>1</v>
      </c>
      <c r="AV13" s="12">
        <f t="shared" si="1"/>
        <v>0</v>
      </c>
      <c r="AW13" s="12">
        <f t="shared" si="1"/>
        <v>0</v>
      </c>
      <c r="AX13" s="12">
        <f t="shared" si="1"/>
        <v>1</v>
      </c>
      <c r="AY13" s="12">
        <f t="shared" si="1"/>
        <v>0</v>
      </c>
      <c r="AZ13" s="12">
        <f t="shared" si="1"/>
        <v>0</v>
      </c>
      <c r="BA13" s="12">
        <f t="shared" si="1"/>
        <v>1</v>
      </c>
      <c r="BB13" s="12">
        <f t="shared" si="1"/>
        <v>0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0</v>
      </c>
      <c r="BP13" s="12">
        <f t="shared" si="2"/>
        <v>0</v>
      </c>
      <c r="BQ13" s="12">
        <f t="shared" si="2"/>
        <v>0</v>
      </c>
      <c r="BR13" s="12">
        <f t="shared" si="2"/>
        <v>0</v>
      </c>
      <c r="BS13" s="12">
        <f t="shared" si="2"/>
        <v>0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0</v>
      </c>
      <c r="BY13" s="12">
        <f t="shared" si="2"/>
        <v>0</v>
      </c>
      <c r="BZ13" s="12">
        <f t="shared" si="2"/>
        <v>0</v>
      </c>
      <c r="CA13" s="12">
        <f t="shared" si="2"/>
        <v>0</v>
      </c>
      <c r="CB13" s="12">
        <f t="shared" si="2"/>
        <v>0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0</v>
      </c>
      <c r="CG13" s="12">
        <f t="shared" si="2"/>
        <v>1</v>
      </c>
      <c r="CH13" s="12">
        <f t="shared" si="2"/>
        <v>0</v>
      </c>
      <c r="CI13" s="12">
        <f t="shared" si="2"/>
        <v>0</v>
      </c>
      <c r="CJ13" s="12">
        <f t="shared" si="2"/>
        <v>0</v>
      </c>
      <c r="CK13" s="12">
        <f t="shared" si="2"/>
        <v>0</v>
      </c>
      <c r="CL13" s="12">
        <f t="shared" si="2"/>
        <v>0</v>
      </c>
      <c r="CM13" s="12">
        <f t="shared" si="2"/>
        <v>0</v>
      </c>
      <c r="CN13" s="12">
        <f t="shared" si="2"/>
        <v>0</v>
      </c>
      <c r="CO13" s="12">
        <f t="shared" si="2"/>
        <v>0</v>
      </c>
      <c r="CP13" s="12">
        <f t="shared" si="2"/>
        <v>0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0</v>
      </c>
      <c r="CU13" s="12">
        <f t="shared" ref="CU13:DZ13" si="3">IF(AND(CU3&gt;0,CU9&gt;0),1,0)</f>
        <v>0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0</v>
      </c>
      <c r="DD13" s="12">
        <f t="shared" si="3"/>
        <v>0</v>
      </c>
      <c r="DE13" s="12">
        <f t="shared" si="3"/>
        <v>0</v>
      </c>
      <c r="DF13" s="12">
        <f t="shared" si="3"/>
        <v>0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0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0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0</v>
      </c>
      <c r="DS13" s="12">
        <f t="shared" si="3"/>
        <v>0</v>
      </c>
      <c r="DT13" s="12">
        <f t="shared" si="3"/>
        <v>0</v>
      </c>
      <c r="DU13" s="12">
        <f t="shared" si="3"/>
        <v>0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0</v>
      </c>
      <c r="DZ13" s="12">
        <f t="shared" si="3"/>
        <v>0</v>
      </c>
      <c r="EA13" s="12">
        <f t="shared" ref="EA13:EL13" si="4">IF(AND(EA3&gt;0,EA9&gt;0),1,0)</f>
        <v>0</v>
      </c>
      <c r="EB13" s="12">
        <f t="shared" si="4"/>
        <v>1</v>
      </c>
      <c r="EC13" s="12">
        <f t="shared" si="4"/>
        <v>0</v>
      </c>
      <c r="ED13" s="12">
        <f t="shared" si="4"/>
        <v>0</v>
      </c>
      <c r="EE13" s="12">
        <f t="shared" si="4"/>
        <v>0</v>
      </c>
      <c r="EF13" s="12">
        <f t="shared" si="4"/>
        <v>0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0</v>
      </c>
      <c r="EL13" s="12">
        <f t="shared" si="4"/>
        <v>0</v>
      </c>
    </row>
    <row r="14" spans="1:142" ht="25" customHeight="1" x14ac:dyDescent="0.55000000000000004">
      <c r="A14" s="12" t="s">
        <v>321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1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1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1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1</v>
      </c>
      <c r="AQ14" s="12">
        <f t="shared" si="6"/>
        <v>0</v>
      </c>
      <c r="AR14" s="12">
        <f t="shared" si="6"/>
        <v>1</v>
      </c>
      <c r="AS14" s="12">
        <f t="shared" si="6"/>
        <v>0</v>
      </c>
      <c r="AT14" s="12">
        <f t="shared" si="6"/>
        <v>1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1</v>
      </c>
      <c r="BF14" s="12">
        <f t="shared" si="6"/>
        <v>1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1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1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1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1</v>
      </c>
      <c r="DE14" s="12">
        <f t="shared" si="8"/>
        <v>1</v>
      </c>
      <c r="DF14" s="12">
        <f t="shared" si="8"/>
        <v>0</v>
      </c>
      <c r="DG14" s="12">
        <f t="shared" si="8"/>
        <v>1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1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1</v>
      </c>
      <c r="DV14" s="12">
        <f t="shared" si="8"/>
        <v>1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1</v>
      </c>
      <c r="EE14" s="12">
        <f t="shared" si="9"/>
        <v>1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1</v>
      </c>
      <c r="EK14" s="12">
        <f t="shared" si="9"/>
        <v>1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0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0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0</v>
      </c>
      <c r="AT15" s="12">
        <f t="shared" si="11"/>
        <v>1</v>
      </c>
      <c r="AU15" s="12">
        <f t="shared" si="11"/>
        <v>0</v>
      </c>
      <c r="AV15" s="12">
        <f t="shared" si="11"/>
        <v>0</v>
      </c>
      <c r="AW15" s="12">
        <f t="shared" si="11"/>
        <v>0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0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1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0</v>
      </c>
      <c r="BQ15" s="12">
        <f t="shared" si="12"/>
        <v>0</v>
      </c>
      <c r="BR15" s="12">
        <f t="shared" si="12"/>
        <v>0</v>
      </c>
      <c r="BS15" s="12">
        <f t="shared" si="12"/>
        <v>0</v>
      </c>
      <c r="BT15" s="12">
        <f t="shared" si="12"/>
        <v>1</v>
      </c>
      <c r="BU15" s="12">
        <f t="shared" si="12"/>
        <v>0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0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1</v>
      </c>
      <c r="CL15" s="12">
        <f t="shared" si="12"/>
        <v>1</v>
      </c>
      <c r="CM15" s="12">
        <f t="shared" si="12"/>
        <v>0</v>
      </c>
      <c r="CN15" s="12">
        <f t="shared" si="12"/>
        <v>0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1</v>
      </c>
      <c r="CX15" s="12">
        <f t="shared" si="13"/>
        <v>0</v>
      </c>
      <c r="CY15" s="12">
        <f t="shared" si="13"/>
        <v>0</v>
      </c>
      <c r="CZ15" s="12">
        <f t="shared" si="13"/>
        <v>0</v>
      </c>
      <c r="DA15" s="12">
        <f t="shared" si="13"/>
        <v>0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1</v>
      </c>
      <c r="DI15" s="12">
        <f t="shared" si="13"/>
        <v>1</v>
      </c>
      <c r="DJ15" s="12">
        <f t="shared" si="13"/>
        <v>0</v>
      </c>
      <c r="DK15" s="12">
        <f t="shared" si="13"/>
        <v>1</v>
      </c>
      <c r="DL15" s="12">
        <f t="shared" si="13"/>
        <v>1</v>
      </c>
      <c r="DM15" s="12">
        <f t="shared" si="13"/>
        <v>0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1</v>
      </c>
      <c r="DS15" s="12">
        <f t="shared" si="13"/>
        <v>0</v>
      </c>
      <c r="DT15" s="12">
        <f t="shared" si="13"/>
        <v>1</v>
      </c>
      <c r="DU15" s="12">
        <f t="shared" si="13"/>
        <v>0</v>
      </c>
      <c r="DV15" s="12">
        <f t="shared" si="13"/>
        <v>0</v>
      </c>
      <c r="DW15" s="12">
        <f t="shared" si="13"/>
        <v>0</v>
      </c>
      <c r="DX15" s="12">
        <f t="shared" si="13"/>
        <v>0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6" t="s">
        <v>320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109</v>
      </c>
    </row>
    <row r="17" spans="1:142" ht="25" customHeight="1" x14ac:dyDescent="0.55000000000000004">
      <c r="A17" s="12" t="s">
        <v>322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0</v>
      </c>
      <c r="R17" s="12">
        <f t="shared" si="15"/>
        <v>0</v>
      </c>
      <c r="S17" s="12">
        <f t="shared" si="15"/>
        <v>1</v>
      </c>
      <c r="T17" s="12">
        <f t="shared" si="15"/>
        <v>0</v>
      </c>
      <c r="U17" s="12">
        <f t="shared" si="15"/>
        <v>0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0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0</v>
      </c>
      <c r="CB17" s="12">
        <f t="shared" si="17"/>
        <v>0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0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0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0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0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0</v>
      </c>
      <c r="DH17" s="12">
        <f t="shared" si="18"/>
        <v>0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0</v>
      </c>
      <c r="DM17" s="12">
        <f t="shared" si="18"/>
        <v>0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0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0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323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0</v>
      </c>
      <c r="I18" s="12">
        <f t="shared" si="20"/>
        <v>1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0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0</v>
      </c>
      <c r="Y18" s="12">
        <f t="shared" si="20"/>
        <v>0</v>
      </c>
      <c r="Z18" s="12">
        <f t="shared" si="20"/>
        <v>1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1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1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1</v>
      </c>
      <c r="AX18" s="12">
        <f t="shared" si="21"/>
        <v>1</v>
      </c>
      <c r="AY18" s="12">
        <f t="shared" si="21"/>
        <v>0</v>
      </c>
      <c r="AZ18" s="12">
        <f t="shared" si="21"/>
        <v>1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1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1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1</v>
      </c>
      <c r="BW18" s="12">
        <f t="shared" si="22"/>
        <v>0</v>
      </c>
      <c r="BX18" s="12">
        <f t="shared" si="22"/>
        <v>0</v>
      </c>
      <c r="BY18" s="12">
        <f t="shared" si="22"/>
        <v>0</v>
      </c>
      <c r="BZ18" s="12">
        <f t="shared" si="22"/>
        <v>1</v>
      </c>
      <c r="CA18" s="12">
        <f t="shared" si="22"/>
        <v>1</v>
      </c>
      <c r="CB18" s="12">
        <f t="shared" si="22"/>
        <v>1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1</v>
      </c>
      <c r="CI18" s="12">
        <f t="shared" si="22"/>
        <v>0</v>
      </c>
      <c r="CJ18" s="12">
        <f t="shared" si="22"/>
        <v>1</v>
      </c>
      <c r="CK18" s="12">
        <f t="shared" si="22"/>
        <v>1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1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1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1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1</v>
      </c>
      <c r="DM18" s="12">
        <f t="shared" si="23"/>
        <v>0</v>
      </c>
      <c r="DN18" s="12">
        <f t="shared" si="23"/>
        <v>1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1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1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1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0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0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0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0</v>
      </c>
      <c r="X19" s="12">
        <f t="shared" si="25"/>
        <v>0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1</v>
      </c>
      <c r="AC19" s="12">
        <f t="shared" si="25"/>
        <v>0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0</v>
      </c>
      <c r="AK19" s="12">
        <f t="shared" si="26"/>
        <v>1</v>
      </c>
      <c r="AL19" s="12">
        <f t="shared" si="26"/>
        <v>0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0</v>
      </c>
      <c r="AY19" s="12">
        <f t="shared" si="26"/>
        <v>0</v>
      </c>
      <c r="AZ19" s="12">
        <f t="shared" si="26"/>
        <v>1</v>
      </c>
      <c r="BA19" s="12">
        <f t="shared" si="26"/>
        <v>0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0</v>
      </c>
      <c r="BG19" s="12">
        <f t="shared" si="26"/>
        <v>0</v>
      </c>
      <c r="BH19" s="12">
        <f t="shared" si="26"/>
        <v>0</v>
      </c>
      <c r="BI19" s="12">
        <f t="shared" si="26"/>
        <v>1</v>
      </c>
      <c r="BJ19" s="12">
        <f t="shared" si="26"/>
        <v>0</v>
      </c>
      <c r="BK19" s="12">
        <f t="shared" si="26"/>
        <v>1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0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0</v>
      </c>
      <c r="CF19" s="12">
        <f t="shared" si="27"/>
        <v>0</v>
      </c>
      <c r="CG19" s="12">
        <f t="shared" si="27"/>
        <v>1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0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0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0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0</v>
      </c>
      <c r="DE19" s="12">
        <f t="shared" si="28"/>
        <v>0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0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0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0</v>
      </c>
      <c r="EC19" s="12">
        <f t="shared" si="29"/>
        <v>1</v>
      </c>
      <c r="ED19" s="12">
        <f t="shared" si="29"/>
        <v>0</v>
      </c>
      <c r="EE19" s="12">
        <f t="shared" si="29"/>
        <v>1</v>
      </c>
      <c r="EF19" s="12">
        <f t="shared" si="29"/>
        <v>0</v>
      </c>
      <c r="EG19" s="12">
        <f t="shared" si="29"/>
        <v>1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6" t="s">
        <v>322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98</v>
      </c>
    </row>
    <row r="21" spans="1:142" ht="25" customHeight="1" x14ac:dyDescent="0.55000000000000004">
      <c r="A21" s="12" t="s">
        <v>324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1</v>
      </c>
      <c r="I21" s="12">
        <f t="shared" si="30"/>
        <v>1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1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1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1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1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1</v>
      </c>
      <c r="AG21" s="12">
        <f t="shared" si="30"/>
        <v>0</v>
      </c>
      <c r="AH21" s="12">
        <f t="shared" si="30"/>
        <v>1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1</v>
      </c>
      <c r="AU21" s="12">
        <f t="shared" si="31"/>
        <v>0</v>
      </c>
      <c r="AV21" s="12">
        <f t="shared" si="31"/>
        <v>0</v>
      </c>
      <c r="AW21" s="12">
        <f t="shared" si="31"/>
        <v>1</v>
      </c>
      <c r="AX21" s="12">
        <f t="shared" si="31"/>
        <v>0</v>
      </c>
      <c r="AY21" s="12">
        <f t="shared" si="31"/>
        <v>1</v>
      </c>
      <c r="AZ21" s="12">
        <f t="shared" si="31"/>
        <v>1</v>
      </c>
      <c r="BA21" s="12">
        <f t="shared" si="31"/>
        <v>0</v>
      </c>
      <c r="BB21" s="12">
        <f t="shared" si="31"/>
        <v>1</v>
      </c>
      <c r="BC21" s="12">
        <f t="shared" si="31"/>
        <v>0</v>
      </c>
      <c r="BD21" s="12">
        <f t="shared" si="31"/>
        <v>0</v>
      </c>
      <c r="BE21" s="12">
        <f t="shared" si="31"/>
        <v>1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1</v>
      </c>
      <c r="BP21" s="12">
        <f t="shared" si="32"/>
        <v>0</v>
      </c>
      <c r="BQ21" s="12">
        <f t="shared" si="32"/>
        <v>1</v>
      </c>
      <c r="BR21" s="12">
        <f t="shared" si="32"/>
        <v>0</v>
      </c>
      <c r="BS21" s="12">
        <f t="shared" si="32"/>
        <v>1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1</v>
      </c>
      <c r="BY21" s="12">
        <f t="shared" si="32"/>
        <v>0</v>
      </c>
      <c r="BZ21" s="12">
        <f t="shared" si="32"/>
        <v>1</v>
      </c>
      <c r="CA21" s="12">
        <f t="shared" si="32"/>
        <v>0</v>
      </c>
      <c r="CB21" s="12">
        <f t="shared" si="32"/>
        <v>1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1</v>
      </c>
      <c r="CG21" s="12">
        <f t="shared" si="32"/>
        <v>0</v>
      </c>
      <c r="CH21" s="12">
        <f t="shared" si="32"/>
        <v>1</v>
      </c>
      <c r="CI21" s="12">
        <f t="shared" si="32"/>
        <v>0</v>
      </c>
      <c r="CJ21" s="12">
        <f t="shared" si="32"/>
        <v>0</v>
      </c>
      <c r="CK21" s="12">
        <f t="shared" si="32"/>
        <v>1</v>
      </c>
      <c r="CL21" s="12">
        <f t="shared" si="32"/>
        <v>1</v>
      </c>
      <c r="CM21" s="12">
        <f t="shared" si="32"/>
        <v>0</v>
      </c>
      <c r="CN21" s="12">
        <f t="shared" si="32"/>
        <v>0</v>
      </c>
      <c r="CO21" s="12">
        <f t="shared" si="32"/>
        <v>1</v>
      </c>
      <c r="CP21" s="12">
        <f t="shared" si="32"/>
        <v>1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1</v>
      </c>
      <c r="CU21" s="12">
        <f t="shared" ref="CU21:DZ21" si="33">IF(AND(CU3&lt;0,CU9&gt;0),1,0)</f>
        <v>1</v>
      </c>
      <c r="CV21" s="12">
        <f t="shared" si="33"/>
        <v>0</v>
      </c>
      <c r="CW21" s="12">
        <f t="shared" si="33"/>
        <v>0</v>
      </c>
      <c r="CX21" s="12">
        <f t="shared" si="33"/>
        <v>1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1</v>
      </c>
      <c r="DD21" s="12">
        <f t="shared" si="33"/>
        <v>1</v>
      </c>
      <c r="DE21" s="12">
        <f t="shared" si="33"/>
        <v>0</v>
      </c>
      <c r="DF21" s="12">
        <f t="shared" si="33"/>
        <v>1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1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1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1</v>
      </c>
      <c r="DS21" s="12">
        <f t="shared" si="33"/>
        <v>0</v>
      </c>
      <c r="DT21" s="12">
        <f t="shared" si="33"/>
        <v>0</v>
      </c>
      <c r="DU21" s="12">
        <f t="shared" si="33"/>
        <v>1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1</v>
      </c>
      <c r="DZ21" s="12">
        <f t="shared" si="33"/>
        <v>0</v>
      </c>
      <c r="EA21" s="12">
        <f t="shared" ref="EA21:EL21" si="34">IF(AND(EA3&lt;0,EA9&gt;0),1,0)</f>
        <v>1</v>
      </c>
      <c r="EB21" s="12">
        <f t="shared" si="34"/>
        <v>0</v>
      </c>
      <c r="EC21" s="12">
        <f t="shared" si="34"/>
        <v>1</v>
      </c>
      <c r="ED21" s="12">
        <f t="shared" si="34"/>
        <v>0</v>
      </c>
      <c r="EE21" s="12">
        <f t="shared" si="34"/>
        <v>1</v>
      </c>
      <c r="EF21" s="12">
        <f t="shared" si="34"/>
        <v>1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1</v>
      </c>
      <c r="EL21" s="12">
        <f t="shared" si="34"/>
        <v>0</v>
      </c>
    </row>
    <row r="22" spans="1:142" ht="25" customHeight="1" x14ac:dyDescent="0.55000000000000004">
      <c r="A22" s="12" t="s">
        <v>325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0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0</v>
      </c>
      <c r="AQ22" s="12">
        <f t="shared" si="36"/>
        <v>1</v>
      </c>
      <c r="AR22" s="12">
        <f t="shared" si="36"/>
        <v>0</v>
      </c>
      <c r="AS22" s="12">
        <f t="shared" si="36"/>
        <v>0</v>
      </c>
      <c r="AT22" s="12">
        <f t="shared" si="36"/>
        <v>0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0</v>
      </c>
      <c r="BF22" s="12">
        <f t="shared" si="36"/>
        <v>0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1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0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0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0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0</v>
      </c>
      <c r="DE22" s="12">
        <f t="shared" si="38"/>
        <v>0</v>
      </c>
      <c r="DF22" s="12">
        <f t="shared" si="38"/>
        <v>0</v>
      </c>
      <c r="DG22" s="12">
        <f t="shared" si="38"/>
        <v>0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0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0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0</v>
      </c>
      <c r="EE22" s="12">
        <f t="shared" si="39"/>
        <v>0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0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1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1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1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1</v>
      </c>
      <c r="AT23" s="12">
        <f t="shared" si="41"/>
        <v>0</v>
      </c>
      <c r="AU23" s="12">
        <f t="shared" si="41"/>
        <v>0</v>
      </c>
      <c r="AV23" s="12">
        <f t="shared" si="41"/>
        <v>1</v>
      </c>
      <c r="AW23" s="12">
        <f t="shared" si="41"/>
        <v>1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1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0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1</v>
      </c>
      <c r="BQ23" s="12">
        <f t="shared" si="42"/>
        <v>0</v>
      </c>
      <c r="BR23" s="12">
        <f t="shared" si="42"/>
        <v>1</v>
      </c>
      <c r="BS23" s="12">
        <f t="shared" si="42"/>
        <v>0</v>
      </c>
      <c r="BT23" s="12">
        <f t="shared" si="42"/>
        <v>0</v>
      </c>
      <c r="BU23" s="12">
        <f t="shared" si="42"/>
        <v>1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1</v>
      </c>
      <c r="CA23" s="12">
        <f t="shared" si="42"/>
        <v>0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0</v>
      </c>
      <c r="CL23" s="12">
        <f t="shared" si="42"/>
        <v>0</v>
      </c>
      <c r="CM23" s="12">
        <f t="shared" si="42"/>
        <v>0</v>
      </c>
      <c r="CN23" s="12">
        <f t="shared" si="42"/>
        <v>1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0</v>
      </c>
      <c r="CX23" s="12">
        <f t="shared" si="43"/>
        <v>0</v>
      </c>
      <c r="CY23" s="12">
        <f t="shared" si="43"/>
        <v>1</v>
      </c>
      <c r="CZ23" s="12">
        <f t="shared" si="43"/>
        <v>0</v>
      </c>
      <c r="DA23" s="12">
        <f t="shared" si="43"/>
        <v>1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0</v>
      </c>
      <c r="DI23" s="12">
        <f t="shared" si="43"/>
        <v>0</v>
      </c>
      <c r="DJ23" s="12">
        <f t="shared" si="43"/>
        <v>1</v>
      </c>
      <c r="DK23" s="12">
        <f t="shared" si="43"/>
        <v>0</v>
      </c>
      <c r="DL23" s="12">
        <f t="shared" si="43"/>
        <v>0</v>
      </c>
      <c r="DM23" s="12">
        <f t="shared" si="43"/>
        <v>1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0</v>
      </c>
      <c r="DS23" s="12">
        <f t="shared" si="43"/>
        <v>1</v>
      </c>
      <c r="DT23" s="12">
        <f t="shared" si="43"/>
        <v>0</v>
      </c>
      <c r="DU23" s="12">
        <f t="shared" si="43"/>
        <v>1</v>
      </c>
      <c r="DV23" s="12">
        <f t="shared" si="43"/>
        <v>0</v>
      </c>
      <c r="DW23" s="12">
        <f t="shared" si="43"/>
        <v>0</v>
      </c>
      <c r="DX23" s="12">
        <f t="shared" si="43"/>
        <v>1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6" t="s">
        <v>324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99</v>
      </c>
    </row>
    <row r="25" spans="1:142" ht="25" customHeight="1" x14ac:dyDescent="0.55000000000000004">
      <c r="A25" s="12" t="s">
        <v>326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1</v>
      </c>
      <c r="R25" s="12">
        <f t="shared" si="45"/>
        <v>0</v>
      </c>
      <c r="S25" s="12">
        <f t="shared" si="45"/>
        <v>0</v>
      </c>
      <c r="T25" s="12">
        <f t="shared" si="45"/>
        <v>1</v>
      </c>
      <c r="U25" s="12">
        <f t="shared" si="45"/>
        <v>1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1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1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1</v>
      </c>
      <c r="CB25" s="12">
        <f t="shared" si="47"/>
        <v>0</v>
      </c>
      <c r="CC25" s="12">
        <f t="shared" si="47"/>
        <v>1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1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1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1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1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1</v>
      </c>
      <c r="DH25" s="12">
        <f t="shared" si="48"/>
        <v>1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1</v>
      </c>
      <c r="DM25" s="12">
        <f t="shared" si="48"/>
        <v>1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1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1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1</v>
      </c>
      <c r="EK25" s="12">
        <f t="shared" si="49"/>
        <v>0</v>
      </c>
      <c r="EL25" s="12">
        <f t="shared" si="49"/>
        <v>1</v>
      </c>
    </row>
    <row r="26" spans="1:142" ht="25" customHeight="1" x14ac:dyDescent="0.55000000000000004">
      <c r="A26" s="12" t="s">
        <v>327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1</v>
      </c>
      <c r="I26" s="12">
        <f t="shared" si="50"/>
        <v>0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1</v>
      </c>
      <c r="Y26" s="12">
        <f t="shared" si="50"/>
        <v>1</v>
      </c>
      <c r="Z26" s="12">
        <f t="shared" si="50"/>
        <v>0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0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0</v>
      </c>
      <c r="AK26" s="12">
        <f t="shared" si="51"/>
        <v>0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0</v>
      </c>
      <c r="AX26" s="12">
        <f t="shared" si="51"/>
        <v>0</v>
      </c>
      <c r="AY26" s="12">
        <f t="shared" si="51"/>
        <v>0</v>
      </c>
      <c r="AZ26" s="12">
        <f t="shared" si="51"/>
        <v>0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0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0</v>
      </c>
      <c r="BQ26" s="12">
        <f t="shared" si="52"/>
        <v>1</v>
      </c>
      <c r="BR26" s="12">
        <f t="shared" si="52"/>
        <v>1</v>
      </c>
      <c r="BS26" s="12">
        <f t="shared" si="52"/>
        <v>1</v>
      </c>
      <c r="BT26" s="12">
        <f t="shared" si="52"/>
        <v>0</v>
      </c>
      <c r="BU26" s="12">
        <f t="shared" si="52"/>
        <v>0</v>
      </c>
      <c r="BV26" s="12">
        <f t="shared" si="52"/>
        <v>0</v>
      </c>
      <c r="BW26" s="12">
        <f t="shared" si="52"/>
        <v>1</v>
      </c>
      <c r="BX26" s="12">
        <f t="shared" si="52"/>
        <v>1</v>
      </c>
      <c r="BY26" s="12">
        <f t="shared" si="52"/>
        <v>0</v>
      </c>
      <c r="BZ26" s="12">
        <f t="shared" si="52"/>
        <v>0</v>
      </c>
      <c r="CA26" s="12">
        <f t="shared" si="52"/>
        <v>0</v>
      </c>
      <c r="CB26" s="12">
        <f t="shared" si="52"/>
        <v>0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0</v>
      </c>
      <c r="CI26" s="12">
        <f t="shared" si="52"/>
        <v>0</v>
      </c>
      <c r="CJ26" s="12">
        <f t="shared" si="52"/>
        <v>0</v>
      </c>
      <c r="CK26" s="12">
        <f t="shared" si="52"/>
        <v>0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0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0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0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0</v>
      </c>
      <c r="DM26" s="12">
        <f t="shared" si="53"/>
        <v>0</v>
      </c>
      <c r="DN26" s="12">
        <f t="shared" si="53"/>
        <v>0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0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0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0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1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1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1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1</v>
      </c>
      <c r="X27" s="12">
        <f t="shared" si="55"/>
        <v>1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0</v>
      </c>
      <c r="AC27" s="12">
        <f t="shared" si="55"/>
        <v>1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1</v>
      </c>
      <c r="AK27" s="12">
        <f t="shared" si="56"/>
        <v>0</v>
      </c>
      <c r="AL27" s="12">
        <f t="shared" si="56"/>
        <v>1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1</v>
      </c>
      <c r="AY27" s="12">
        <f t="shared" si="56"/>
        <v>0</v>
      </c>
      <c r="AZ27" s="12">
        <f t="shared" si="56"/>
        <v>0</v>
      </c>
      <c r="BA27" s="12">
        <f t="shared" si="56"/>
        <v>1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1</v>
      </c>
      <c r="BG27" s="12">
        <f t="shared" si="56"/>
        <v>1</v>
      </c>
      <c r="BH27" s="12">
        <f t="shared" si="56"/>
        <v>1</v>
      </c>
      <c r="BI27" s="12">
        <f t="shared" si="56"/>
        <v>0</v>
      </c>
      <c r="BJ27" s="12">
        <f t="shared" si="56"/>
        <v>1</v>
      </c>
      <c r="BK27" s="12">
        <f t="shared" si="56"/>
        <v>0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1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1</v>
      </c>
      <c r="CF27" s="12">
        <f t="shared" si="57"/>
        <v>1</v>
      </c>
      <c r="CG27" s="12">
        <f t="shared" si="57"/>
        <v>0</v>
      </c>
      <c r="CH27" s="12">
        <f t="shared" si="57"/>
        <v>1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1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1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1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1</v>
      </c>
      <c r="DE27" s="12">
        <f t="shared" si="58"/>
        <v>1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1</v>
      </c>
      <c r="DP27" s="12">
        <f t="shared" si="58"/>
        <v>1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1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1</v>
      </c>
      <c r="EC27" s="12">
        <f t="shared" si="59"/>
        <v>0</v>
      </c>
      <c r="ED27" s="12">
        <f t="shared" si="59"/>
        <v>0</v>
      </c>
      <c r="EE27" s="12">
        <f t="shared" si="59"/>
        <v>0</v>
      </c>
      <c r="EF27" s="12">
        <f t="shared" si="59"/>
        <v>1</v>
      </c>
      <c r="EG27" s="12">
        <f t="shared" si="59"/>
        <v>0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6" t="s">
        <v>326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114</v>
      </c>
    </row>
    <row r="30" spans="1:142" ht="25" customHeight="1" x14ac:dyDescent="0.55000000000000004">
      <c r="A30" s="12" t="s">
        <v>328</v>
      </c>
      <c r="B30" s="12" t="s">
        <v>329</v>
      </c>
      <c r="C30" s="15">
        <f>(C16+C28)/(C16+C28+C20+C24)</f>
        <v>0.53095238095238095</v>
      </c>
    </row>
    <row r="31" spans="1:142" ht="25" customHeight="1" x14ac:dyDescent="0.55000000000000004">
      <c r="A31" s="12" t="s">
        <v>330</v>
      </c>
      <c r="B31" s="12" t="s">
        <v>331</v>
      </c>
      <c r="C31" s="15">
        <f>C16/(C16+C20)</f>
        <v>0.52657004830917875</v>
      </c>
    </row>
    <row r="32" spans="1:142" ht="25" customHeight="1" x14ac:dyDescent="0.55000000000000004">
      <c r="A32" s="12" t="s">
        <v>332</v>
      </c>
      <c r="B32" s="12" t="s">
        <v>333</v>
      </c>
      <c r="C32" s="15">
        <f>C16/(C16+C24)</f>
        <v>0.52403846153846156</v>
      </c>
    </row>
    <row r="33" spans="1:3" ht="25" customHeight="1" x14ac:dyDescent="0.55000000000000004">
      <c r="A33" s="12" t="s">
        <v>334</v>
      </c>
      <c r="B33" s="12" t="s">
        <v>335</v>
      </c>
      <c r="C33" s="15">
        <f>2*(C31*C32)/(C31+C32)</f>
        <v>0.52530120481927711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2025-12-27T06:30:08Z</dcterms:modified>
</cp:coreProperties>
</file>